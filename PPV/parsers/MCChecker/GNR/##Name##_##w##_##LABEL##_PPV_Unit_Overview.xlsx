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Git\Automation\PPV\parsers\MCChecker\GNR\"/>
    </mc:Choice>
  </mc:AlternateContent>
  <xr:revisionPtr revIDLastSave="0" documentId="13_ncr:1_{0D24FA6D-E0CE-44D9-88B2-0929F300D3C4}" xr6:coauthVersionLast="47" xr6:coauthVersionMax="47" xr10:uidLastSave="{00000000-0000-0000-0000-000000000000}"/>
  <bookViews>
    <workbookView xWindow="-28920" yWindow="-120" windowWidth="29040" windowHeight="15720" activeTab="3" xr2:uid="{B533D783-8E94-47EE-A5E0-31DB8C66C10E}"/>
  </bookViews>
  <sheets>
    <sheet name="CHA" sheetId="1" r:id="rId1"/>
    <sheet name="CORE" sheetId="5" r:id="rId2"/>
    <sheet name="PPV" sheetId="3" r:id="rId3"/>
    <sheet name="MC_Check" sheetId="2" r:id="rId4"/>
    <sheet name="ErrorData" sheetId="6" state="hidden" r:id="rId5"/>
  </sheets>
  <definedNames>
    <definedName name="splitchar" comment="Change if using pysv registers or dpmb format">ErrorData!$G$1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5" i="2" l="1" a="1"/>
  <c r="AK5" i="2" s="1"/>
  <c r="AJ5" i="2" a="1"/>
  <c r="AJ5" i="2" s="1"/>
  <c r="AH5" i="2" a="1"/>
  <c r="AH5" i="2" s="1"/>
  <c r="AG5" i="2" a="1"/>
  <c r="AG5" i="2" s="1"/>
  <c r="AE5" i="2" a="1"/>
  <c r="AE5" i="2" s="1"/>
  <c r="AD5" i="2" a="1"/>
  <c r="AD5" i="2" s="1"/>
  <c r="AC5" i="2" a="1"/>
  <c r="AC5" i="2" s="1"/>
  <c r="X12" i="2" a="1"/>
  <c r="X12" i="2" s="1"/>
  <c r="AO7" i="6"/>
  <c r="AO6" i="6"/>
  <c r="H8" i="2" a="1"/>
  <c r="H8" i="2" s="1"/>
  <c r="G8" i="2" a="1"/>
  <c r="G8" i="2" s="1"/>
  <c r="AO5" i="6"/>
  <c r="AO4" i="6"/>
  <c r="AO3" i="6"/>
  <c r="AK7" i="6"/>
  <c r="AK6" i="6"/>
  <c r="AK5" i="6"/>
  <c r="AK4" i="6"/>
  <c r="AK3" i="6"/>
  <c r="AE4" i="6"/>
  <c r="AE5" i="6"/>
  <c r="AE6" i="6"/>
  <c r="AE7" i="6"/>
  <c r="AE8" i="6"/>
  <c r="AE9" i="6"/>
  <c r="AE10" i="6"/>
  <c r="AE11" i="6"/>
  <c r="AE12" i="6"/>
  <c r="AE13" i="6"/>
  <c r="AE14" i="6"/>
  <c r="AE3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121" i="6"/>
  <c r="W122" i="6"/>
  <c r="W123" i="6"/>
  <c r="W124" i="6"/>
  <c r="W125" i="6"/>
  <c r="W126" i="6"/>
  <c r="W127" i="6"/>
  <c r="W128" i="6"/>
  <c r="W129" i="6"/>
  <c r="W130" i="6"/>
  <c r="W131" i="6"/>
  <c r="W132" i="6"/>
  <c r="W133" i="6"/>
  <c r="W134" i="6"/>
  <c r="W135" i="6"/>
  <c r="W136" i="6"/>
  <c r="W137" i="6"/>
  <c r="W138" i="6"/>
  <c r="W139" i="6"/>
  <c r="W140" i="6"/>
  <c r="W141" i="6"/>
  <c r="W142" i="6"/>
  <c r="W143" i="6"/>
  <c r="W144" i="6"/>
  <c r="W145" i="6"/>
  <c r="W146" i="6"/>
  <c r="W147" i="6"/>
  <c r="W148" i="6"/>
  <c r="W149" i="6"/>
  <c r="W150" i="6"/>
  <c r="W151" i="6"/>
  <c r="W152" i="6"/>
  <c r="W153" i="6"/>
  <c r="W154" i="6"/>
  <c r="W155" i="6"/>
  <c r="W156" i="6"/>
  <c r="W157" i="6"/>
  <c r="W158" i="6"/>
  <c r="W159" i="6"/>
  <c r="W160" i="6"/>
  <c r="W161" i="6"/>
  <c r="W162" i="6"/>
  <c r="W163" i="6"/>
  <c r="W164" i="6"/>
  <c r="W165" i="6"/>
  <c r="W166" i="6"/>
  <c r="W167" i="6"/>
  <c r="W168" i="6"/>
  <c r="W169" i="6"/>
  <c r="W170" i="6"/>
  <c r="W171" i="6"/>
  <c r="W172" i="6"/>
  <c r="W173" i="6"/>
  <c r="W174" i="6"/>
  <c r="W175" i="6"/>
  <c r="W176" i="6"/>
  <c r="W177" i="6"/>
  <c r="W178" i="6"/>
  <c r="W179" i="6"/>
  <c r="W180" i="6"/>
  <c r="W181" i="6"/>
  <c r="W182" i="6"/>
  <c r="W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3" i="6"/>
  <c r="G1" i="6"/>
  <c r="AP4" i="6"/>
  <c r="AP5" i="6"/>
  <c r="AP6" i="6"/>
  <c r="AP7" i="6"/>
  <c r="AL4" i="6"/>
  <c r="AL5" i="6"/>
  <c r="AL6" i="6"/>
  <c r="AL7" i="6"/>
  <c r="AL3" i="6"/>
  <c r="AP3" i="6"/>
  <c r="AC14" i="6"/>
  <c r="AC13" i="6"/>
  <c r="AC12" i="6"/>
  <c r="AC11" i="6"/>
  <c r="AC10" i="6"/>
  <c r="AC9" i="6"/>
  <c r="AC8" i="6"/>
  <c r="AC7" i="6"/>
  <c r="AC6" i="6"/>
  <c r="AC5" i="6"/>
  <c r="AC4" i="6"/>
  <c r="AC3" i="6"/>
  <c r="X5" i="2" l="1" a="1"/>
  <c r="X5" i="2" s="1"/>
  <c r="B3" i="2" a="1"/>
  <c r="B3" i="2" s="1"/>
  <c r="G63" i="6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M6" i="2"/>
  <c r="M17" i="2" s="1"/>
  <c r="M28" i="2" s="1"/>
  <c r="N22" i="2"/>
  <c r="N33" i="2" s="1"/>
  <c r="N21" i="2"/>
  <c r="N32" i="2" s="1"/>
  <c r="N20" i="2"/>
  <c r="N31" i="2" s="1"/>
  <c r="N19" i="2"/>
  <c r="N30" i="2" s="1"/>
  <c r="N18" i="2"/>
  <c r="N29" i="2" s="1"/>
  <c r="N16" i="2"/>
  <c r="N27" i="2" s="1"/>
  <c r="M16" i="2"/>
  <c r="M27" i="2" s="1"/>
  <c r="O11" i="2"/>
  <c r="O22" i="2" s="1"/>
  <c r="O33" i="2" s="1"/>
  <c r="O10" i="2"/>
  <c r="O21" i="2" s="1"/>
  <c r="O32" i="2" s="1"/>
  <c r="O9" i="2"/>
  <c r="O20" i="2" s="1"/>
  <c r="O31" i="2" s="1"/>
  <c r="O8" i="2"/>
  <c r="O19" i="2" s="1"/>
  <c r="O30" i="2" s="1"/>
  <c r="O7" i="2"/>
  <c r="P7" i="2" s="1"/>
  <c r="N6" i="2"/>
  <c r="O6" i="2" s="1"/>
  <c r="O5" i="2"/>
  <c r="O16" i="2" s="1"/>
  <c r="O27" i="2" s="1"/>
  <c r="C10" i="2"/>
  <c r="P63" i="6" l="1"/>
  <c r="N63" i="6"/>
  <c r="G64" i="6"/>
  <c r="C17" i="2"/>
  <c r="C16" i="2"/>
  <c r="C8" i="2"/>
  <c r="C15" i="2"/>
  <c r="C7" i="2"/>
  <c r="C14" i="2"/>
  <c r="C6" i="2"/>
  <c r="C13" i="2"/>
  <c r="C5" i="2"/>
  <c r="C20" i="2"/>
  <c r="C12" i="2"/>
  <c r="C4" i="2"/>
  <c r="C9" i="2"/>
  <c r="C19" i="2"/>
  <c r="C11" i="2"/>
  <c r="C18" i="2"/>
  <c r="P9" i="2"/>
  <c r="P20" i="2" s="1"/>
  <c r="P31" i="2" s="1"/>
  <c r="P5" i="2"/>
  <c r="Q5" i="2" s="1"/>
  <c r="R5" i="2" s="1"/>
  <c r="Q7" i="2"/>
  <c r="P18" i="2"/>
  <c r="P29" i="2" s="1"/>
  <c r="P6" i="2"/>
  <c r="O17" i="2"/>
  <c r="O28" i="2" s="1"/>
  <c r="P11" i="2"/>
  <c r="P10" i="2"/>
  <c r="N17" i="2"/>
  <c r="N28" i="2" s="1"/>
  <c r="P8" i="2"/>
  <c r="O18" i="2"/>
  <c r="O29" i="2" s="1"/>
  <c r="H2" i="2"/>
  <c r="R63" i="6" l="1"/>
  <c r="T36" i="6"/>
  <c r="N22" i="6"/>
  <c r="P7" i="6"/>
  <c r="P20" i="6"/>
  <c r="P33" i="6"/>
  <c r="P58" i="6"/>
  <c r="R41" i="6"/>
  <c r="P9" i="6"/>
  <c r="P34" i="6"/>
  <c r="P60" i="6"/>
  <c r="P57" i="6"/>
  <c r="P10" i="6"/>
  <c r="P36" i="6"/>
  <c r="P49" i="6"/>
  <c r="R50" i="6"/>
  <c r="N16" i="6"/>
  <c r="R9" i="6"/>
  <c r="P12" i="6"/>
  <c r="P25" i="6"/>
  <c r="P50" i="6"/>
  <c r="P41" i="6"/>
  <c r="P6" i="6"/>
  <c r="R23" i="6"/>
  <c r="P26" i="6"/>
  <c r="P52" i="6"/>
  <c r="P3" i="6"/>
  <c r="P44" i="6"/>
  <c r="P4" i="6"/>
  <c r="P14" i="6"/>
  <c r="P28" i="6"/>
  <c r="R34" i="6"/>
  <c r="P18" i="6"/>
  <c r="R53" i="6"/>
  <c r="P17" i="6"/>
  <c r="P42" i="6"/>
  <c r="P30" i="6"/>
  <c r="R39" i="6"/>
  <c r="P54" i="6"/>
  <c r="R7" i="6"/>
  <c r="R15" i="6"/>
  <c r="R18" i="6"/>
  <c r="N54" i="6"/>
  <c r="R45" i="6"/>
  <c r="N52" i="6"/>
  <c r="N20" i="6"/>
  <c r="P51" i="6"/>
  <c r="R40" i="6"/>
  <c r="N35" i="6"/>
  <c r="AF3" i="6"/>
  <c r="R46" i="6"/>
  <c r="AF11" i="6"/>
  <c r="AD11" i="6" s="1"/>
  <c r="N38" i="6"/>
  <c r="P56" i="6"/>
  <c r="R44" i="6"/>
  <c r="R5" i="6"/>
  <c r="N41" i="6"/>
  <c r="AF5" i="6"/>
  <c r="AD5" i="6" s="1"/>
  <c r="P21" i="6"/>
  <c r="N15" i="6"/>
  <c r="N10" i="6"/>
  <c r="N13" i="6"/>
  <c r="R20" i="6"/>
  <c r="P62" i="6"/>
  <c r="N55" i="6"/>
  <c r="R14" i="6"/>
  <c r="N14" i="6"/>
  <c r="R33" i="6"/>
  <c r="N48" i="6"/>
  <c r="N12" i="6"/>
  <c r="P43" i="6"/>
  <c r="AF13" i="6"/>
  <c r="AD13" i="6" s="1"/>
  <c r="N31" i="6"/>
  <c r="AF7" i="6"/>
  <c r="AD7" i="6" s="1"/>
  <c r="R42" i="6"/>
  <c r="N53" i="6"/>
  <c r="N34" i="6"/>
  <c r="P48" i="6"/>
  <c r="R8" i="6"/>
  <c r="AF12" i="6"/>
  <c r="AD12" i="6" s="1"/>
  <c r="N29" i="6"/>
  <c r="AF9" i="6"/>
  <c r="AD9" i="6" s="1"/>
  <c r="N49" i="6"/>
  <c r="R21" i="6"/>
  <c r="P53" i="6"/>
  <c r="R32" i="6"/>
  <c r="P46" i="6"/>
  <c r="P22" i="6"/>
  <c r="P38" i="6"/>
  <c r="R25" i="6"/>
  <c r="N44" i="6"/>
  <c r="N8" i="6"/>
  <c r="P35" i="6"/>
  <c r="R35" i="6"/>
  <c r="N27" i="6"/>
  <c r="N57" i="6"/>
  <c r="R38" i="6"/>
  <c r="R56" i="6"/>
  <c r="N30" i="6"/>
  <c r="P40" i="6"/>
  <c r="N59" i="6"/>
  <c r="P55" i="6"/>
  <c r="N25" i="6"/>
  <c r="AF14" i="6"/>
  <c r="AD14" i="6" s="1"/>
  <c r="N3" i="6"/>
  <c r="R48" i="6"/>
  <c r="AF6" i="6"/>
  <c r="AD6" i="6" s="1"/>
  <c r="N19" i="6"/>
  <c r="R26" i="6"/>
  <c r="N18" i="6"/>
  <c r="R29" i="6"/>
  <c r="P39" i="6"/>
  <c r="R47" i="6"/>
  <c r="P5" i="6"/>
  <c r="R12" i="6"/>
  <c r="N47" i="6"/>
  <c r="R22" i="6"/>
  <c r="N50" i="6"/>
  <c r="P31" i="6"/>
  <c r="P29" i="6"/>
  <c r="P61" i="6"/>
  <c r="R24" i="6"/>
  <c r="R36" i="6"/>
  <c r="R16" i="6"/>
  <c r="N45" i="6"/>
  <c r="N40" i="6"/>
  <c r="N4" i="6"/>
  <c r="P27" i="6"/>
  <c r="R3" i="6"/>
  <c r="N23" i="6"/>
  <c r="R60" i="6"/>
  <c r="R30" i="6"/>
  <c r="R31" i="6"/>
  <c r="N26" i="6"/>
  <c r="P32" i="6"/>
  <c r="R37" i="6"/>
  <c r="P47" i="6"/>
  <c r="N21" i="6"/>
  <c r="AF8" i="6"/>
  <c r="P13" i="6"/>
  <c r="P45" i="6"/>
  <c r="R4" i="6"/>
  <c r="P37" i="6"/>
  <c r="N36" i="6"/>
  <c r="P19" i="6"/>
  <c r="N51" i="6"/>
  <c r="R28" i="6"/>
  <c r="N58" i="6"/>
  <c r="P24" i="6"/>
  <c r="N17" i="6"/>
  <c r="R59" i="6"/>
  <c r="R61" i="6"/>
  <c r="N32" i="6"/>
  <c r="P11" i="6"/>
  <c r="AF10" i="6"/>
  <c r="AD10" i="6" s="1"/>
  <c r="P16" i="6"/>
  <c r="R19" i="6"/>
  <c r="R43" i="6"/>
  <c r="R51" i="6"/>
  <c r="R55" i="6"/>
  <c r="R57" i="6"/>
  <c r="N60" i="6"/>
  <c r="N28" i="6"/>
  <c r="R52" i="6"/>
  <c r="N61" i="6"/>
  <c r="N43" i="6"/>
  <c r="N11" i="6"/>
  <c r="R62" i="6"/>
  <c r="R10" i="6"/>
  <c r="N46" i="6"/>
  <c r="N6" i="6"/>
  <c r="P8" i="6"/>
  <c r="R17" i="6"/>
  <c r="P23" i="6"/>
  <c r="N9" i="6"/>
  <c r="R11" i="6"/>
  <c r="R27" i="6"/>
  <c r="R58" i="6"/>
  <c r="N62" i="6"/>
  <c r="R49" i="6"/>
  <c r="N56" i="6"/>
  <c r="N24" i="6"/>
  <c r="P59" i="6"/>
  <c r="N33" i="6"/>
  <c r="N39" i="6"/>
  <c r="N7" i="6"/>
  <c r="R54" i="6"/>
  <c r="R6" i="6"/>
  <c r="N42" i="6"/>
  <c r="AF4" i="6"/>
  <c r="AD4" i="6" s="1"/>
  <c r="N37" i="6"/>
  <c r="R13" i="6"/>
  <c r="P15" i="6"/>
  <c r="N5" i="6"/>
  <c r="P64" i="6"/>
  <c r="T64" i="6"/>
  <c r="R64" i="6"/>
  <c r="N64" i="6"/>
  <c r="T47" i="6"/>
  <c r="U47" i="6" s="1"/>
  <c r="H47" i="6" s="1"/>
  <c r="T62" i="6"/>
  <c r="T50" i="6"/>
  <c r="T53" i="6"/>
  <c r="T48" i="6"/>
  <c r="T59" i="6"/>
  <c r="T4" i="6"/>
  <c r="T55" i="6"/>
  <c r="T58" i="6"/>
  <c r="T61" i="6"/>
  <c r="T56" i="6"/>
  <c r="T6" i="6"/>
  <c r="T9" i="6"/>
  <c r="T12" i="6"/>
  <c r="T3" i="6"/>
  <c r="T5" i="6"/>
  <c r="T63" i="6"/>
  <c r="T11" i="6"/>
  <c r="T14" i="6"/>
  <c r="T17" i="6"/>
  <c r="T20" i="6"/>
  <c r="T7" i="6"/>
  <c r="T10" i="6"/>
  <c r="T13" i="6"/>
  <c r="T8" i="6"/>
  <c r="T19" i="6"/>
  <c r="T22" i="6"/>
  <c r="T25" i="6"/>
  <c r="T28" i="6"/>
  <c r="T15" i="6"/>
  <c r="T18" i="6"/>
  <c r="T21" i="6"/>
  <c r="T16" i="6"/>
  <c r="T27" i="6"/>
  <c r="T30" i="6"/>
  <c r="T33" i="6"/>
  <c r="G6" i="2"/>
  <c r="H5" i="2"/>
  <c r="T23" i="6"/>
  <c r="T26" i="6"/>
  <c r="T29" i="6"/>
  <c r="T24" i="6"/>
  <c r="T35" i="6"/>
  <c r="T38" i="6"/>
  <c r="T41" i="6"/>
  <c r="T44" i="6"/>
  <c r="T31" i="6"/>
  <c r="T34" i="6"/>
  <c r="T37" i="6"/>
  <c r="T32" i="6"/>
  <c r="T43" i="6"/>
  <c r="T46" i="6"/>
  <c r="T49" i="6"/>
  <c r="T52" i="6"/>
  <c r="T39" i="6"/>
  <c r="T42" i="6"/>
  <c r="T45" i="6"/>
  <c r="T40" i="6"/>
  <c r="T51" i="6"/>
  <c r="T54" i="6"/>
  <c r="T57" i="6"/>
  <c r="T60" i="6"/>
  <c r="X64" i="6"/>
  <c r="I64" i="6" s="1"/>
  <c r="L37" i="6"/>
  <c r="J37" i="6" s="1"/>
  <c r="L21" i="6"/>
  <c r="J21" i="6" s="1"/>
  <c r="L17" i="6"/>
  <c r="J17" i="6" s="1"/>
  <c r="X46" i="6"/>
  <c r="I46" i="6" s="1"/>
  <c r="X61" i="6"/>
  <c r="I61" i="6" s="1"/>
  <c r="X39" i="6"/>
  <c r="I39" i="6" s="1"/>
  <c r="L1" i="2"/>
  <c r="H3" i="2"/>
  <c r="L35" i="6"/>
  <c r="J35" i="6" s="1"/>
  <c r="X13" i="6"/>
  <c r="I13" i="6" s="1"/>
  <c r="X35" i="6"/>
  <c r="I35" i="6" s="1"/>
  <c r="X45" i="6"/>
  <c r="I45" i="6" s="1"/>
  <c r="X16" i="6"/>
  <c r="I16" i="6" s="1"/>
  <c r="L61" i="6"/>
  <c r="J61" i="6" s="1"/>
  <c r="L13" i="6"/>
  <c r="J13" i="6" s="1"/>
  <c r="X23" i="6"/>
  <c r="I23" i="6" s="1"/>
  <c r="X9" i="6"/>
  <c r="I9" i="6" s="1"/>
  <c r="L14" i="6"/>
  <c r="J14" i="6" s="1"/>
  <c r="L26" i="6"/>
  <c r="J26" i="6" s="1"/>
  <c r="L58" i="6"/>
  <c r="J58" i="6" s="1"/>
  <c r="L46" i="6"/>
  <c r="J46" i="6" s="1"/>
  <c r="L10" i="6"/>
  <c r="J10" i="6" s="1"/>
  <c r="L22" i="6"/>
  <c r="J22" i="6" s="1"/>
  <c r="X56" i="6"/>
  <c r="I56" i="6" s="1"/>
  <c r="H4" i="2"/>
  <c r="L38" i="6"/>
  <c r="J38" i="6" s="1"/>
  <c r="L3" i="6"/>
  <c r="L30" i="6"/>
  <c r="J30" i="6" s="1"/>
  <c r="L50" i="6"/>
  <c r="J50" i="6" s="1"/>
  <c r="L6" i="6"/>
  <c r="J6" i="6" s="1"/>
  <c r="L18" i="6"/>
  <c r="J18" i="6" s="1"/>
  <c r="L34" i="6"/>
  <c r="J34" i="6" s="1"/>
  <c r="X31" i="6"/>
  <c r="I31" i="6" s="1"/>
  <c r="L11" i="6"/>
  <c r="J11" i="6" s="1"/>
  <c r="L16" i="6"/>
  <c r="J16" i="6" s="1"/>
  <c r="L54" i="6"/>
  <c r="J54" i="6" s="1"/>
  <c r="X8" i="6"/>
  <c r="I8" i="6" s="1"/>
  <c r="L64" i="6"/>
  <c r="J64" i="6" s="1"/>
  <c r="X38" i="6"/>
  <c r="I38" i="6" s="1"/>
  <c r="X55" i="6"/>
  <c r="I55" i="6" s="1"/>
  <c r="L9" i="6"/>
  <c r="J9" i="6" s="1"/>
  <c r="X34" i="6"/>
  <c r="I34" i="6" s="1"/>
  <c r="L59" i="6"/>
  <c r="J59" i="6" s="1"/>
  <c r="X12" i="6"/>
  <c r="I12" i="6" s="1"/>
  <c r="L12" i="6"/>
  <c r="J12" i="6" s="1"/>
  <c r="X60" i="6"/>
  <c r="I60" i="6" s="1"/>
  <c r="L36" i="6"/>
  <c r="J36" i="6" s="1"/>
  <c r="X11" i="6"/>
  <c r="I11" i="6" s="1"/>
  <c r="X26" i="6"/>
  <c r="I26" i="6" s="1"/>
  <c r="X62" i="6"/>
  <c r="I62" i="6" s="1"/>
  <c r="X14" i="6"/>
  <c r="I14" i="6" s="1"/>
  <c r="L53" i="6"/>
  <c r="J53" i="6" s="1"/>
  <c r="X30" i="6"/>
  <c r="I30" i="6" s="1"/>
  <c r="L8" i="6"/>
  <c r="J8" i="6" s="1"/>
  <c r="L32" i="6"/>
  <c r="J32" i="6" s="1"/>
  <c r="X7" i="6"/>
  <c r="I7" i="6" s="1"/>
  <c r="L51" i="6"/>
  <c r="J51" i="6" s="1"/>
  <c r="L7" i="6"/>
  <c r="J7" i="6" s="1"/>
  <c r="L56" i="6"/>
  <c r="J56" i="6" s="1"/>
  <c r="X33" i="6"/>
  <c r="I33" i="6" s="1"/>
  <c r="L60" i="6"/>
  <c r="J60" i="6" s="1"/>
  <c r="X59" i="6"/>
  <c r="I59" i="6" s="1"/>
  <c r="X10" i="6"/>
  <c r="I10" i="6" s="1"/>
  <c r="L49" i="6"/>
  <c r="J49" i="6" s="1"/>
  <c r="L33" i="6"/>
  <c r="J33" i="6" s="1"/>
  <c r="X58" i="6"/>
  <c r="I58" i="6" s="1"/>
  <c r="L24" i="6"/>
  <c r="J24" i="6" s="1"/>
  <c r="L4" i="6"/>
  <c r="J4" i="6" s="1"/>
  <c r="X5" i="6"/>
  <c r="I5" i="6" s="1"/>
  <c r="X51" i="6"/>
  <c r="I51" i="6" s="1"/>
  <c r="X29" i="6"/>
  <c r="I29" i="6" s="1"/>
  <c r="L41" i="6"/>
  <c r="J41" i="6" s="1"/>
  <c r="X3" i="6"/>
  <c r="L31" i="6"/>
  <c r="J31" i="6" s="1"/>
  <c r="X6" i="6"/>
  <c r="I6" i="6" s="1"/>
  <c r="X54" i="6"/>
  <c r="I54" i="6" s="1"/>
  <c r="L44" i="6"/>
  <c r="J44" i="6" s="1"/>
  <c r="X25" i="6"/>
  <c r="I25" i="6" s="1"/>
  <c r="L55" i="6"/>
  <c r="J55" i="6" s="1"/>
  <c r="L28" i="6"/>
  <c r="J28" i="6" s="1"/>
  <c r="L40" i="6"/>
  <c r="J40" i="6" s="1"/>
  <c r="L57" i="6"/>
  <c r="J57" i="6" s="1"/>
  <c r="X37" i="6"/>
  <c r="I37" i="6" s="1"/>
  <c r="X63" i="6"/>
  <c r="I63" i="6" s="1"/>
  <c r="L48" i="6"/>
  <c r="J48" i="6" s="1"/>
  <c r="X49" i="6"/>
  <c r="I49" i="6" s="1"/>
  <c r="L25" i="6"/>
  <c r="J25" i="6" s="1"/>
  <c r="L27" i="6"/>
  <c r="J27" i="6" s="1"/>
  <c r="L5" i="6"/>
  <c r="J5" i="6" s="1"/>
  <c r="X50" i="6"/>
  <c r="I50" i="6" s="1"/>
  <c r="X28" i="6"/>
  <c r="I28" i="6" s="1"/>
  <c r="X52" i="6"/>
  <c r="I52" i="6" s="1"/>
  <c r="L52" i="6"/>
  <c r="J52" i="6" s="1"/>
  <c r="X47" i="6"/>
  <c r="I47" i="6" s="1"/>
  <c r="L23" i="6"/>
  <c r="J23" i="6" s="1"/>
  <c r="X36" i="6"/>
  <c r="I36" i="6" s="1"/>
  <c r="X32" i="6"/>
  <c r="I32" i="6" s="1"/>
  <c r="X53" i="6"/>
  <c r="I53" i="6" s="1"/>
  <c r="L43" i="6"/>
  <c r="J43" i="6" s="1"/>
  <c r="X18" i="6"/>
  <c r="I18" i="6" s="1"/>
  <c r="X44" i="6"/>
  <c r="I44" i="6" s="1"/>
  <c r="L20" i="6"/>
  <c r="J20" i="6" s="1"/>
  <c r="X19" i="6"/>
  <c r="I19" i="6" s="1"/>
  <c r="L29" i="6"/>
  <c r="J29" i="6" s="1"/>
  <c r="X42" i="6"/>
  <c r="I42" i="6" s="1"/>
  <c r="L45" i="6"/>
  <c r="J45" i="6" s="1"/>
  <c r="L39" i="6"/>
  <c r="J39" i="6" s="1"/>
  <c r="X20" i="6"/>
  <c r="I20" i="6" s="1"/>
  <c r="L62" i="6"/>
  <c r="J62" i="6" s="1"/>
  <c r="X22" i="6"/>
  <c r="I22" i="6" s="1"/>
  <c r="X27" i="6"/>
  <c r="I27" i="6" s="1"/>
  <c r="X48" i="6"/>
  <c r="I48" i="6" s="1"/>
  <c r="L63" i="6"/>
  <c r="J63" i="6" s="1"/>
  <c r="L42" i="6"/>
  <c r="J42" i="6" s="1"/>
  <c r="X41" i="6"/>
  <c r="I41" i="6" s="1"/>
  <c r="X17" i="6"/>
  <c r="I17" i="6" s="1"/>
  <c r="X21" i="6"/>
  <c r="I21" i="6" s="1"/>
  <c r="X40" i="6"/>
  <c r="I40" i="6" s="1"/>
  <c r="L19" i="6"/>
  <c r="J19" i="6" s="1"/>
  <c r="L15" i="6"/>
  <c r="J15" i="6" s="1"/>
  <c r="X43" i="6"/>
  <c r="I43" i="6" s="1"/>
  <c r="X57" i="6"/>
  <c r="I57" i="6" s="1"/>
  <c r="X4" i="6"/>
  <c r="I4" i="6" s="1"/>
  <c r="X24" i="6"/>
  <c r="I24" i="6" s="1"/>
  <c r="L47" i="6"/>
  <c r="J47" i="6" s="1"/>
  <c r="X15" i="6"/>
  <c r="I15" i="6" s="1"/>
  <c r="G65" i="6"/>
  <c r="C3" i="2"/>
  <c r="Q9" i="2"/>
  <c r="Q20" i="2" s="1"/>
  <c r="Q31" i="2" s="1"/>
  <c r="Q16" i="2"/>
  <c r="Q27" i="2" s="1"/>
  <c r="P16" i="2"/>
  <c r="P27" i="2" s="1"/>
  <c r="P21" i="2"/>
  <c r="P32" i="2" s="1"/>
  <c r="Q10" i="2"/>
  <c r="P22" i="2"/>
  <c r="P33" i="2" s="1"/>
  <c r="Q11" i="2"/>
  <c r="Q6" i="2"/>
  <c r="P17" i="2"/>
  <c r="P28" i="2" s="1"/>
  <c r="P19" i="2"/>
  <c r="P30" i="2" s="1"/>
  <c r="Q8" i="2"/>
  <c r="S5" i="2"/>
  <c r="R16" i="2"/>
  <c r="R27" i="2" s="1"/>
  <c r="Q18" i="2"/>
  <c r="Q29" i="2" s="1"/>
  <c r="R7" i="2"/>
  <c r="U36" i="6" l="1"/>
  <c r="H36" i="6" s="1"/>
  <c r="V36" i="6"/>
  <c r="V59" i="6"/>
  <c r="U53" i="6"/>
  <c r="H53" i="6" s="1"/>
  <c r="U4" i="6"/>
  <c r="H4" i="6" s="1"/>
  <c r="U59" i="6"/>
  <c r="H59" i="6" s="1"/>
  <c r="U48" i="6"/>
  <c r="H48" i="6" s="1"/>
  <c r="V48" i="6"/>
  <c r="V50" i="6"/>
  <c r="U50" i="6"/>
  <c r="H50" i="6" s="1"/>
  <c r="Z5" i="2" a="1"/>
  <c r="Z5" i="2" s="1"/>
  <c r="AD8" i="6"/>
  <c r="V62" i="6"/>
  <c r="AD3" i="6"/>
  <c r="AA5" i="2" a="1"/>
  <c r="AA5" i="2" s="1"/>
  <c r="V47" i="6"/>
  <c r="P65" i="6"/>
  <c r="T65" i="6"/>
  <c r="R65" i="6"/>
  <c r="N65" i="6"/>
  <c r="J3" i="6"/>
  <c r="I3" i="6"/>
  <c r="U62" i="6"/>
  <c r="H62" i="6" s="1"/>
  <c r="V53" i="6"/>
  <c r="V4" i="6"/>
  <c r="U31" i="6"/>
  <c r="H31" i="6" s="1"/>
  <c r="V31" i="6"/>
  <c r="U54" i="6"/>
  <c r="H54" i="6" s="1"/>
  <c r="V54" i="6"/>
  <c r="U52" i="6"/>
  <c r="H52" i="6" s="1"/>
  <c r="V52" i="6"/>
  <c r="U26" i="6"/>
  <c r="H26" i="6" s="1"/>
  <c r="V26" i="6"/>
  <c r="U33" i="6"/>
  <c r="H33" i="6" s="1"/>
  <c r="V33" i="6"/>
  <c r="U7" i="6"/>
  <c r="H7" i="6" s="1"/>
  <c r="V7" i="6"/>
  <c r="U5" i="6"/>
  <c r="H5" i="6" s="1"/>
  <c r="V5" i="6"/>
  <c r="U61" i="6"/>
  <c r="H61" i="6" s="1"/>
  <c r="V61" i="6"/>
  <c r="U29" i="6"/>
  <c r="H29" i="6" s="1"/>
  <c r="V29" i="6"/>
  <c r="U10" i="6"/>
  <c r="H10" i="6" s="1"/>
  <c r="V10" i="6"/>
  <c r="U51" i="6"/>
  <c r="H51" i="6" s="1"/>
  <c r="V51" i="6"/>
  <c r="U49" i="6"/>
  <c r="H49" i="6" s="1"/>
  <c r="V49" i="6"/>
  <c r="U23" i="6"/>
  <c r="H23" i="6" s="1"/>
  <c r="V23" i="6"/>
  <c r="U30" i="6"/>
  <c r="H30" i="6" s="1"/>
  <c r="V30" i="6"/>
  <c r="U28" i="6"/>
  <c r="H28" i="6" s="1"/>
  <c r="V28" i="6"/>
  <c r="U3" i="6"/>
  <c r="V3" i="6"/>
  <c r="U58" i="6"/>
  <c r="H58" i="6" s="1"/>
  <c r="V58" i="6"/>
  <c r="U57" i="6"/>
  <c r="H57" i="6" s="1"/>
  <c r="V57" i="6"/>
  <c r="U63" i="6"/>
  <c r="H63" i="6" s="1"/>
  <c r="V63" i="6"/>
  <c r="U40" i="6"/>
  <c r="H40" i="6" s="1"/>
  <c r="V40" i="6"/>
  <c r="U46" i="6"/>
  <c r="H46" i="6" s="1"/>
  <c r="V46" i="6"/>
  <c r="U44" i="6"/>
  <c r="H44" i="6" s="1"/>
  <c r="V44" i="6"/>
  <c r="U27" i="6"/>
  <c r="H27" i="6" s="1"/>
  <c r="V27" i="6"/>
  <c r="U25" i="6"/>
  <c r="H25" i="6" s="1"/>
  <c r="V25" i="6"/>
  <c r="U55" i="6"/>
  <c r="H55" i="6" s="1"/>
  <c r="V55" i="6"/>
  <c r="U56" i="6"/>
  <c r="H56" i="6" s="1"/>
  <c r="V56" i="6"/>
  <c r="U64" i="6"/>
  <c r="H64" i="6" s="1"/>
  <c r="V64" i="6"/>
  <c r="U45" i="6"/>
  <c r="H45" i="6" s="1"/>
  <c r="V45" i="6"/>
  <c r="U43" i="6"/>
  <c r="H43" i="6" s="1"/>
  <c r="V43" i="6"/>
  <c r="U41" i="6"/>
  <c r="H41" i="6" s="1"/>
  <c r="V41" i="6"/>
  <c r="U16" i="6"/>
  <c r="H16" i="6" s="1"/>
  <c r="V16" i="6"/>
  <c r="U22" i="6"/>
  <c r="H22" i="6" s="1"/>
  <c r="V22" i="6"/>
  <c r="U20" i="6"/>
  <c r="H20" i="6" s="1"/>
  <c r="V20" i="6"/>
  <c r="U42" i="6"/>
  <c r="H42" i="6" s="1"/>
  <c r="V42" i="6"/>
  <c r="U32" i="6"/>
  <c r="H32" i="6" s="1"/>
  <c r="V32" i="6"/>
  <c r="U38" i="6"/>
  <c r="H38" i="6" s="1"/>
  <c r="V38" i="6"/>
  <c r="U21" i="6"/>
  <c r="H21" i="6" s="1"/>
  <c r="V21" i="6"/>
  <c r="U19" i="6"/>
  <c r="H19" i="6" s="1"/>
  <c r="V19" i="6"/>
  <c r="U17" i="6"/>
  <c r="H17" i="6" s="1"/>
  <c r="V17" i="6"/>
  <c r="U12" i="6"/>
  <c r="H12" i="6" s="1"/>
  <c r="V12" i="6"/>
  <c r="U39" i="6"/>
  <c r="H39" i="6" s="1"/>
  <c r="V39" i="6"/>
  <c r="U37" i="6"/>
  <c r="H37" i="6" s="1"/>
  <c r="V37" i="6"/>
  <c r="U35" i="6"/>
  <c r="H35" i="6" s="1"/>
  <c r="V35" i="6"/>
  <c r="U18" i="6"/>
  <c r="H18" i="6" s="1"/>
  <c r="V18" i="6"/>
  <c r="U8" i="6"/>
  <c r="H8" i="6" s="1"/>
  <c r="V8" i="6"/>
  <c r="U14" i="6"/>
  <c r="H14" i="6" s="1"/>
  <c r="V14" i="6"/>
  <c r="U9" i="6"/>
  <c r="H9" i="6" s="1"/>
  <c r="V9" i="6"/>
  <c r="U60" i="6"/>
  <c r="H60" i="6" s="1"/>
  <c r="V60" i="6"/>
  <c r="U34" i="6"/>
  <c r="H34" i="6" s="1"/>
  <c r="V34" i="6"/>
  <c r="U24" i="6"/>
  <c r="H24" i="6" s="1"/>
  <c r="V24" i="6"/>
  <c r="U15" i="6"/>
  <c r="H15" i="6" s="1"/>
  <c r="V15" i="6"/>
  <c r="U13" i="6"/>
  <c r="H13" i="6" s="1"/>
  <c r="V13" i="6"/>
  <c r="U11" i="6"/>
  <c r="H11" i="6" s="1"/>
  <c r="V11" i="6"/>
  <c r="U6" i="6"/>
  <c r="H6" i="6" s="1"/>
  <c r="V6" i="6"/>
  <c r="X65" i="6"/>
  <c r="I65" i="6" s="1"/>
  <c r="L65" i="6"/>
  <c r="J65" i="6" s="1"/>
  <c r="G66" i="6"/>
  <c r="R9" i="2"/>
  <c r="S9" i="2" s="1"/>
  <c r="C3" i="6" a="1"/>
  <c r="C3" i="6" s="1"/>
  <c r="B3" i="6" a="1"/>
  <c r="B3" i="6" s="1"/>
  <c r="A3" i="6" a="1"/>
  <c r="A3" i="6" s="1"/>
  <c r="R18" i="2"/>
  <c r="R29" i="2" s="1"/>
  <c r="S7" i="2"/>
  <c r="Q17" i="2"/>
  <c r="Q28" i="2" s="1"/>
  <c r="R6" i="2"/>
  <c r="Q22" i="2"/>
  <c r="Q33" i="2" s="1"/>
  <c r="R11" i="2"/>
  <c r="S16" i="2"/>
  <c r="S27" i="2" s="1"/>
  <c r="T5" i="2"/>
  <c r="Q19" i="2"/>
  <c r="Q30" i="2" s="1"/>
  <c r="R8" i="2"/>
  <c r="Q21" i="2"/>
  <c r="Q32" i="2" s="1"/>
  <c r="R10" i="2"/>
  <c r="P66" i="6" l="1"/>
  <c r="T66" i="6"/>
  <c r="L66" i="6"/>
  <c r="N66" i="6"/>
  <c r="R66" i="6"/>
  <c r="H3" i="6"/>
  <c r="U65" i="6"/>
  <c r="H65" i="6" s="1"/>
  <c r="V65" i="6"/>
  <c r="X66" i="6"/>
  <c r="I66" i="6" s="1"/>
  <c r="R20" i="2"/>
  <c r="R31" i="2" s="1"/>
  <c r="G67" i="6"/>
  <c r="S11" i="2"/>
  <c r="R22" i="2"/>
  <c r="R33" i="2" s="1"/>
  <c r="S10" i="2"/>
  <c r="R21" i="2"/>
  <c r="R32" i="2" s="1"/>
  <c r="S8" i="2"/>
  <c r="R19" i="2"/>
  <c r="R30" i="2" s="1"/>
  <c r="S18" i="2"/>
  <c r="S29" i="2" s="1"/>
  <c r="T7" i="2"/>
  <c r="R17" i="2"/>
  <c r="R28" i="2" s="1"/>
  <c r="S6" i="2"/>
  <c r="T16" i="2"/>
  <c r="T27" i="2" s="1"/>
  <c r="U5" i="2"/>
  <c r="S20" i="2"/>
  <c r="S31" i="2" s="1"/>
  <c r="T9" i="2"/>
  <c r="J66" i="6" l="1"/>
  <c r="X67" i="6"/>
  <c r="T67" i="6"/>
  <c r="P67" i="6"/>
  <c r="L67" i="6"/>
  <c r="R67" i="6"/>
  <c r="N67" i="6"/>
  <c r="U66" i="6"/>
  <c r="V66" i="6"/>
  <c r="G68" i="6"/>
  <c r="T11" i="2"/>
  <c r="S22" i="2"/>
  <c r="S33" i="2" s="1"/>
  <c r="U9" i="2"/>
  <c r="T20" i="2"/>
  <c r="T10" i="2"/>
  <c r="S21" i="2"/>
  <c r="S32" i="2" s="1"/>
  <c r="U7" i="2"/>
  <c r="T18" i="2"/>
  <c r="T8" i="2"/>
  <c r="S19" i="2"/>
  <c r="S30" i="2" s="1"/>
  <c r="U16" i="2"/>
  <c r="U27" i="2" s="1"/>
  <c r="V5" i="2"/>
  <c r="V16" i="2" s="1"/>
  <c r="V27" i="2" s="1"/>
  <c r="S17" i="2"/>
  <c r="S28" i="2" s="1"/>
  <c r="T6" i="2"/>
  <c r="J67" i="6" l="1"/>
  <c r="I67" i="6"/>
  <c r="T68" i="6"/>
  <c r="X68" i="6"/>
  <c r="P68" i="6"/>
  <c r="R68" i="6"/>
  <c r="N68" i="6"/>
  <c r="L68" i="6"/>
  <c r="H66" i="6"/>
  <c r="U67" i="6"/>
  <c r="H67" i="6" s="1"/>
  <c r="V67" i="6"/>
  <c r="G69" i="6"/>
  <c r="T29" i="2"/>
  <c r="U18" i="2"/>
  <c r="U29" i="2" s="1"/>
  <c r="T21" i="2"/>
  <c r="U10" i="2"/>
  <c r="T31" i="2"/>
  <c r="U20" i="2"/>
  <c r="U31" i="2" s="1"/>
  <c r="T17" i="2"/>
  <c r="T28" i="2" s="1"/>
  <c r="U6" i="2"/>
  <c r="T19" i="2"/>
  <c r="U8" i="2"/>
  <c r="U11" i="2"/>
  <c r="T22" i="2"/>
  <c r="J68" i="6" l="1"/>
  <c r="I68" i="6"/>
  <c r="P69" i="6"/>
  <c r="T69" i="6"/>
  <c r="X69" i="6"/>
  <c r="R69" i="6"/>
  <c r="N69" i="6"/>
  <c r="U68" i="6"/>
  <c r="V68" i="6"/>
  <c r="L69" i="6"/>
  <c r="J69" i="6" s="1"/>
  <c r="G70" i="6"/>
  <c r="V6" i="2"/>
  <c r="V17" i="2" s="1"/>
  <c r="V28" i="2" s="1"/>
  <c r="U17" i="2"/>
  <c r="U28" i="2" s="1"/>
  <c r="T30" i="2"/>
  <c r="U19" i="2"/>
  <c r="U30" i="2" s="1"/>
  <c r="T32" i="2"/>
  <c r="U21" i="2"/>
  <c r="U32" i="2" s="1"/>
  <c r="T33" i="2"/>
  <c r="U22" i="2"/>
  <c r="U33" i="2" s="1"/>
  <c r="I69" i="6" l="1"/>
  <c r="P70" i="6"/>
  <c r="T70" i="6"/>
  <c r="R70" i="6"/>
  <c r="N70" i="6"/>
  <c r="H68" i="6"/>
  <c r="U69" i="6"/>
  <c r="H69" i="6" s="1"/>
  <c r="V69" i="6"/>
  <c r="L70" i="6"/>
  <c r="J70" i="6" s="1"/>
  <c r="X70" i="6"/>
  <c r="I70" i="6" s="1"/>
  <c r="G71" i="6"/>
  <c r="T71" i="6" l="1"/>
  <c r="L71" i="6"/>
  <c r="J71" i="6" s="1"/>
  <c r="R71" i="6"/>
  <c r="P71" i="6"/>
  <c r="N71" i="6"/>
  <c r="U70" i="6"/>
  <c r="V70" i="6"/>
  <c r="X71" i="6"/>
  <c r="I71" i="6" s="1"/>
  <c r="G72" i="6"/>
  <c r="P72" i="6" l="1"/>
  <c r="T72" i="6"/>
  <c r="L72" i="6"/>
  <c r="J72" i="6" s="1"/>
  <c r="R72" i="6"/>
  <c r="N72" i="6"/>
  <c r="H70" i="6"/>
  <c r="U71" i="6"/>
  <c r="H71" i="6" s="1"/>
  <c r="V71" i="6"/>
  <c r="X72" i="6"/>
  <c r="I72" i="6" s="1"/>
  <c r="G73" i="6"/>
  <c r="P73" i="6" l="1"/>
  <c r="T73" i="6"/>
  <c r="X73" i="6"/>
  <c r="I73" i="6" s="1"/>
  <c r="R73" i="6"/>
  <c r="N73" i="6"/>
  <c r="U72" i="6"/>
  <c r="V72" i="6"/>
  <c r="L73" i="6"/>
  <c r="J73" i="6" s="1"/>
  <c r="G74" i="6"/>
  <c r="P74" i="6" l="1"/>
  <c r="T74" i="6"/>
  <c r="R74" i="6"/>
  <c r="N74" i="6"/>
  <c r="H72" i="6"/>
  <c r="U73" i="6"/>
  <c r="H73" i="6" s="1"/>
  <c r="V73" i="6"/>
  <c r="L74" i="6"/>
  <c r="J74" i="6" s="1"/>
  <c r="X74" i="6"/>
  <c r="I74" i="6" s="1"/>
  <c r="G75" i="6"/>
  <c r="T75" i="6" l="1"/>
  <c r="P75" i="6"/>
  <c r="L75" i="6"/>
  <c r="J75" i="6" s="1"/>
  <c r="R75" i="6"/>
  <c r="N75" i="6"/>
  <c r="U74" i="6"/>
  <c r="V74" i="6"/>
  <c r="X75" i="6"/>
  <c r="I75" i="6" s="1"/>
  <c r="G76" i="6"/>
  <c r="T76" i="6" l="1"/>
  <c r="P76" i="6"/>
  <c r="L76" i="6"/>
  <c r="J76" i="6" s="1"/>
  <c r="R76" i="6"/>
  <c r="N76" i="6"/>
  <c r="H74" i="6"/>
  <c r="U75" i="6"/>
  <c r="H75" i="6" s="1"/>
  <c r="V75" i="6"/>
  <c r="X76" i="6"/>
  <c r="I76" i="6" s="1"/>
  <c r="G77" i="6"/>
  <c r="P77" i="6" l="1"/>
  <c r="L77" i="6"/>
  <c r="J77" i="6" s="1"/>
  <c r="R77" i="6"/>
  <c r="N77" i="6"/>
  <c r="T77" i="6"/>
  <c r="X77" i="6"/>
  <c r="I77" i="6" s="1"/>
  <c r="U76" i="6"/>
  <c r="H76" i="6" s="1"/>
  <c r="V76" i="6"/>
  <c r="G78" i="6"/>
  <c r="P78" i="6" l="1"/>
  <c r="T78" i="6"/>
  <c r="L78" i="6"/>
  <c r="J78" i="6" s="1"/>
  <c r="N78" i="6"/>
  <c r="R78" i="6"/>
  <c r="U77" i="6"/>
  <c r="H77" i="6" s="1"/>
  <c r="V77" i="6"/>
  <c r="X78" i="6"/>
  <c r="I78" i="6" s="1"/>
  <c r="G79" i="6"/>
  <c r="P79" i="6" l="1"/>
  <c r="L79" i="6"/>
  <c r="J79" i="6" s="1"/>
  <c r="T79" i="6"/>
  <c r="R79" i="6"/>
  <c r="N79" i="6"/>
  <c r="U78" i="6"/>
  <c r="H78" i="6" s="1"/>
  <c r="V78" i="6"/>
  <c r="X79" i="6"/>
  <c r="I79" i="6" s="1"/>
  <c r="G80" i="6"/>
  <c r="P80" i="6" l="1"/>
  <c r="T80" i="6"/>
  <c r="L80" i="6"/>
  <c r="J80" i="6" s="1"/>
  <c r="R80" i="6"/>
  <c r="N80" i="6"/>
  <c r="U79" i="6"/>
  <c r="H79" i="6" s="1"/>
  <c r="V79" i="6"/>
  <c r="X80" i="6"/>
  <c r="I80" i="6" s="1"/>
  <c r="G81" i="6"/>
  <c r="P81" i="6" l="1"/>
  <c r="X81" i="6"/>
  <c r="I81" i="6" s="1"/>
  <c r="R81" i="6"/>
  <c r="L81" i="6"/>
  <c r="J81" i="6" s="1"/>
  <c r="N81" i="6"/>
  <c r="U80" i="6"/>
  <c r="H80" i="6" s="1"/>
  <c r="V80" i="6"/>
  <c r="T81" i="6"/>
  <c r="G82" i="6"/>
  <c r="P82" i="6" l="1"/>
  <c r="T82" i="6"/>
  <c r="L82" i="6"/>
  <c r="J82" i="6" s="1"/>
  <c r="N82" i="6"/>
  <c r="R82" i="6"/>
  <c r="U81" i="6"/>
  <c r="H81" i="6" s="1"/>
  <c r="V81" i="6"/>
  <c r="X82" i="6"/>
  <c r="I82" i="6" s="1"/>
  <c r="G83" i="6"/>
  <c r="T83" i="6" l="1"/>
  <c r="P83" i="6"/>
  <c r="R83" i="6"/>
  <c r="L83" i="6"/>
  <c r="J83" i="6" s="1"/>
  <c r="N83" i="6"/>
  <c r="U82" i="6"/>
  <c r="H82" i="6" s="1"/>
  <c r="V82" i="6"/>
  <c r="X83" i="6"/>
  <c r="I83" i="6" s="1"/>
  <c r="G84" i="6"/>
  <c r="X84" i="6" l="1"/>
  <c r="I84" i="6" s="1"/>
  <c r="P84" i="6"/>
  <c r="R84" i="6"/>
  <c r="N84" i="6"/>
  <c r="U83" i="6"/>
  <c r="H83" i="6" s="1"/>
  <c r="V83" i="6"/>
  <c r="T84" i="6"/>
  <c r="L84" i="6"/>
  <c r="J84" i="6" s="1"/>
  <c r="G85" i="6"/>
  <c r="P85" i="6" l="1"/>
  <c r="L85" i="6"/>
  <c r="J85" i="6" s="1"/>
  <c r="X85" i="6"/>
  <c r="I85" i="6" s="1"/>
  <c r="R85" i="6"/>
  <c r="N85" i="6"/>
  <c r="U84" i="6"/>
  <c r="H84" i="6" s="1"/>
  <c r="V84" i="6"/>
  <c r="T85" i="6"/>
  <c r="G86" i="6"/>
  <c r="P86" i="6" l="1"/>
  <c r="L86" i="6"/>
  <c r="J86" i="6" s="1"/>
  <c r="R86" i="6"/>
  <c r="N86" i="6"/>
  <c r="U85" i="6"/>
  <c r="H85" i="6" s="1"/>
  <c r="V85" i="6"/>
  <c r="X86" i="6"/>
  <c r="I86" i="6" s="1"/>
  <c r="T86" i="6"/>
  <c r="G87" i="6"/>
  <c r="T87" i="6" l="1"/>
  <c r="L87" i="6"/>
  <c r="J87" i="6" s="1"/>
  <c r="P87" i="6"/>
  <c r="R87" i="6"/>
  <c r="N87" i="6"/>
  <c r="U86" i="6"/>
  <c r="H86" i="6" s="1"/>
  <c r="V86" i="6"/>
  <c r="X87" i="6"/>
  <c r="I87" i="6" s="1"/>
  <c r="G88" i="6"/>
  <c r="P88" i="6" l="1"/>
  <c r="T88" i="6"/>
  <c r="R88" i="6"/>
  <c r="N88" i="6"/>
  <c r="U87" i="6"/>
  <c r="H87" i="6" s="1"/>
  <c r="V87" i="6"/>
  <c r="X88" i="6"/>
  <c r="I88" i="6" s="1"/>
  <c r="L88" i="6"/>
  <c r="J88" i="6" s="1"/>
  <c r="G89" i="6"/>
  <c r="P89" i="6" l="1"/>
  <c r="R89" i="6"/>
  <c r="X89" i="6"/>
  <c r="I89" i="6" s="1"/>
  <c r="L89" i="6"/>
  <c r="J89" i="6" s="1"/>
  <c r="N89" i="6"/>
  <c r="U88" i="6"/>
  <c r="H88" i="6" s="1"/>
  <c r="V88" i="6"/>
  <c r="T89" i="6"/>
  <c r="G90" i="6"/>
  <c r="P90" i="6" l="1"/>
  <c r="T90" i="6"/>
  <c r="L90" i="6"/>
  <c r="J90" i="6" s="1"/>
  <c r="N90" i="6"/>
  <c r="R90" i="6"/>
  <c r="U89" i="6"/>
  <c r="H89" i="6" s="1"/>
  <c r="V89" i="6"/>
  <c r="X90" i="6"/>
  <c r="I90" i="6" s="1"/>
  <c r="G91" i="6"/>
  <c r="X91" i="6" l="1"/>
  <c r="I91" i="6" s="1"/>
  <c r="R91" i="6"/>
  <c r="L91" i="6"/>
  <c r="J91" i="6" s="1"/>
  <c r="N91" i="6"/>
  <c r="P91" i="6"/>
  <c r="U90" i="6"/>
  <c r="H90" i="6" s="1"/>
  <c r="V90" i="6"/>
  <c r="T91" i="6"/>
  <c r="G92" i="6"/>
  <c r="P92" i="6" l="1"/>
  <c r="L92" i="6"/>
  <c r="J92" i="6" s="1"/>
  <c r="R92" i="6"/>
  <c r="N92" i="6"/>
  <c r="U91" i="6"/>
  <c r="H91" i="6" s="1"/>
  <c r="V91" i="6"/>
  <c r="T92" i="6"/>
  <c r="X92" i="6"/>
  <c r="I92" i="6" s="1"/>
  <c r="G93" i="6"/>
  <c r="P93" i="6" l="1"/>
  <c r="R93" i="6"/>
  <c r="T93" i="6"/>
  <c r="N93" i="6"/>
  <c r="U92" i="6"/>
  <c r="H92" i="6" s="1"/>
  <c r="V92" i="6"/>
  <c r="X93" i="6"/>
  <c r="I93" i="6" s="1"/>
  <c r="L93" i="6"/>
  <c r="J93" i="6" s="1"/>
  <c r="G94" i="6"/>
  <c r="P94" i="6" l="1"/>
  <c r="L94" i="6"/>
  <c r="J94" i="6" s="1"/>
  <c r="N94" i="6"/>
  <c r="R94" i="6"/>
  <c r="U93" i="6"/>
  <c r="H93" i="6" s="1"/>
  <c r="V93" i="6"/>
  <c r="T94" i="6"/>
  <c r="X94" i="6"/>
  <c r="I94" i="6" s="1"/>
  <c r="G95" i="6"/>
  <c r="L95" i="6" l="1"/>
  <c r="J95" i="6" s="1"/>
  <c r="P95" i="6"/>
  <c r="R95" i="6"/>
  <c r="N95" i="6"/>
  <c r="T95" i="6"/>
  <c r="U94" i="6"/>
  <c r="H94" i="6" s="1"/>
  <c r="V94" i="6"/>
  <c r="X95" i="6"/>
  <c r="I95" i="6" s="1"/>
  <c r="G96" i="6"/>
  <c r="P96" i="6" l="1"/>
  <c r="T96" i="6"/>
  <c r="R96" i="6"/>
  <c r="N96" i="6"/>
  <c r="U95" i="6"/>
  <c r="H95" i="6" s="1"/>
  <c r="V95" i="6"/>
  <c r="X96" i="6"/>
  <c r="I96" i="6" s="1"/>
  <c r="L96" i="6"/>
  <c r="J96" i="6" s="1"/>
  <c r="G97" i="6"/>
  <c r="P97" i="6" l="1"/>
  <c r="X97" i="6"/>
  <c r="I97" i="6" s="1"/>
  <c r="T97" i="6"/>
  <c r="R97" i="6"/>
  <c r="L97" i="6"/>
  <c r="J97" i="6" s="1"/>
  <c r="N97" i="6"/>
  <c r="U96" i="6"/>
  <c r="H96" i="6" s="1"/>
  <c r="V96" i="6"/>
  <c r="G98" i="6"/>
  <c r="P98" i="6" l="1"/>
  <c r="L98" i="6"/>
  <c r="J98" i="6" s="1"/>
  <c r="T98" i="6"/>
  <c r="N98" i="6"/>
  <c r="R98" i="6"/>
  <c r="U97" i="6"/>
  <c r="H97" i="6" s="1"/>
  <c r="V97" i="6"/>
  <c r="X98" i="6"/>
  <c r="I98" i="6" s="1"/>
  <c r="G99" i="6"/>
  <c r="X99" i="6" l="1"/>
  <c r="I99" i="6" s="1"/>
  <c r="T99" i="6"/>
  <c r="P99" i="6"/>
  <c r="R99" i="6"/>
  <c r="N99" i="6"/>
  <c r="U98" i="6"/>
  <c r="H98" i="6" s="1"/>
  <c r="V98" i="6"/>
  <c r="L99" i="6"/>
  <c r="J99" i="6" s="1"/>
  <c r="G100" i="6"/>
  <c r="T100" i="6" l="1"/>
  <c r="P100" i="6"/>
  <c r="L100" i="6"/>
  <c r="J100" i="6" s="1"/>
  <c r="R100" i="6"/>
  <c r="N100" i="6"/>
  <c r="U99" i="6"/>
  <c r="H99" i="6" s="1"/>
  <c r="V99" i="6"/>
  <c r="X100" i="6"/>
  <c r="I100" i="6" s="1"/>
  <c r="G101" i="6"/>
  <c r="P101" i="6" l="1"/>
  <c r="X101" i="6"/>
  <c r="I101" i="6" s="1"/>
  <c r="R101" i="6"/>
  <c r="N101" i="6"/>
  <c r="U100" i="6"/>
  <c r="H100" i="6" s="1"/>
  <c r="V100" i="6"/>
  <c r="T101" i="6"/>
  <c r="L101" i="6"/>
  <c r="J101" i="6" s="1"/>
  <c r="G102" i="6"/>
  <c r="P102" i="6" l="1"/>
  <c r="L102" i="6"/>
  <c r="J102" i="6" s="1"/>
  <c r="R102" i="6"/>
  <c r="N102" i="6"/>
  <c r="U101" i="6"/>
  <c r="H101" i="6" s="1"/>
  <c r="V101" i="6"/>
  <c r="X102" i="6"/>
  <c r="I102" i="6" s="1"/>
  <c r="T102" i="6"/>
  <c r="G103" i="6"/>
  <c r="T103" i="6" l="1"/>
  <c r="L103" i="6"/>
  <c r="J103" i="6" s="1"/>
  <c r="P103" i="6"/>
  <c r="R103" i="6"/>
  <c r="N103" i="6"/>
  <c r="U102" i="6"/>
  <c r="H102" i="6" s="1"/>
  <c r="V102" i="6"/>
  <c r="X103" i="6"/>
  <c r="I103" i="6" s="1"/>
  <c r="G104" i="6"/>
  <c r="X104" i="6" l="1"/>
  <c r="I104" i="6" s="1"/>
  <c r="P104" i="6"/>
  <c r="T104" i="6"/>
  <c r="L104" i="6"/>
  <c r="J104" i="6" s="1"/>
  <c r="R104" i="6"/>
  <c r="N104" i="6"/>
  <c r="U103" i="6"/>
  <c r="H103" i="6" s="1"/>
  <c r="V103" i="6"/>
  <c r="G105" i="6"/>
  <c r="P105" i="6" l="1"/>
  <c r="X105" i="6"/>
  <c r="I105" i="6" s="1"/>
  <c r="R105" i="6"/>
  <c r="L105" i="6"/>
  <c r="J105" i="6" s="1"/>
  <c r="N105" i="6"/>
  <c r="U104" i="6"/>
  <c r="H104" i="6" s="1"/>
  <c r="V104" i="6"/>
  <c r="T105" i="6"/>
  <c r="G106" i="6"/>
  <c r="P106" i="6" l="1"/>
  <c r="T106" i="6"/>
  <c r="L106" i="6"/>
  <c r="J106" i="6" s="1"/>
  <c r="R106" i="6"/>
  <c r="N106" i="6"/>
  <c r="U105" i="6"/>
  <c r="H105" i="6" s="1"/>
  <c r="V105" i="6"/>
  <c r="X106" i="6"/>
  <c r="I106" i="6" s="1"/>
  <c r="G107" i="6"/>
  <c r="X107" i="6" l="1"/>
  <c r="I107" i="6" s="1"/>
  <c r="T107" i="6"/>
  <c r="P107" i="6"/>
  <c r="R107" i="6"/>
  <c r="N107" i="6"/>
  <c r="L107" i="6"/>
  <c r="J107" i="6" s="1"/>
  <c r="U106" i="6"/>
  <c r="H106" i="6" s="1"/>
  <c r="V106" i="6"/>
  <c r="G108" i="6"/>
  <c r="P108" i="6" l="1"/>
  <c r="L108" i="6"/>
  <c r="J108" i="6" s="1"/>
  <c r="R108" i="6"/>
  <c r="N108" i="6"/>
  <c r="U107" i="6"/>
  <c r="H107" i="6" s="1"/>
  <c r="V107" i="6"/>
  <c r="T108" i="6"/>
  <c r="X108" i="6"/>
  <c r="I108" i="6" s="1"/>
  <c r="G109" i="6"/>
  <c r="P109" i="6" l="1"/>
  <c r="R109" i="6"/>
  <c r="X109" i="6"/>
  <c r="I109" i="6" s="1"/>
  <c r="N109" i="6"/>
  <c r="T109" i="6"/>
  <c r="U108" i="6"/>
  <c r="H108" i="6" s="1"/>
  <c r="V108" i="6"/>
  <c r="L109" i="6"/>
  <c r="J109" i="6" s="1"/>
  <c r="G110" i="6"/>
  <c r="P110" i="6" l="1"/>
  <c r="N110" i="6"/>
  <c r="R110" i="6"/>
  <c r="U109" i="6"/>
  <c r="H109" i="6" s="1"/>
  <c r="V109" i="6"/>
  <c r="L110" i="6"/>
  <c r="J110" i="6" s="1"/>
  <c r="T110" i="6"/>
  <c r="X110" i="6"/>
  <c r="I110" i="6" s="1"/>
  <c r="G111" i="6"/>
  <c r="P111" i="6" l="1"/>
  <c r="L111" i="6"/>
  <c r="J111" i="6" s="1"/>
  <c r="T111" i="6"/>
  <c r="R111" i="6"/>
  <c r="N111" i="6"/>
  <c r="U110" i="6"/>
  <c r="H110" i="6" s="1"/>
  <c r="V110" i="6"/>
  <c r="X111" i="6"/>
  <c r="I111" i="6" s="1"/>
  <c r="G112" i="6"/>
  <c r="P112" i="6" l="1"/>
  <c r="R112" i="6"/>
  <c r="N112" i="6"/>
  <c r="U111" i="6"/>
  <c r="H111" i="6" s="1"/>
  <c r="V111" i="6"/>
  <c r="X112" i="6"/>
  <c r="I112" i="6" s="1"/>
  <c r="L112" i="6"/>
  <c r="J112" i="6" s="1"/>
  <c r="T112" i="6"/>
  <c r="G113" i="6"/>
  <c r="P113" i="6" l="1"/>
  <c r="T113" i="6"/>
  <c r="R113" i="6"/>
  <c r="X113" i="6"/>
  <c r="I113" i="6" s="1"/>
  <c r="L113" i="6"/>
  <c r="J113" i="6" s="1"/>
  <c r="N113" i="6"/>
  <c r="U112" i="6"/>
  <c r="H112" i="6" s="1"/>
  <c r="V112" i="6"/>
  <c r="G114" i="6"/>
  <c r="P114" i="6" l="1"/>
  <c r="T114" i="6"/>
  <c r="N114" i="6"/>
  <c r="R114" i="6"/>
  <c r="U113" i="6"/>
  <c r="H113" i="6" s="1"/>
  <c r="V113" i="6"/>
  <c r="X114" i="6"/>
  <c r="I114" i="6" s="1"/>
  <c r="L114" i="6"/>
  <c r="J114" i="6" s="1"/>
  <c r="G115" i="6"/>
  <c r="T115" i="6" l="1"/>
  <c r="P115" i="6"/>
  <c r="R115" i="6"/>
  <c r="N115" i="6"/>
  <c r="L115" i="6"/>
  <c r="J115" i="6" s="1"/>
  <c r="U114" i="6"/>
  <c r="H114" i="6" s="1"/>
  <c r="V114" i="6"/>
  <c r="X115" i="6"/>
  <c r="I115" i="6" s="1"/>
  <c r="G116" i="6"/>
  <c r="P116" i="6" l="1"/>
  <c r="R116" i="6"/>
  <c r="N116" i="6"/>
  <c r="U115" i="6"/>
  <c r="H115" i="6" s="1"/>
  <c r="V115" i="6"/>
  <c r="T116" i="6"/>
  <c r="L116" i="6"/>
  <c r="J116" i="6" s="1"/>
  <c r="X116" i="6"/>
  <c r="I116" i="6" s="1"/>
  <c r="G117" i="6"/>
  <c r="P117" i="6" l="1"/>
  <c r="T117" i="6"/>
  <c r="X117" i="6"/>
  <c r="I117" i="6" s="1"/>
  <c r="R117" i="6"/>
  <c r="N117" i="6"/>
  <c r="U116" i="6"/>
  <c r="H116" i="6" s="1"/>
  <c r="V116" i="6"/>
  <c r="L117" i="6"/>
  <c r="J117" i="6" s="1"/>
  <c r="G118" i="6"/>
  <c r="P118" i="6" l="1"/>
  <c r="X118" i="6"/>
  <c r="I118" i="6" s="1"/>
  <c r="L118" i="6"/>
  <c r="J118" i="6" s="1"/>
  <c r="N118" i="6"/>
  <c r="R118" i="6"/>
  <c r="U117" i="6"/>
  <c r="H117" i="6" s="1"/>
  <c r="V117" i="6"/>
  <c r="T118" i="6"/>
  <c r="G119" i="6"/>
  <c r="T119" i="6" l="1"/>
  <c r="L119" i="6"/>
  <c r="J119" i="6" s="1"/>
  <c r="P119" i="6"/>
  <c r="R119" i="6"/>
  <c r="N119" i="6"/>
  <c r="U118" i="6"/>
  <c r="H118" i="6" s="1"/>
  <c r="V118" i="6"/>
  <c r="X119" i="6"/>
  <c r="I119" i="6" s="1"/>
  <c r="G120" i="6"/>
  <c r="P120" i="6" l="1"/>
  <c r="T120" i="6"/>
  <c r="L120" i="6"/>
  <c r="J120" i="6" s="1"/>
  <c r="R120" i="6"/>
  <c r="N120" i="6"/>
  <c r="U119" i="6"/>
  <c r="H119" i="6" s="1"/>
  <c r="V119" i="6"/>
  <c r="X120" i="6"/>
  <c r="I120" i="6" s="1"/>
  <c r="G121" i="6"/>
  <c r="P121" i="6" l="1"/>
  <c r="R121" i="6"/>
  <c r="X121" i="6"/>
  <c r="I121" i="6" s="1"/>
  <c r="L121" i="6"/>
  <c r="J121" i="6" s="1"/>
  <c r="N121" i="6"/>
  <c r="U120" i="6"/>
  <c r="H120" i="6" s="1"/>
  <c r="V120" i="6"/>
  <c r="T121" i="6"/>
  <c r="G122" i="6"/>
  <c r="P122" i="6" l="1"/>
  <c r="N122" i="6"/>
  <c r="R122" i="6"/>
  <c r="U121" i="6"/>
  <c r="H121" i="6" s="1"/>
  <c r="V121" i="6"/>
  <c r="X122" i="6"/>
  <c r="I122" i="6" s="1"/>
  <c r="L122" i="6"/>
  <c r="J122" i="6" s="1"/>
  <c r="T122" i="6"/>
  <c r="G123" i="6"/>
  <c r="T123" i="6" l="1"/>
  <c r="P123" i="6"/>
  <c r="R123" i="6"/>
  <c r="L123" i="6"/>
  <c r="J123" i="6" s="1"/>
  <c r="N123" i="6"/>
  <c r="U122" i="6"/>
  <c r="H122" i="6" s="1"/>
  <c r="V122" i="6"/>
  <c r="X123" i="6"/>
  <c r="I123" i="6" s="1"/>
  <c r="G124" i="6"/>
  <c r="T124" i="6" l="1"/>
  <c r="P124" i="6"/>
  <c r="R124" i="6"/>
  <c r="N124" i="6"/>
  <c r="U123" i="6"/>
  <c r="H123" i="6" s="1"/>
  <c r="V123" i="6"/>
  <c r="L124" i="6"/>
  <c r="J124" i="6" s="1"/>
  <c r="X124" i="6"/>
  <c r="I124" i="6" s="1"/>
  <c r="G125" i="6"/>
  <c r="P125" i="6" l="1"/>
  <c r="R125" i="6"/>
  <c r="T125" i="6"/>
  <c r="N125" i="6"/>
  <c r="U124" i="6"/>
  <c r="H124" i="6" s="1"/>
  <c r="V124" i="6"/>
  <c r="X125" i="6"/>
  <c r="I125" i="6" s="1"/>
  <c r="L125" i="6"/>
  <c r="J125" i="6" s="1"/>
  <c r="G126" i="6"/>
  <c r="P126" i="6" l="1"/>
  <c r="X126" i="6"/>
  <c r="I126" i="6" s="1"/>
  <c r="L126" i="6"/>
  <c r="J126" i="6" s="1"/>
  <c r="T126" i="6"/>
  <c r="N126" i="6"/>
  <c r="R126" i="6"/>
  <c r="U125" i="6"/>
  <c r="H125" i="6" s="1"/>
  <c r="V125" i="6"/>
  <c r="G127" i="6"/>
  <c r="T127" i="6" l="1"/>
  <c r="P127" i="6"/>
  <c r="R127" i="6"/>
  <c r="N127" i="6"/>
  <c r="U126" i="6"/>
  <c r="H126" i="6" s="1"/>
  <c r="V126" i="6"/>
  <c r="L127" i="6"/>
  <c r="J127" i="6" s="1"/>
  <c r="X127" i="6"/>
  <c r="I127" i="6" s="1"/>
  <c r="G128" i="6"/>
  <c r="P128" i="6" l="1"/>
  <c r="T128" i="6"/>
  <c r="R128" i="6"/>
  <c r="N128" i="6"/>
  <c r="U127" i="6"/>
  <c r="H127" i="6" s="1"/>
  <c r="V127" i="6"/>
  <c r="X128" i="6"/>
  <c r="I128" i="6" s="1"/>
  <c r="L128" i="6"/>
  <c r="J128" i="6" s="1"/>
  <c r="G129" i="6"/>
  <c r="P129" i="6" l="1"/>
  <c r="X129" i="6"/>
  <c r="I129" i="6" s="1"/>
  <c r="R129" i="6"/>
  <c r="L129" i="6"/>
  <c r="J129" i="6" s="1"/>
  <c r="N129" i="6"/>
  <c r="U128" i="6"/>
  <c r="H128" i="6" s="1"/>
  <c r="V128" i="6"/>
  <c r="T129" i="6"/>
  <c r="G130" i="6"/>
  <c r="P130" i="6" l="1"/>
  <c r="T130" i="6"/>
  <c r="L130" i="6"/>
  <c r="J130" i="6" s="1"/>
  <c r="N130" i="6"/>
  <c r="R130" i="6"/>
  <c r="U129" i="6"/>
  <c r="H129" i="6" s="1"/>
  <c r="V129" i="6"/>
  <c r="X130" i="6"/>
  <c r="I130" i="6" s="1"/>
  <c r="G131" i="6"/>
  <c r="T131" i="6" l="1"/>
  <c r="P131" i="6"/>
  <c r="R131" i="6"/>
  <c r="L131" i="6"/>
  <c r="J131" i="6" s="1"/>
  <c r="N131" i="6"/>
  <c r="U130" i="6"/>
  <c r="H130" i="6" s="1"/>
  <c r="V130" i="6"/>
  <c r="X131" i="6"/>
  <c r="I131" i="6" s="1"/>
  <c r="G132" i="6"/>
  <c r="P132" i="6" l="1"/>
  <c r="T132" i="6"/>
  <c r="L132" i="6"/>
  <c r="J132" i="6" s="1"/>
  <c r="R132" i="6"/>
  <c r="N132" i="6"/>
  <c r="U131" i="6"/>
  <c r="H131" i="6" s="1"/>
  <c r="V131" i="6"/>
  <c r="X132" i="6"/>
  <c r="I132" i="6" s="1"/>
  <c r="G133" i="6"/>
  <c r="P133" i="6" l="1"/>
  <c r="R133" i="6"/>
  <c r="T133" i="6"/>
  <c r="N133" i="6"/>
  <c r="U132" i="6"/>
  <c r="H132" i="6" s="1"/>
  <c r="V132" i="6"/>
  <c r="X133" i="6"/>
  <c r="I133" i="6" s="1"/>
  <c r="L133" i="6"/>
  <c r="J133" i="6" s="1"/>
  <c r="G134" i="6"/>
  <c r="P134" i="6" l="1"/>
  <c r="T134" i="6"/>
  <c r="R134" i="6"/>
  <c r="N134" i="6"/>
  <c r="U133" i="6"/>
  <c r="H133" i="6" s="1"/>
  <c r="V133" i="6"/>
  <c r="L134" i="6"/>
  <c r="J134" i="6" s="1"/>
  <c r="X134" i="6"/>
  <c r="I134" i="6" s="1"/>
  <c r="G135" i="6"/>
  <c r="T135" i="6" l="1"/>
  <c r="P135" i="6"/>
  <c r="R135" i="6"/>
  <c r="N135" i="6"/>
  <c r="U134" i="6"/>
  <c r="H134" i="6" s="1"/>
  <c r="V134" i="6"/>
  <c r="L135" i="6"/>
  <c r="J135" i="6" s="1"/>
  <c r="X135" i="6"/>
  <c r="I135" i="6" s="1"/>
  <c r="G136" i="6"/>
  <c r="P136" i="6" l="1"/>
  <c r="R136" i="6"/>
  <c r="T136" i="6"/>
  <c r="N136" i="6"/>
  <c r="U135" i="6"/>
  <c r="H135" i="6" s="1"/>
  <c r="V135" i="6"/>
  <c r="X136" i="6"/>
  <c r="I136" i="6" s="1"/>
  <c r="L136" i="6"/>
  <c r="J136" i="6" s="1"/>
  <c r="G137" i="6"/>
  <c r="P137" i="6" l="1"/>
  <c r="R137" i="6"/>
  <c r="L137" i="6"/>
  <c r="J137" i="6" s="1"/>
  <c r="N137" i="6"/>
  <c r="U136" i="6"/>
  <c r="H136" i="6" s="1"/>
  <c r="V136" i="6"/>
  <c r="X137" i="6"/>
  <c r="I137" i="6" s="1"/>
  <c r="T137" i="6"/>
  <c r="G138" i="6"/>
  <c r="P138" i="6" l="1"/>
  <c r="T138" i="6"/>
  <c r="L138" i="6"/>
  <c r="J138" i="6" s="1"/>
  <c r="R138" i="6"/>
  <c r="N138" i="6"/>
  <c r="U137" i="6"/>
  <c r="H137" i="6" s="1"/>
  <c r="V137" i="6"/>
  <c r="X138" i="6"/>
  <c r="I138" i="6" s="1"/>
  <c r="G139" i="6"/>
  <c r="P139" i="6" l="1"/>
  <c r="T139" i="6"/>
  <c r="R139" i="6"/>
  <c r="N139" i="6"/>
  <c r="L139" i="6"/>
  <c r="J139" i="6" s="1"/>
  <c r="U138" i="6"/>
  <c r="H138" i="6" s="1"/>
  <c r="V138" i="6"/>
  <c r="X139" i="6"/>
  <c r="I139" i="6" s="1"/>
  <c r="G140" i="6"/>
  <c r="P140" i="6" l="1"/>
  <c r="T140" i="6"/>
  <c r="R140" i="6"/>
  <c r="N140" i="6"/>
  <c r="U139" i="6"/>
  <c r="H139" i="6" s="1"/>
  <c r="V139" i="6"/>
  <c r="L140" i="6"/>
  <c r="J140" i="6" s="1"/>
  <c r="X140" i="6"/>
  <c r="I140" i="6" s="1"/>
  <c r="G141" i="6"/>
  <c r="P141" i="6" l="1"/>
  <c r="T141" i="6"/>
  <c r="R141" i="6"/>
  <c r="N141" i="6"/>
  <c r="U140" i="6"/>
  <c r="H140" i="6" s="1"/>
  <c r="V140" i="6"/>
  <c r="X141" i="6"/>
  <c r="I141" i="6" s="1"/>
  <c r="L141" i="6"/>
  <c r="J141" i="6" s="1"/>
  <c r="G142" i="6"/>
  <c r="P142" i="6" l="1"/>
  <c r="T142" i="6"/>
  <c r="N142" i="6"/>
  <c r="R142" i="6"/>
  <c r="U141" i="6"/>
  <c r="H141" i="6" s="1"/>
  <c r="V141" i="6"/>
  <c r="L142" i="6"/>
  <c r="J142" i="6" s="1"/>
  <c r="X142" i="6"/>
  <c r="I142" i="6" s="1"/>
  <c r="G143" i="6"/>
  <c r="X143" i="6" l="1"/>
  <c r="I143" i="6" s="1"/>
  <c r="P143" i="6"/>
  <c r="T143" i="6"/>
  <c r="R143" i="6"/>
  <c r="N143" i="6"/>
  <c r="U142" i="6"/>
  <c r="H142" i="6" s="1"/>
  <c r="V142" i="6"/>
  <c r="L143" i="6"/>
  <c r="J143" i="6" s="1"/>
  <c r="G144" i="6"/>
  <c r="X144" i="6" l="1"/>
  <c r="I144" i="6" s="1"/>
  <c r="P144" i="6"/>
  <c r="T144" i="6"/>
  <c r="R144" i="6"/>
  <c r="N144" i="6"/>
  <c r="U143" i="6"/>
  <c r="H143" i="6" s="1"/>
  <c r="V143" i="6"/>
  <c r="L144" i="6"/>
  <c r="J144" i="6" s="1"/>
  <c r="G145" i="6"/>
  <c r="P145" i="6" l="1"/>
  <c r="T145" i="6"/>
  <c r="R145" i="6"/>
  <c r="L145" i="6"/>
  <c r="J145" i="6" s="1"/>
  <c r="X145" i="6"/>
  <c r="I145" i="6" s="1"/>
  <c r="N145" i="6"/>
  <c r="U144" i="6"/>
  <c r="H144" i="6" s="1"/>
  <c r="V144" i="6"/>
  <c r="G146" i="6"/>
  <c r="P146" i="6" l="1"/>
  <c r="R146" i="6"/>
  <c r="N146" i="6"/>
  <c r="U145" i="6"/>
  <c r="H145" i="6" s="1"/>
  <c r="V145" i="6"/>
  <c r="X146" i="6"/>
  <c r="I146" i="6" s="1"/>
  <c r="L146" i="6"/>
  <c r="J146" i="6" s="1"/>
  <c r="T146" i="6"/>
  <c r="G147" i="6"/>
  <c r="X147" i="6" l="1"/>
  <c r="I147" i="6" s="1"/>
  <c r="P147" i="6"/>
  <c r="T147" i="6"/>
  <c r="R147" i="6"/>
  <c r="L147" i="6"/>
  <c r="J147" i="6" s="1"/>
  <c r="N147" i="6"/>
  <c r="U146" i="6"/>
  <c r="H146" i="6" s="1"/>
  <c r="V146" i="6"/>
  <c r="G148" i="6"/>
  <c r="X148" i="6" l="1"/>
  <c r="I148" i="6" s="1"/>
  <c r="P148" i="6"/>
  <c r="T148" i="6"/>
  <c r="N148" i="6"/>
  <c r="R148" i="6"/>
  <c r="U147" i="6"/>
  <c r="H147" i="6" s="1"/>
  <c r="V147" i="6"/>
  <c r="L148" i="6"/>
  <c r="J148" i="6" s="1"/>
  <c r="G149" i="6"/>
  <c r="P149" i="6" l="1"/>
  <c r="R149" i="6"/>
  <c r="T149" i="6"/>
  <c r="N149" i="6"/>
  <c r="U148" i="6"/>
  <c r="H148" i="6" s="1"/>
  <c r="V148" i="6"/>
  <c r="X149" i="6"/>
  <c r="I149" i="6" s="1"/>
  <c r="L149" i="6"/>
  <c r="J149" i="6" s="1"/>
  <c r="G150" i="6"/>
  <c r="P150" i="6" l="1"/>
  <c r="T150" i="6"/>
  <c r="N150" i="6"/>
  <c r="R150" i="6"/>
  <c r="U149" i="6"/>
  <c r="H149" i="6" s="1"/>
  <c r="V149" i="6"/>
  <c r="L150" i="6"/>
  <c r="J150" i="6" s="1"/>
  <c r="X150" i="6"/>
  <c r="I150" i="6" s="1"/>
  <c r="G151" i="6"/>
  <c r="X151" i="6" l="1"/>
  <c r="I151" i="6" s="1"/>
  <c r="P151" i="6"/>
  <c r="T151" i="6"/>
  <c r="R151" i="6"/>
  <c r="N151" i="6"/>
  <c r="U150" i="6"/>
  <c r="H150" i="6" s="1"/>
  <c r="V150" i="6"/>
  <c r="L151" i="6"/>
  <c r="J151" i="6" s="1"/>
  <c r="G152" i="6"/>
  <c r="P152" i="6" l="1"/>
  <c r="N152" i="6"/>
  <c r="T152" i="6"/>
  <c r="R152" i="6"/>
  <c r="U151" i="6"/>
  <c r="H151" i="6" s="1"/>
  <c r="V151" i="6"/>
  <c r="X152" i="6"/>
  <c r="I152" i="6" s="1"/>
  <c r="L152" i="6"/>
  <c r="J152" i="6" s="1"/>
  <c r="G153" i="6"/>
  <c r="P153" i="6" l="1"/>
  <c r="T153" i="6"/>
  <c r="R153" i="6"/>
  <c r="N153" i="6"/>
  <c r="L153" i="6"/>
  <c r="J153" i="6" s="1"/>
  <c r="U152" i="6"/>
  <c r="H152" i="6" s="1"/>
  <c r="V152" i="6"/>
  <c r="X153" i="6"/>
  <c r="I153" i="6" s="1"/>
  <c r="G154" i="6"/>
  <c r="P154" i="6" l="1"/>
  <c r="N154" i="6"/>
  <c r="R154" i="6"/>
  <c r="U153" i="6"/>
  <c r="H153" i="6" s="1"/>
  <c r="V153" i="6"/>
  <c r="X154" i="6"/>
  <c r="I154" i="6" s="1"/>
  <c r="L154" i="6"/>
  <c r="J154" i="6" s="1"/>
  <c r="T154" i="6"/>
  <c r="G155" i="6"/>
  <c r="T155" i="6" l="1"/>
  <c r="R155" i="6"/>
  <c r="N155" i="6"/>
  <c r="P155" i="6"/>
  <c r="L155" i="6"/>
  <c r="J155" i="6" s="1"/>
  <c r="U154" i="6"/>
  <c r="H154" i="6" s="1"/>
  <c r="V154" i="6"/>
  <c r="X155" i="6"/>
  <c r="I155" i="6" s="1"/>
  <c r="G156" i="6"/>
  <c r="X156" i="6" l="1"/>
  <c r="I156" i="6" s="1"/>
  <c r="P156" i="6"/>
  <c r="N156" i="6"/>
  <c r="R156" i="6"/>
  <c r="U155" i="6"/>
  <c r="H155" i="6" s="1"/>
  <c r="V155" i="6"/>
  <c r="L156" i="6"/>
  <c r="J156" i="6" s="1"/>
  <c r="T156" i="6"/>
  <c r="G157" i="6"/>
  <c r="P157" i="6" l="1"/>
  <c r="R157" i="6"/>
  <c r="T157" i="6"/>
  <c r="N157" i="6"/>
  <c r="U156" i="6"/>
  <c r="H156" i="6" s="1"/>
  <c r="V156" i="6"/>
  <c r="X157" i="6"/>
  <c r="I157" i="6" s="1"/>
  <c r="L157" i="6"/>
  <c r="J157" i="6" s="1"/>
  <c r="G158" i="6"/>
  <c r="P158" i="6" l="1"/>
  <c r="N158" i="6"/>
  <c r="T158" i="6"/>
  <c r="R158" i="6"/>
  <c r="U157" i="6"/>
  <c r="H157" i="6" s="1"/>
  <c r="V157" i="6"/>
  <c r="L158" i="6"/>
  <c r="J158" i="6" s="1"/>
  <c r="X158" i="6"/>
  <c r="I158" i="6" s="1"/>
  <c r="G159" i="6"/>
  <c r="X159" i="6" l="1"/>
  <c r="I159" i="6" s="1"/>
  <c r="T159" i="6"/>
  <c r="R159" i="6"/>
  <c r="P159" i="6"/>
  <c r="N159" i="6"/>
  <c r="U158" i="6"/>
  <c r="H158" i="6" s="1"/>
  <c r="V158" i="6"/>
  <c r="L159" i="6"/>
  <c r="J159" i="6" s="1"/>
  <c r="G160" i="6"/>
  <c r="X160" i="6" l="1"/>
  <c r="I160" i="6" s="1"/>
  <c r="P160" i="6"/>
  <c r="T160" i="6"/>
  <c r="R160" i="6"/>
  <c r="N160" i="6"/>
  <c r="U159" i="6"/>
  <c r="H159" i="6" s="1"/>
  <c r="V159" i="6"/>
  <c r="L160" i="6"/>
  <c r="J160" i="6" s="1"/>
  <c r="G161" i="6"/>
  <c r="P161" i="6" l="1"/>
  <c r="X161" i="6"/>
  <c r="I161" i="6" s="1"/>
  <c r="R161" i="6"/>
  <c r="L161" i="6"/>
  <c r="J161" i="6" s="1"/>
  <c r="N161" i="6"/>
  <c r="U160" i="6"/>
  <c r="H160" i="6" s="1"/>
  <c r="V160" i="6"/>
  <c r="T161" i="6"/>
  <c r="G162" i="6"/>
  <c r="P162" i="6" l="1"/>
  <c r="T162" i="6"/>
  <c r="R162" i="6"/>
  <c r="N162" i="6"/>
  <c r="U161" i="6"/>
  <c r="H161" i="6" s="1"/>
  <c r="V161" i="6"/>
  <c r="X162" i="6"/>
  <c r="I162" i="6" s="1"/>
  <c r="L162" i="6"/>
  <c r="J162" i="6" s="1"/>
  <c r="G163" i="6"/>
  <c r="T163" i="6" l="1"/>
  <c r="P163" i="6"/>
  <c r="R163" i="6"/>
  <c r="N163" i="6"/>
  <c r="L163" i="6"/>
  <c r="J163" i="6" s="1"/>
  <c r="U162" i="6"/>
  <c r="H162" i="6" s="1"/>
  <c r="V162" i="6"/>
  <c r="X163" i="6"/>
  <c r="I163" i="6" s="1"/>
  <c r="G164" i="6"/>
  <c r="P164" i="6" l="1"/>
  <c r="T164" i="6"/>
  <c r="L164" i="6"/>
  <c r="J164" i="6" s="1"/>
  <c r="N164" i="6"/>
  <c r="R164" i="6"/>
  <c r="U163" i="6"/>
  <c r="H163" i="6" s="1"/>
  <c r="V163" i="6"/>
  <c r="X164" i="6"/>
  <c r="I164" i="6" s="1"/>
  <c r="G165" i="6"/>
  <c r="P165" i="6" l="1"/>
  <c r="X165" i="6"/>
  <c r="I165" i="6" s="1"/>
  <c r="R165" i="6"/>
  <c r="T165" i="6"/>
  <c r="N165" i="6"/>
  <c r="U164" i="6"/>
  <c r="H164" i="6" s="1"/>
  <c r="V164" i="6"/>
  <c r="L165" i="6"/>
  <c r="J165" i="6" s="1"/>
  <c r="G166" i="6"/>
  <c r="P166" i="6" l="1"/>
  <c r="T166" i="6"/>
  <c r="R166" i="6"/>
  <c r="N166" i="6"/>
  <c r="U165" i="6"/>
  <c r="H165" i="6" s="1"/>
  <c r="V165" i="6"/>
  <c r="L166" i="6"/>
  <c r="J166" i="6" s="1"/>
  <c r="X166" i="6"/>
  <c r="I166" i="6" s="1"/>
  <c r="G167" i="6"/>
  <c r="T167" i="6" l="1"/>
  <c r="R167" i="6"/>
  <c r="P167" i="6"/>
  <c r="N167" i="6"/>
  <c r="U166" i="6"/>
  <c r="H166" i="6" s="1"/>
  <c r="V166" i="6"/>
  <c r="X167" i="6"/>
  <c r="I167" i="6" s="1"/>
  <c r="L167" i="6"/>
  <c r="J167" i="6" s="1"/>
  <c r="G168" i="6"/>
  <c r="P168" i="6" l="1"/>
  <c r="T168" i="6"/>
  <c r="N168" i="6"/>
  <c r="R168" i="6"/>
  <c r="U167" i="6"/>
  <c r="H167" i="6" s="1"/>
  <c r="V167" i="6"/>
  <c r="X168" i="6"/>
  <c r="I168" i="6" s="1"/>
  <c r="L168" i="6"/>
  <c r="J168" i="6" s="1"/>
  <c r="G169" i="6"/>
  <c r="P169" i="6" l="1"/>
  <c r="R169" i="6"/>
  <c r="L169" i="6"/>
  <c r="J169" i="6" s="1"/>
  <c r="N169" i="6"/>
  <c r="U168" i="6"/>
  <c r="H168" i="6" s="1"/>
  <c r="V168" i="6"/>
  <c r="T169" i="6"/>
  <c r="X169" i="6"/>
  <c r="I169" i="6" s="1"/>
  <c r="G170" i="6"/>
  <c r="P170" i="6" l="1"/>
  <c r="L170" i="6"/>
  <c r="J170" i="6" s="1"/>
  <c r="R170" i="6"/>
  <c r="N170" i="6"/>
  <c r="U169" i="6"/>
  <c r="H169" i="6" s="1"/>
  <c r="V169" i="6"/>
  <c r="X170" i="6"/>
  <c r="I170" i="6" s="1"/>
  <c r="T170" i="6"/>
  <c r="G171" i="6"/>
  <c r="P171" i="6" l="1"/>
  <c r="T171" i="6"/>
  <c r="X171" i="6"/>
  <c r="I171" i="6" s="1"/>
  <c r="R171" i="6"/>
  <c r="L171" i="6"/>
  <c r="J171" i="6" s="1"/>
  <c r="N171" i="6"/>
  <c r="U170" i="6"/>
  <c r="H170" i="6" s="1"/>
  <c r="V170" i="6"/>
  <c r="G172" i="6"/>
  <c r="P172" i="6" l="1"/>
  <c r="T172" i="6"/>
  <c r="L172" i="6"/>
  <c r="J172" i="6" s="1"/>
  <c r="N172" i="6"/>
  <c r="R172" i="6"/>
  <c r="U171" i="6"/>
  <c r="H171" i="6" s="1"/>
  <c r="V171" i="6"/>
  <c r="X172" i="6"/>
  <c r="I172" i="6" s="1"/>
  <c r="G173" i="6"/>
  <c r="P173" i="6" l="1"/>
  <c r="R173" i="6"/>
  <c r="X173" i="6"/>
  <c r="I173" i="6" s="1"/>
  <c r="T173" i="6"/>
  <c r="N173" i="6"/>
  <c r="U172" i="6"/>
  <c r="H172" i="6" s="1"/>
  <c r="V172" i="6"/>
  <c r="L173" i="6"/>
  <c r="J173" i="6" s="1"/>
  <c r="G174" i="6"/>
  <c r="P174" i="6" l="1"/>
  <c r="L174" i="6"/>
  <c r="J174" i="6" s="1"/>
  <c r="N174" i="6"/>
  <c r="T174" i="6"/>
  <c r="R174" i="6"/>
  <c r="U173" i="6"/>
  <c r="H173" i="6" s="1"/>
  <c r="V173" i="6"/>
  <c r="X174" i="6"/>
  <c r="I174" i="6" s="1"/>
  <c r="G175" i="6"/>
  <c r="P175" i="6" l="1"/>
  <c r="T175" i="6"/>
  <c r="R175" i="6"/>
  <c r="N175" i="6"/>
  <c r="U174" i="6"/>
  <c r="H174" i="6" s="1"/>
  <c r="V174" i="6"/>
  <c r="X175" i="6"/>
  <c r="I175" i="6" s="1"/>
  <c r="L175" i="6"/>
  <c r="J175" i="6" s="1"/>
  <c r="G176" i="6"/>
  <c r="P176" i="6" l="1"/>
  <c r="T176" i="6"/>
  <c r="N176" i="6"/>
  <c r="R176" i="6"/>
  <c r="U175" i="6"/>
  <c r="H175" i="6" s="1"/>
  <c r="V175" i="6"/>
  <c r="X176" i="6"/>
  <c r="I176" i="6" s="1"/>
  <c r="L176" i="6"/>
  <c r="J176" i="6" s="1"/>
  <c r="G177" i="6"/>
  <c r="P177" i="6" l="1"/>
  <c r="R177" i="6"/>
  <c r="L177" i="6"/>
  <c r="J177" i="6" s="1"/>
  <c r="N177" i="6"/>
  <c r="U176" i="6"/>
  <c r="H176" i="6" s="1"/>
  <c r="V176" i="6"/>
  <c r="T177" i="6"/>
  <c r="X177" i="6"/>
  <c r="I177" i="6" s="1"/>
  <c r="G178" i="6"/>
  <c r="P178" i="6" l="1"/>
  <c r="T178" i="6"/>
  <c r="L178" i="6"/>
  <c r="J178" i="6" s="1"/>
  <c r="R178" i="6"/>
  <c r="N178" i="6"/>
  <c r="U177" i="6"/>
  <c r="H177" i="6" s="1"/>
  <c r="V177" i="6"/>
  <c r="X178" i="6"/>
  <c r="I178" i="6" s="1"/>
  <c r="G179" i="6"/>
  <c r="P179" i="6" l="1"/>
  <c r="R179" i="6"/>
  <c r="L179" i="6"/>
  <c r="J179" i="6" s="1"/>
  <c r="N179" i="6"/>
  <c r="U178" i="6"/>
  <c r="H178" i="6" s="1"/>
  <c r="V178" i="6"/>
  <c r="T179" i="6"/>
  <c r="X179" i="6"/>
  <c r="I179" i="6" s="1"/>
  <c r="G180" i="6"/>
  <c r="P180" i="6" l="1"/>
  <c r="T180" i="6"/>
  <c r="L180" i="6"/>
  <c r="J180" i="6" s="1"/>
  <c r="N180" i="6"/>
  <c r="R180" i="6"/>
  <c r="U179" i="6"/>
  <c r="H179" i="6" s="1"/>
  <c r="V179" i="6"/>
  <c r="X180" i="6"/>
  <c r="I180" i="6" s="1"/>
  <c r="G181" i="6"/>
  <c r="P181" i="6" l="1"/>
  <c r="R181" i="6"/>
  <c r="T181" i="6"/>
  <c r="N181" i="6"/>
  <c r="U180" i="6"/>
  <c r="H180" i="6" s="1"/>
  <c r="V180" i="6"/>
  <c r="X181" i="6"/>
  <c r="I181" i="6" s="1"/>
  <c r="L181" i="6"/>
  <c r="J181" i="6" s="1"/>
  <c r="G182" i="6"/>
  <c r="P182" i="6" l="1"/>
  <c r="L182" i="6"/>
  <c r="T182" i="6"/>
  <c r="R182" i="6"/>
  <c r="N182" i="6"/>
  <c r="U181" i="6"/>
  <c r="H181" i="6" s="1"/>
  <c r="V181" i="6"/>
  <c r="X182" i="6"/>
  <c r="J182" i="6" l="1"/>
  <c r="I182" i="6"/>
  <c r="U182" i="6"/>
  <c r="V182" i="6"/>
  <c r="H182" i="6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<sst xmlns="http://schemas.openxmlformats.org/spreadsheetml/2006/main" count="311" uniqueCount="142">
  <si>
    <t>Unit</t>
  </si>
  <si>
    <t>0XB200000000400405</t>
  </si>
  <si>
    <t>VisualId</t>
  </si>
  <si>
    <t>Lot</t>
  </si>
  <si>
    <t>LatoStartWW</t>
  </si>
  <si>
    <t>LotsSeqKey</t>
  </si>
  <si>
    <t>UnitTestingSeqKey</t>
  </si>
  <si>
    <t>TestName</t>
  </si>
  <si>
    <t>TestValue</t>
  </si>
  <si>
    <t>Operation</t>
  </si>
  <si>
    <t>TestNameNumber</t>
  </si>
  <si>
    <t>TestNameWithoutNumeric</t>
  </si>
  <si>
    <t>8749</t>
  </si>
  <si>
    <t>0</t>
  </si>
  <si>
    <t>6</t>
  </si>
  <si>
    <t>2</t>
  </si>
  <si>
    <t>3</t>
  </si>
  <si>
    <t>13</t>
  </si>
  <si>
    <t>202431</t>
  </si>
  <si>
    <t>DPMB_SOCKET0__COMPUTE1__CPU__CORE60__ML2_CR_MC3_STATUS_8749</t>
  </si>
  <si>
    <t>Units</t>
  </si>
  <si>
    <t>Failing_LLC</t>
  </si>
  <si>
    <t>Failing_Core</t>
  </si>
  <si>
    <t>Compute</t>
  </si>
  <si>
    <t>location</t>
  </si>
  <si>
    <t>corefail</t>
  </si>
  <si>
    <t>llcfail</t>
  </si>
  <si>
    <t>R/C</t>
  </si>
  <si>
    <t>MDF</t>
  </si>
  <si>
    <t>MC0</t>
  </si>
  <si>
    <t>MC4</t>
  </si>
  <si>
    <t>MC1</t>
  </si>
  <si>
    <t>MC5</t>
  </si>
  <si>
    <t>SPK</t>
  </si>
  <si>
    <t>PPV</t>
  </si>
  <si>
    <t>74TN777200064</t>
  </si>
  <si>
    <t>J429E842</t>
  </si>
  <si>
    <t>DPMB_SOCKET0__COMPUTE0__CPU__CORE8__ML2_CR_MC3_STATUS_8749</t>
  </si>
  <si>
    <t>74TN777200293</t>
  </si>
  <si>
    <t>J431F837</t>
  </si>
  <si>
    <t>202433</t>
  </si>
  <si>
    <t>34</t>
  </si>
  <si>
    <t>74UY667400068</t>
  </si>
  <si>
    <t>J431F950</t>
  </si>
  <si>
    <t>81</t>
  </si>
  <si>
    <t>DPMB_SOCKET0__COMPUTE0__CPU__CORE0__ML2_CR_MC3_STATUS_8749</t>
  </si>
  <si>
    <t>0XE200000000400405</t>
  </si>
  <si>
    <t>74Y31V5300591</t>
  </si>
  <si>
    <t>J432F360</t>
  </si>
  <si>
    <t>63</t>
  </si>
  <si>
    <t>DPMB_SOCKET0__COMPUTE1__CPU__CORE117__ML2_CR_MC3_STATUS_8749</t>
  </si>
  <si>
    <t>74BQ270100157</t>
  </si>
  <si>
    <t>J429F054</t>
  </si>
  <si>
    <t>202432</t>
  </si>
  <si>
    <t>41</t>
  </si>
  <si>
    <t>15</t>
  </si>
  <si>
    <t>DPMB_SOCKET0__COMPUTE2__CPU__CORE169__ML2_CR_MC3_STATUS_8749</t>
  </si>
  <si>
    <t>Comments</t>
  </si>
  <si>
    <t>Next Steps</t>
  </si>
  <si>
    <t>SubBucket</t>
  </si>
  <si>
    <t>DpmBucket</t>
  </si>
  <si>
    <t>DecimaSite</t>
  </si>
  <si>
    <t>DecimaWW</t>
  </si>
  <si>
    <t>DecimaBucket</t>
  </si>
  <si>
    <t>DpmBucketAccuracy</t>
  </si>
  <si>
    <t>ProductConfigurationName</t>
  </si>
  <si>
    <t>Final Bucket Data</t>
  </si>
  <si>
    <t>Failing_CHA</t>
  </si>
  <si>
    <t>chafail</t>
  </si>
  <si>
    <t>CHA_MCA_String</t>
  </si>
  <si>
    <t>CHA_Hitter_Count</t>
  </si>
  <si>
    <t>CORE_MCA_String</t>
  </si>
  <si>
    <t>Core_Hitter_Count</t>
  </si>
  <si>
    <t>LLC_MCA_String</t>
  </si>
  <si>
    <t>LLC_Hitter_Count</t>
  </si>
  <si>
    <t>This Sheet is for miscelanous calculations, avoid modifying it unless necessary as it might end up giving wrong data analysis if not managed carefully.</t>
  </si>
  <si>
    <t>Top Failing Core(s)</t>
  </si>
  <si>
    <t>Top Failing CHA(s)</t>
  </si>
  <si>
    <t>TopFailing LLC</t>
  </si>
  <si>
    <t>BinDesc</t>
  </si>
  <si>
    <t>FAILS</t>
  </si>
  <si>
    <t>LLC</t>
  </si>
  <si>
    <t>CORE</t>
  </si>
  <si>
    <t>CHA</t>
  </si>
  <si>
    <t>Accuracy</t>
  </si>
  <si>
    <t>WW</t>
  </si>
  <si>
    <t>NextSteps</t>
  </si>
  <si>
    <t>PPVRun_MC</t>
  </si>
  <si>
    <t>Bin</t>
  </si>
  <si>
    <t>UNCORE.LLC.DATA.PAR</t>
  </si>
  <si>
    <t>LINUX_81_LINUX_OS_CONTENT_MLC_MP1_TIMEOUT, LINUX_81_TSL_HOT_NOMINAL_FREQUENCY_DEPTH_ROUND_ROBIN_SDETESTSEEDLOADER_3143_DQ20220X05RRC0_L_H_D_D_D, EFI_MARIONETTEWAITFOROS_WAITFOREFI_UNDEFINED_POWEROFF_HOT_COLD, LINUX_81_LINUX_OS_CONTENT_MLC_MP1_TIMEOUT, LINUX_81_LINUX_OS_CONTENT_MLC_MP1_TIMEOUT</t>
  </si>
  <si>
    <t>Bucket</t>
  </si>
  <si>
    <t>All</t>
  </si>
  <si>
    <t>Postcodes</t>
  </si>
  <si>
    <t>DCU_MCA_String</t>
  </si>
  <si>
    <t>Core_DCU_Count</t>
  </si>
  <si>
    <t>DTLB_MCA_String</t>
  </si>
  <si>
    <t>Core_DTLB_Count</t>
  </si>
  <si>
    <t>IFU_MCA_String</t>
  </si>
  <si>
    <t>Core_IFU_Count</t>
  </si>
  <si>
    <t>Core_ML2_Count</t>
  </si>
  <si>
    <t>Core_FAILS</t>
  </si>
  <si>
    <t>Name</t>
  </si>
  <si>
    <t>fail</t>
  </si>
  <si>
    <t>MEMMS_MCA_String</t>
  </si>
  <si>
    <t>MEMSS_Hitter_Count</t>
  </si>
  <si>
    <t>MEM</t>
  </si>
  <si>
    <t>CH8</t>
  </si>
  <si>
    <t>CH9</t>
  </si>
  <si>
    <t>CH2</t>
  </si>
  <si>
    <t>CH3</t>
  </si>
  <si>
    <t>CH0</t>
  </si>
  <si>
    <t>CH1</t>
  </si>
  <si>
    <t>CH6</t>
  </si>
  <si>
    <t>CH7</t>
  </si>
  <si>
    <t>CH10</t>
  </si>
  <si>
    <t>CH11</t>
  </si>
  <si>
    <t>CH4</t>
  </si>
  <si>
    <t>CH5</t>
  </si>
  <si>
    <t>S3M</t>
  </si>
  <si>
    <t>PUNIT</t>
  </si>
  <si>
    <t>type</t>
  </si>
  <si>
    <t>MCA_String</t>
  </si>
  <si>
    <t>Counter</t>
  </si>
  <si>
    <t>io0</t>
  </si>
  <si>
    <t>io1</t>
  </si>
  <si>
    <t>cdie0</t>
  </si>
  <si>
    <t>cdie1</t>
  </si>
  <si>
    <t>cdie2</t>
  </si>
  <si>
    <t>Punit</t>
  </si>
  <si>
    <t>Other</t>
  </si>
  <si>
    <t>MEMORY</t>
  </si>
  <si>
    <t>Fail(s)</t>
  </si>
  <si>
    <t>Type(s)</t>
  </si>
  <si>
    <t>CDIE</t>
  </si>
  <si>
    <t>char</t>
  </si>
  <si>
    <t>Data Format</t>
  </si>
  <si>
    <t>DPMB</t>
  </si>
  <si>
    <t>Formats</t>
  </si>
  <si>
    <t>REGISTERS</t>
  </si>
  <si>
    <t>Show Top</t>
  </si>
  <si>
    <t>ShowTop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</si>
</sst>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22"/>
      <color rgb="FFFF0000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rgb="FFFFC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CC3E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FFFF00"/>
      </top>
      <bottom style="medium">
        <color rgb="FFFFFF00"/>
      </bottom>
      <diagonal/>
    </border>
    <border>
      <left style="medium">
        <color indexed="64"/>
      </left>
      <right style="medium">
        <color indexed="64"/>
      </right>
      <top style="thick">
        <color rgb="FFFFFF00"/>
      </top>
      <bottom style="thick">
        <color rgb="FFFFFF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" fontId="0" fillId="0" borderId="0" xfId="0" applyNumberFormat="1"/>
    <xf numFmtId="0" fontId="0" fillId="3" borderId="1" xfId="0" applyFill="1" applyBorder="1"/>
    <xf numFmtId="0" fontId="1" fillId="4" borderId="6" xfId="0" applyFont="1" applyFill="1" applyBorder="1" applyAlignment="1">
      <alignment vertical="center" wrapText="1"/>
    </xf>
    <xf numFmtId="0" fontId="0" fillId="5" borderId="1" xfId="0" applyFill="1" applyBorder="1"/>
    <xf numFmtId="0" fontId="0" fillId="0" borderId="5" xfId="0" applyBorder="1"/>
    <xf numFmtId="0" fontId="0" fillId="0" borderId="9" xfId="0" applyBorder="1"/>
    <xf numFmtId="0" fontId="0" fillId="2" borderId="13" xfId="0" applyFill="1" applyBorder="1"/>
    <xf numFmtId="0" fontId="0" fillId="3" borderId="13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8" xfId="0" applyFill="1" applyBorder="1"/>
    <xf numFmtId="0" fontId="0" fillId="3" borderId="8" xfId="0" applyFill="1" applyBorder="1"/>
    <xf numFmtId="0" fontId="0" fillId="2" borderId="17" xfId="0" applyFill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" xfId="0" applyFill="1" applyBorder="1"/>
    <xf numFmtId="0" fontId="0" fillId="2" borderId="3" xfId="0" applyFill="1" applyBorder="1"/>
    <xf numFmtId="0" fontId="0" fillId="2" borderId="21" xfId="0" applyFill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2" borderId="27" xfId="0" applyFill="1" applyBorder="1"/>
    <xf numFmtId="0" fontId="0" fillId="2" borderId="10" xfId="0" applyFill="1" applyBorder="1"/>
    <xf numFmtId="0" fontId="0" fillId="2" borderId="11" xfId="0" applyFill="1" applyBorder="1"/>
    <xf numFmtId="0" fontId="0" fillId="3" borderId="12" xfId="0" applyFill="1" applyBorder="1"/>
    <xf numFmtId="0" fontId="0" fillId="2" borderId="12" xfId="0" applyFill="1" applyBorder="1"/>
    <xf numFmtId="0" fontId="0" fillId="2" borderId="14" xfId="0" applyFill="1" applyBorder="1"/>
    <xf numFmtId="0" fontId="0" fillId="0" borderId="30" xfId="0" applyBorder="1"/>
    <xf numFmtId="0" fontId="0" fillId="0" borderId="31" xfId="0" applyBorder="1"/>
    <xf numFmtId="0" fontId="1" fillId="0" borderId="32" xfId="0" applyFont="1" applyBorder="1" applyAlignment="1">
      <alignment vertical="center" wrapText="1"/>
    </xf>
    <xf numFmtId="0" fontId="6" fillId="0" borderId="33" xfId="0" applyFont="1" applyBorder="1" applyAlignment="1">
      <alignment horizontal="center" vertical="center"/>
    </xf>
    <xf numFmtId="0" fontId="5" fillId="8" borderId="26" xfId="0" applyFont="1" applyFill="1" applyBorder="1" applyAlignment="1">
      <alignment horizontal="center" vertical="center"/>
    </xf>
    <xf numFmtId="0" fontId="0" fillId="0" borderId="33" xfId="0" applyBorder="1"/>
    <xf numFmtId="0" fontId="0" fillId="6" borderId="33" xfId="0" applyFill="1" applyBorder="1"/>
    <xf numFmtId="0" fontId="0" fillId="0" borderId="25" xfId="0" applyBorder="1"/>
    <xf numFmtId="0" fontId="7" fillId="0" borderId="34" xfId="0" applyFont="1" applyBorder="1"/>
    <xf numFmtId="0" fontId="0" fillId="0" borderId="35" xfId="0" applyBorder="1"/>
    <xf numFmtId="0" fontId="0" fillId="0" borderId="36" xfId="0" applyBorder="1"/>
    <xf numFmtId="0" fontId="1" fillId="0" borderId="1" xfId="0" applyFont="1" applyBorder="1" applyAlignment="1">
      <alignment vertical="center" wrapText="1"/>
    </xf>
    <xf numFmtId="0" fontId="0" fillId="0" borderId="32" xfId="0" applyBorder="1"/>
    <xf numFmtId="0" fontId="0" fillId="0" borderId="5" xfId="0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0" fillId="0" borderId="37" xfId="0" applyBorder="1"/>
    <xf numFmtId="0" fontId="0" fillId="6" borderId="11" xfId="0" applyFill="1" applyBorder="1"/>
    <xf numFmtId="0" fontId="7" fillId="9" borderId="38" xfId="0" applyFont="1" applyFill="1" applyBorder="1"/>
    <xf numFmtId="0" fontId="7" fillId="9" borderId="39" xfId="0" applyFont="1" applyFill="1" applyBorder="1"/>
    <xf numFmtId="0" fontId="7" fillId="9" borderId="28" xfId="0" applyFont="1" applyFill="1" applyBorder="1"/>
    <xf numFmtId="0" fontId="7" fillId="9" borderId="29" xfId="0" applyFont="1" applyFill="1" applyBorder="1"/>
    <xf numFmtId="0" fontId="7" fillId="9" borderId="30" xfId="0" applyFont="1" applyFill="1" applyBorder="1"/>
    <xf numFmtId="0" fontId="7" fillId="9" borderId="31" xfId="0" applyFont="1" applyFill="1" applyBorder="1"/>
    <xf numFmtId="0" fontId="0" fillId="0" borderId="33" xfId="0" applyBorder="1" applyAlignment="1">
      <alignment horizontal="center"/>
    </xf>
    <xf numFmtId="0" fontId="6" fillId="0" borderId="40" xfId="0" applyFont="1" applyBorder="1" applyAlignment="1">
      <alignment horizontal="center" vertical="center"/>
    </xf>
    <xf numFmtId="0" fontId="4" fillId="7" borderId="41" xfId="0" applyFont="1" applyFill="1" applyBorder="1" applyAlignment="1">
      <alignment horizontal="center" vertical="center"/>
    </xf>
    <xf numFmtId="0" fontId="4" fillId="7" borderId="42" xfId="0" applyFont="1" applyFill="1" applyBorder="1" applyAlignment="1">
      <alignment horizontal="center" vertical="center"/>
    </xf>
    <xf numFmtId="0" fontId="7" fillId="10" borderId="34" xfId="0" applyFont="1" applyFill="1" applyBorder="1"/>
    <xf numFmtId="0" fontId="0" fillId="0" borderId="43" xfId="0" applyBorder="1"/>
    <xf numFmtId="0" fontId="0" fillId="0" borderId="34" xfId="0" applyBorder="1"/>
    <xf numFmtId="0" fontId="0" fillId="6" borderId="5" xfId="0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0" fillId="9" borderId="0" xfId="0" applyFill="1"/>
    <xf numFmtId="0" fontId="7" fillId="9" borderId="25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/>
    </xf>
    <xf numFmtId="0" fontId="7" fillId="9" borderId="7" xfId="0" applyFont="1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0" fillId="5" borderId="40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11" borderId="28" xfId="0" applyFill="1" applyBorder="1"/>
    <xf numFmtId="0" fontId="0" fillId="11" borderId="30" xfId="0" applyFill="1" applyBorder="1"/>
    <xf numFmtId="0" fontId="0" fillId="11" borderId="33" xfId="0" applyFill="1" applyBorder="1" applyAlignment="1">
      <alignment horizontal="center"/>
    </xf>
    <xf numFmtId="0" fontId="0" fillId="11" borderId="40" xfId="0" applyFill="1" applyBorder="1" applyAlignment="1">
      <alignment horizontal="center"/>
    </xf>
    <xf numFmtId="0" fontId="0" fillId="11" borderId="26" xfId="0" applyFill="1" applyBorder="1" applyAlignment="1">
      <alignment horizontal="center"/>
    </xf>
    <xf numFmtId="0" fontId="0" fillId="7" borderId="0" xfId="0" applyFill="1"/>
    <xf numFmtId="0" fontId="0" fillId="11" borderId="28" xfId="0" applyFill="1" applyBorder="1" applyAlignment="1">
      <alignment horizontal="left"/>
    </xf>
    <xf numFmtId="0" fontId="7" fillId="9" borderId="40" xfId="0" applyFont="1" applyFill="1" applyBorder="1" applyAlignment="1">
      <alignment horizontal="center"/>
    </xf>
    <xf numFmtId="0" fontId="9" fillId="2" borderId="18" xfId="0" applyFont="1" applyFill="1" applyBorder="1" applyAlignment="1">
      <alignment horizontal="center"/>
    </xf>
    <xf numFmtId="0" fontId="0" fillId="0" borderId="45" xfId="0" applyBorder="1"/>
    <xf numFmtId="0" fontId="0" fillId="2" borderId="46" xfId="0" applyFill="1" applyBorder="1"/>
    <xf numFmtId="0" fontId="7" fillId="9" borderId="26" xfId="0" applyFont="1" applyFill="1" applyBorder="1" applyAlignment="1">
      <alignment horizontal="center"/>
    </xf>
    <xf numFmtId="0" fontId="0" fillId="0" borderId="2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7" fillId="9" borderId="14" xfId="0" applyFont="1" applyFill="1" applyBorder="1" applyAlignment="1">
      <alignment horizontal="center"/>
    </xf>
    <xf numFmtId="0" fontId="7" fillId="9" borderId="16" xfId="0" applyFont="1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7" fillId="9" borderId="44" xfId="0" applyFont="1" applyFill="1" applyBorder="1" applyAlignment="1">
      <alignment horizontal="center"/>
    </xf>
    <xf numFmtId="0" fontId="10" fillId="9" borderId="25" xfId="0" applyFont="1" applyFill="1" applyBorder="1" applyAlignment="1">
      <alignment horizontal="center"/>
    </xf>
    <xf numFmtId="0" fontId="10" fillId="9" borderId="7" xfId="0" applyFont="1" applyFill="1" applyBorder="1" applyAlignment="1">
      <alignment horizontal="center"/>
    </xf>
    <xf numFmtId="0" fontId="10" fillId="9" borderId="9" xfId="0" applyFont="1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3" fillId="6" borderId="25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65"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strike val="0"/>
        <color rgb="FFFFC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" formatCode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A3A3A3"/>
        </left>
        <right style="medium">
          <color rgb="FFA3A3A3"/>
        </right>
        <top style="medium">
          <color rgb="FFA3A3A3"/>
        </top>
        <bottom style="medium">
          <color rgb="FFA3A3A3"/>
        </bottom>
      </border>
    </dxf>
    <dxf>
      <border outline="0">
        <bottom style="medium">
          <color rgb="FFA3A3A3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1EAC81-0FF8-490C-8193-822DBD64ADC3}" name="cha_mc" displayName="cha_mc" ref="A1:K6" totalsRowShown="0" headerRowDxfId="64" headerRowBorderDxfId="63" tableBorderDxfId="62" totalsRowBorderDxfId="61">
  <autoFilter ref="A1:K6" xr:uid="{7E1EAC81-0FF8-490C-8193-822DBD64ADC3}"/>
  <tableColumns count="11">
    <tableColumn id="1" xr3:uid="{28C4B108-0BFE-413F-8A58-1741F675CD5C}" name="VisualId" dataDxfId="60"/>
    <tableColumn id="2" xr3:uid="{5D377E3C-57C9-4ACB-9B41-9981F4F982C1}" name="Lot" dataDxfId="59"/>
    <tableColumn id="3" xr3:uid="{DCF5D075-63EF-432C-8903-EA76E8345A76}" name="LatoStartWW" dataDxfId="58"/>
    <tableColumn id="4" xr3:uid="{0BD6014E-BF2C-4616-80E1-65C4B3F03FBB}" name="LotsSeqKey" dataDxfId="57"/>
    <tableColumn id="5" xr3:uid="{1E660505-BF2D-4DB6-A286-E1B8FAE750DF}" name="UnitTestingSeqKey" dataDxfId="56"/>
    <tableColumn id="6" xr3:uid="{2FDC632D-EE8B-47F5-9EBB-203557368CE7}" name="TestName" dataDxfId="55"/>
    <tableColumn id="7" xr3:uid="{59BA9A85-48BF-4750-AB28-082E407BB24B}" name="TestValue" dataDxfId="54"/>
    <tableColumn id="8" xr3:uid="{0956E0A5-0E70-4FBA-AF04-012227E25D64}" name="Operation" dataDxfId="53"/>
    <tableColumn id="9" xr3:uid="{0E45915B-A434-4223-A6AF-675F8DD83ACA}" name="TestNameNumber" dataDxfId="52"/>
    <tableColumn id="10" xr3:uid="{4D7C1141-96E0-4C41-A9A6-56E9E63899D2}" name="TestNameWithoutNumeric" dataDxfId="51"/>
    <tableColumn id="11" xr3:uid="{2782ECAE-4454-4F31-83B1-52598929721B}" name="PPVRun_MC" dataDxfId="5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222D9A-BA3A-4333-B2D3-122EF1A98439}" name="core_mc" displayName="core_mc" ref="A1:K4" totalsRowShown="0" headerRowDxfId="49" headerRowBorderDxfId="48" tableBorderDxfId="47" totalsRowBorderDxfId="46">
  <autoFilter ref="A1:K4" xr:uid="{7E1EAC81-0FF8-490C-8193-822DBD64ADC3}"/>
  <tableColumns count="11">
    <tableColumn id="1" xr3:uid="{822C2F82-A759-42BF-9C89-EFF5C0315F95}" name="VisualId" dataDxfId="45"/>
    <tableColumn id="2" xr3:uid="{878EA638-15F7-42E4-B7EB-704E0E629289}" name="Lot" dataDxfId="44"/>
    <tableColumn id="3" xr3:uid="{FC49C909-A397-421D-A541-9A1D33B33976}" name="LatoStartWW" dataDxfId="43"/>
    <tableColumn id="4" xr3:uid="{59575D17-FDCD-45CA-B8F3-123C8DD743CB}" name="LotsSeqKey" dataDxfId="42"/>
    <tableColumn id="5" xr3:uid="{5CFF0F88-4B16-4493-98F1-8E8017766660}" name="UnitTestingSeqKey" dataDxfId="41"/>
    <tableColumn id="6" xr3:uid="{65FCA8DB-5961-4050-8B60-E7F2070C38FD}" name="TestName" dataDxfId="40"/>
    <tableColumn id="7" xr3:uid="{378D8FC5-1D04-402B-830E-A0756E1E8DBB}" name="TestValue" dataDxfId="39"/>
    <tableColumn id="8" xr3:uid="{5650C48F-AD76-4A22-93E2-48B386BDF36A}" name="Operation" dataDxfId="38"/>
    <tableColumn id="9" xr3:uid="{B5D5CF95-6897-4D44-9242-AE03C5925141}" name="TestNameNumber" dataDxfId="37"/>
    <tableColumn id="10" xr3:uid="{86864FB0-D4B6-42B5-963A-AFDB6F4B6140}" name="TestNameWithoutNumeric" dataDxfId="36"/>
    <tableColumn id="11" xr3:uid="{CDB116B9-3A31-474D-9190-3F4178C201B9}" name="PPVRun_MC" dataDxfId="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F2A000-5605-43D4-925F-0D4AD40ACB56}" name="ppv" displayName="ppv" ref="B4:L5" totalsRowShown="0" headerRowBorderDxfId="34" tableBorderDxfId="33">
  <autoFilter ref="B4:L5" xr:uid="{9BF2A000-5605-43D4-925F-0D4AD40ACB56}"/>
  <tableColumns count="11">
    <tableColumn id="1" xr3:uid="{0EE13F9E-B2A6-42D3-A9BD-50EF0EAE1FFF}" name="VisualId" dataDxfId="32"/>
    <tableColumn id="2" xr3:uid="{AD718673-AE79-4C2E-A98B-CDB3EDF8BC90}" name="DpmBucket" dataDxfId="31"/>
    <tableColumn id="5" xr3:uid="{F18167B8-6212-41CA-B6AD-C01D48C5D1ED}" name="DecimaSite" dataDxfId="30"/>
    <tableColumn id="9" xr3:uid="{52CF8CFF-4458-40D2-852D-91A25881EF7F}" name="DecimaWW" dataDxfId="29"/>
    <tableColumn id="7" xr3:uid="{94681A06-84D6-4847-9FC2-7734E637A8E3}" name="DecimaBucket" dataDxfId="28"/>
    <tableColumn id="3" xr3:uid="{5269D438-483D-44B8-92CA-E8D3A2C655CF}" name="DpmBucketAccuracy" dataDxfId="27"/>
    <tableColumn id="4" xr3:uid="{F657F3B5-B832-4954-BC15-31E9875B0BD6}" name="ProductConfigurationName" dataDxfId="26"/>
    <tableColumn id="11" xr3:uid="{E660A892-0D22-4109-856E-17114850B278}" name="BinDesc" dataDxfId="25"/>
    <tableColumn id="6" xr3:uid="{B3875F7B-B83B-48CF-9766-20B9C614D1B1}" name="SubBucket" dataDxfId="24"/>
    <tableColumn id="10" xr3:uid="{84E7DDA2-1D1B-49FA-AC5D-F02A3E77A963}" name="Comments" dataDxfId="23"/>
    <tableColumn id="8" xr3:uid="{44BA4F48-CD8D-42FF-AA6A-3B81301E92B4}" name="NextSteps" dataDxfId="22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88AD4C-70ED-43F0-8EA5-4C296BCC82BE}" name="misc" displayName="misc" ref="F2:X182" totalsRowShown="0">
  <autoFilter ref="F2:X182" xr:uid="{0988AD4C-70ED-43F0-8EA5-4C296BCC82BE}"/>
  <tableColumns count="19">
    <tableColumn id="1" xr3:uid="{B07FC9B8-3227-45C9-97BF-326FD8D7C92A}" name="Compute"/>
    <tableColumn id="2" xr3:uid="{A6B4B5A2-081D-4122-A19F-EB24AED4A7FA}" name="location">
      <calculatedColumnFormula>G2+1</calculatedColumnFormula>
    </tableColumn>
    <tableColumn id="3" xr3:uid="{050B1142-C8B9-4C0F-AD41-639CA2730863}" name="corefail" dataDxfId="21">
      <calculatedColumnFormula>misc[[#This Row],[Core_Hitter_Count]]&gt;0</calculatedColumnFormula>
    </tableColumn>
    <tableColumn id="4" xr3:uid="{A60BF178-AFEE-448B-89E8-E7E6B6E892F7}" name="llcfail">
      <calculatedColumnFormula>misc[[#This Row],[LLC_Hitter_Count]]&gt;0</calculatedColumnFormula>
    </tableColumn>
    <tableColumn id="5" xr3:uid="{729C42B8-5BDF-4C3D-BAF9-42B44E1772B5}" name="chafail">
      <calculatedColumnFormula>misc[[#This Row],[CHA_Hitter_Count]]&gt;0</calculatedColumnFormula>
    </tableColumn>
    <tableColumn id="6" xr3:uid="{C1CDBF1E-AB9B-4BAA-8551-D64E30237571}" name="CHA_MCA_String">
      <calculatedColumnFormula>_xlfn.TEXTJOIN("",,"*SOCKET0**COMPUTE",misc[[#This Row],[Compute]],"**UNCORE**CHA**CHA",misc[[#This Row],[location]],splitchar,"UTIL**MC*STATUS*")</calculatedColumnFormula>
    </tableColumn>
    <tableColumn id="7" xr3:uid="{36E527F8-D449-4EBE-8B40-22D57CAEC096}" name="CHA_Hitter_Count">
      <calculatedColumnFormula>COUNTIFS(cha_mc[TestName],misc[[#This Row],[CHA_MCA_String]],cha_mc[VisualId],MC_Check!$H$2)</calculatedColumnFormula>
    </tableColumn>
    <tableColumn id="20" xr3:uid="{F2AB8E3B-1959-4705-89D2-20F0A5C7BA1F}" name="DCU_MCA_String">
      <calculatedColumnFormula>_xlfn.TEXTJOIN("",,"*SOCKET0**COMPUTE",misc[[#This Row],[Compute]],"**CPU**CORE",misc[[#This Row],[location]],splitchar,"THREAD"&amp;"*",splitchar,"DCU*CR*MC1*STATUS**")</calculatedColumnFormula>
    </tableColumn>
    <tableColumn id="21" xr3:uid="{C1C02498-120A-42F7-A16F-B025655F4CF4}" name="Core_DCU_Count">
      <calculatedColumnFormula>COUNTIFS(core_mc[TestName],misc[[#This Row],[DCU_MCA_String]],core_mc[VisualId],MC_Check!$H$2)</calculatedColumnFormula>
    </tableColumn>
    <tableColumn id="18" xr3:uid="{F59AF204-0AF6-4528-AF69-F077B5B62AA6}" name="DTLB_MCA_String">
      <calculatedColumnFormula>_xlfn.TEXTJOIN("",,"*SOCKET0**COMPUTE",misc[[#This Row],[Compute]],"**CPU**CORE",misc[[#This Row],[location]],splitchar,"DTLB*CR*MC2*STATUS**")</calculatedColumnFormula>
    </tableColumn>
    <tableColumn id="19" xr3:uid="{3D9BA89D-B5D0-4E51-96F7-943795CA2CFE}" name="Core_DTLB_Count">
      <calculatedColumnFormula>COUNTIFS(core_mc[TestName],misc[[#This Row],[DTLB_MCA_String]],core_mc[VisualId],MC_Check!$H$2)</calculatedColumnFormula>
    </tableColumn>
    <tableColumn id="17" xr3:uid="{111A7453-EA2A-4848-9C1B-1ABA274B0C33}" name="IFU_MCA_String">
      <calculatedColumnFormula>_xlfn.TEXTJOIN("",,"*SOCKET0**COMPUTE",misc[[#This Row],[Compute]],"**CPU**CORE",misc[[#This Row],[location]],splitchar,"THREAD"&amp;"*",splitchar,"IFU*CR*MC0*STATUS**")</calculatedColumnFormula>
    </tableColumn>
    <tableColumn id="14" xr3:uid="{71D9413B-8A95-4117-8486-36A3917BC9AF}" name="Core_IFU_Count">
      <calculatedColumnFormula>COUNTIFS(core_mc[TestName],misc[[#This Row],[IFU_MCA_String]],core_mc[VisualId],MC_Check!$H$2)</calculatedColumnFormula>
    </tableColumn>
    <tableColumn id="8" xr3:uid="{AA28E8C7-87BD-4623-9BB5-61596850795E}" name="CORE_MCA_String">
      <calculatedColumnFormula>_xlfn.TEXTJOIN("",,"*SOCKET0**COMPUTE",misc[[#This Row],[Compute]],"**CPU**CORE",misc[[#This Row],[location]],splitchar,"ML2*CR*MC3*STATUS*")</calculatedColumnFormula>
    </tableColumn>
    <tableColumn id="16" xr3:uid="{8121E332-BEB1-4F54-871A-43B9D4087A92}" name="Core_ML2_Count">
      <calculatedColumnFormula>COUNTIFS(core_mc[TestName],misc[[#This Row],[CORE_MCA_String]],core_mc[VisualId],MC_Check!$H$2)</calculatedColumnFormula>
    </tableColumn>
    <tableColumn id="9" xr3:uid="{E02F1336-746E-402A-B4A5-33009C3099CC}" name="Core_Hitter_Count">
      <calculatedColumnFormula>misc[[#This Row],[Core_ML2_Count]]+misc[[#This Row],[Core_IFU_Count]]+misc[[#This Row],[Core_DCU_Count]]+misc[[#This Row],[Core_DTLB_Count]]</calculatedColumnFormula>
    </tableColumn>
    <tableColumn id="15" xr3:uid="{2E589E68-0752-4755-81DF-3A29F3FB7589}" name="Core_FAILS">
      <calculatedColumnFormula>_xlfn.TEXTJOIN(", ",,IF(misc[[#This Row],[Core_DCU_Count]]&gt;0,"DCU",""),IF(misc[[#This Row],[Core_IFU_Count]]&gt;0,"IFU",""),IF(misc[[#This Row],[Core_ML2_Count]]&gt;0,"ML2",""),IF(misc[[#This Row],[Core_DTLB_Count]]&gt;0,"DTLB",""))</calculatedColumnFormula>
    </tableColumn>
    <tableColumn id="10" xr3:uid="{DDF3B889-8662-4F72-B3AF-FEB082901753}" name="LLC_MCA_String">
      <calculatedColumnFormula>_xlfn.TEXTJOIN("",,"*SOCKET0**COMPUTE",misc[[#This Row],[Compute]],"**UNCORE**SCF**SCF*LLC**SCF*LLC",misc[[#This Row],[location]],splitchar,"MCI*STATUS*")</calculatedColumnFormula>
    </tableColumn>
    <tableColumn id="11" xr3:uid="{CD001455-29BE-4424-9842-1C3B0D71F3E1}" name="LLC_Hitter_Count">
      <calculatedColumnFormula>COUNTIFS(cha_mc[TestName],misc[[#This Row],[LLC_MCA_String]],cha_mc[VisualId],MC_Check!$H$2)</calculatedColumnFormula>
    </tableColumn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868AC2-402C-4ADC-8BC6-86A9E207E810}" name="memss" displayName="memss" ref="AA2:AF15" totalsRowShown="0" headerRowDxfId="20" dataDxfId="18" headerRowBorderDxfId="19" tableBorderDxfId="17">
  <autoFilter ref="AA2:AF15" xr:uid="{16868AC2-402C-4ADC-8BC6-86A9E207E810}"/>
  <tableColumns count="6">
    <tableColumn id="1" xr3:uid="{B4620545-9E8A-4683-A096-3DAA9D395254}" name="Compute" dataDxfId="16"/>
    <tableColumn id="2" xr3:uid="{8A9B6049-4FD5-43C8-89CF-B71FD0CC2334}" name="location" dataDxfId="15"/>
    <tableColumn id="5" xr3:uid="{BF2E8256-CD5E-4B83-BF0B-4ACEF13EEF6C}" name="Name" dataDxfId="14">
      <calculatedColumnFormula>"MC"&amp;memss[[#This Row],[location]]</calculatedColumnFormula>
    </tableColumn>
    <tableColumn id="6" xr3:uid="{D68596F9-5EED-4C02-9FBE-76BE090FCD23}" name="fail" dataDxfId="13">
      <calculatedColumnFormula>memss[[#This Row],[MEMSS_Hitter_Count]]&gt;0</calculatedColumnFormula>
    </tableColumn>
    <tableColumn id="3" xr3:uid="{B82C86D3-7F36-4FA2-8304-F3D277150CA6}" name="MEMMS_MCA_String" dataDxfId="12">
      <calculatedColumnFormula>_xlfn.TEXTJOIN("",,"DPMB_SOCKET0__SOC__MEMSS__B2CMI",memss[[#This Row],[location]],"__MCI_STATUS_SHADOW*")</calculatedColumnFormula>
    </tableColumn>
    <tableColumn id="4" xr3:uid="{D939AE90-A649-4D85-9CB0-E8DBBC786D45}" name="MEMSS_Hitter_Count" dataDxfId="11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BB306A-8587-4C6C-9282-DC46D2E11594}" name="s3errors" displayName="s3errors" ref="AJ2:AL7" totalsRowShown="0">
  <autoFilter ref="AJ2:AL7" xr:uid="{02BB306A-8587-4C6C-9282-DC46D2E11594}"/>
  <tableColumns count="3">
    <tableColumn id="1" xr3:uid="{E2FE57F4-DA9E-415B-8378-337DE2D164B9}" name="type"/>
    <tableColumn id="2" xr3:uid="{4FD552F7-D4C7-452A-BBFE-A61128D9E022}" name="MCA_String"/>
    <tableColumn id="3" xr3:uid="{5681CF90-88CA-4AF4-BEBB-EFF1E22E4483}" name="Counter">
      <calculatedColumnFormula>COUNTIFS(cha_mc[TestName],s3errors[[#This Row],[MCA_String]],cha_mc[VisualId],MC_Check!$H$2)</calculatedColumnFormula>
    </tableColumn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15C8676-FE76-4E42-B2E4-636C135697BB}" name="punitmcas" displayName="punitmcas" ref="AN2:AP7" totalsRowShown="0">
  <autoFilter ref="AN2:AP7" xr:uid="{E15C8676-FE76-4E42-B2E4-636C135697BB}"/>
  <tableColumns count="3">
    <tableColumn id="1" xr3:uid="{E86D88BF-1257-4B8A-A421-4C84815397A4}" name="type"/>
    <tableColumn id="2" xr3:uid="{8AD383AA-91AF-442C-B64B-F61CDD902D4A}" name="MCA_String"/>
    <tableColumn id="3" xr3:uid="{63C6CCC9-B553-416B-97B7-0C4E687E5BC5}" name="Counter">
      <calculatedColumnFormula>COUNTIFS(cha_mc[TestName],punitmcas[[#This Row],[MCA_String]],cha_mc[VisualId],MC_Check!$H$2)</calculatedColumnFormula>
    </tableColumn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5590787-715B-48E2-97B7-78AF10ED3BC0}" name="formats" displayName="formats" ref="D2:D4" totalsRowShown="0">
  <autoFilter ref="D2:D4" xr:uid="{B5590787-715B-48E2-97B7-78AF10ED3BC0}"/>
  <tableColumns count="1">
    <tableColumn id="1" xr3:uid="{D9DD6042-8142-4D1B-B997-BC06BC4C7DA2}" name="Formats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B1EAA75-A4FE-4344-86D9-B9C04E12A825}" name="showtop" displayName="showtop" ref="D7:D10" totalsRowShown="0">
  <autoFilter ref="D7:D10" xr:uid="{FB1EAA75-A4FE-4344-86D9-B9C04E12A825}"/>
  <tableColumns count="1">
    <tableColumn id="1" xr3:uid="{349EF60A-141C-4C7E-825C-1F1F5680C9A6}" name="ShowTop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760CB-4D2B-484F-9E23-CB923BB589FC}">
  <sheetPr codeName="Sheet1"/>
  <dimension ref="A1:K6"/>
  <sheetViews>
    <sheetView workbookViewId="0">
      <selection activeCell="K1" sqref="K1"/>
    </sheetView>
  </sheetViews>
  <sheetFormatPr defaultRowHeight="14.5" x14ac:dyDescent="0.35"/>
  <cols>
    <col min="1" max="1" width="14.81640625" bestFit="1" customWidth="1"/>
    <col min="2" max="2" width="11.08984375" bestFit="1" customWidth="1"/>
    <col min="3" max="3" width="14.453125" customWidth="1"/>
    <col min="4" max="4" width="13.1796875" customWidth="1"/>
    <col min="5" max="5" width="19.453125" customWidth="1"/>
    <col min="6" max="6" width="105.08984375" bestFit="1" customWidth="1"/>
    <col min="7" max="7" width="19.6328125" bestFit="1" customWidth="1"/>
    <col min="8" max="8" width="11.6328125" customWidth="1"/>
    <col min="9" max="9" width="18.90625" customWidth="1"/>
    <col min="10" max="10" width="105.08984375" bestFit="1" customWidth="1"/>
  </cols>
  <sheetData>
    <row r="1" spans="1:11" x14ac:dyDescent="0.3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4" t="s">
        <v>11</v>
      </c>
      <c r="K1" s="3" t="s">
        <v>87</v>
      </c>
    </row>
    <row r="2" spans="1:11" x14ac:dyDescent="0.35">
      <c r="A2" t="s">
        <v>35</v>
      </c>
      <c r="B2" t="s">
        <v>36</v>
      </c>
      <c r="C2" t="s">
        <v>18</v>
      </c>
      <c r="D2" t="s">
        <v>17</v>
      </c>
      <c r="E2" t="s">
        <v>15</v>
      </c>
      <c r="F2" t="s">
        <v>37</v>
      </c>
      <c r="G2" t="s">
        <v>1</v>
      </c>
      <c r="H2" t="s">
        <v>12</v>
      </c>
      <c r="I2" t="s">
        <v>13</v>
      </c>
      <c r="J2" t="s">
        <v>37</v>
      </c>
      <c r="K2" s="3"/>
    </row>
    <row r="3" spans="1:11" x14ac:dyDescent="0.35">
      <c r="A3" t="s">
        <v>38</v>
      </c>
      <c r="B3" t="s">
        <v>39</v>
      </c>
      <c r="C3" t="s">
        <v>40</v>
      </c>
      <c r="D3" t="s">
        <v>41</v>
      </c>
      <c r="E3" t="s">
        <v>16</v>
      </c>
      <c r="F3" t="s">
        <v>19</v>
      </c>
      <c r="G3" t="s">
        <v>1</v>
      </c>
      <c r="H3" t="s">
        <v>12</v>
      </c>
      <c r="I3" t="s">
        <v>13</v>
      </c>
      <c r="J3" t="s">
        <v>19</v>
      </c>
      <c r="K3" s="1"/>
    </row>
    <row r="4" spans="1:11" x14ac:dyDescent="0.35">
      <c r="A4" t="s">
        <v>42</v>
      </c>
      <c r="B4" t="s">
        <v>43</v>
      </c>
      <c r="C4" t="s">
        <v>40</v>
      </c>
      <c r="D4" t="s">
        <v>44</v>
      </c>
      <c r="E4" t="s">
        <v>14</v>
      </c>
      <c r="F4" t="s">
        <v>45</v>
      </c>
      <c r="G4" t="s">
        <v>46</v>
      </c>
      <c r="H4" t="s">
        <v>12</v>
      </c>
      <c r="I4" t="s">
        <v>13</v>
      </c>
      <c r="J4" t="s">
        <v>45</v>
      </c>
      <c r="K4" s="1"/>
    </row>
    <row r="5" spans="1:11" x14ac:dyDescent="0.35">
      <c r="A5" t="s">
        <v>47</v>
      </c>
      <c r="B5" t="s">
        <v>48</v>
      </c>
      <c r="C5" t="s">
        <v>40</v>
      </c>
      <c r="D5" t="s">
        <v>49</v>
      </c>
      <c r="E5" t="s">
        <v>14</v>
      </c>
      <c r="F5" t="s">
        <v>50</v>
      </c>
      <c r="G5" t="s">
        <v>1</v>
      </c>
      <c r="H5" t="s">
        <v>12</v>
      </c>
      <c r="I5" t="s">
        <v>13</v>
      </c>
      <c r="J5" t="s">
        <v>50</v>
      </c>
      <c r="K5" s="1"/>
    </row>
    <row r="6" spans="1:11" x14ac:dyDescent="0.35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1</v>
      </c>
      <c r="H6" t="s">
        <v>12</v>
      </c>
      <c r="I6" t="s">
        <v>13</v>
      </c>
      <c r="J6" t="s">
        <v>56</v>
      </c>
      <c r="K6" s="4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520DF-0825-4FCE-A83E-12FEDDBF62E6}">
  <dimension ref="A1:K4"/>
  <sheetViews>
    <sheetView topLeftCell="J1" workbookViewId="0">
      <selection activeCell="N14" sqref="N14"/>
    </sheetView>
  </sheetViews>
  <sheetFormatPr defaultRowHeight="14.5" x14ac:dyDescent="0.35"/>
  <cols>
    <col min="1" max="1" width="14.81640625" bestFit="1" customWidth="1"/>
    <col min="2" max="2" width="11.08984375" bestFit="1" customWidth="1"/>
    <col min="3" max="3" width="14.453125" customWidth="1"/>
    <col min="4" max="4" width="13.1796875" customWidth="1"/>
    <col min="5" max="5" width="19.453125" customWidth="1"/>
    <col min="6" max="6" width="105.08984375" bestFit="1" customWidth="1"/>
    <col min="7" max="7" width="19.6328125" bestFit="1" customWidth="1"/>
    <col min="8" max="8" width="11.6328125" customWidth="1"/>
    <col min="9" max="9" width="18.90625" customWidth="1"/>
    <col min="10" max="10" width="105.08984375" bestFit="1" customWidth="1"/>
  </cols>
  <sheetData>
    <row r="1" spans="1:11" x14ac:dyDescent="0.3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4" t="s">
        <v>11</v>
      </c>
      <c r="K1" s="46" t="s">
        <v>87</v>
      </c>
    </row>
    <row r="2" spans="1:11" x14ac:dyDescent="0.35">
      <c r="A2" t="s">
        <v>35</v>
      </c>
      <c r="B2" t="s">
        <v>36</v>
      </c>
      <c r="C2" t="s">
        <v>18</v>
      </c>
      <c r="D2" t="s">
        <v>17</v>
      </c>
      <c r="E2" t="s">
        <v>15</v>
      </c>
      <c r="F2" t="s">
        <v>37</v>
      </c>
      <c r="G2" t="s">
        <v>1</v>
      </c>
      <c r="H2" t="s">
        <v>12</v>
      </c>
      <c r="I2" t="s">
        <v>13</v>
      </c>
      <c r="J2" t="s">
        <v>37</v>
      </c>
      <c r="K2" s="3"/>
    </row>
    <row r="3" spans="1:11" x14ac:dyDescent="0.35">
      <c r="A3" t="s">
        <v>38</v>
      </c>
      <c r="B3" t="s">
        <v>39</v>
      </c>
      <c r="C3" t="s">
        <v>40</v>
      </c>
      <c r="D3" t="s">
        <v>41</v>
      </c>
      <c r="E3" t="s">
        <v>16</v>
      </c>
      <c r="F3" t="s">
        <v>19</v>
      </c>
      <c r="G3" t="s">
        <v>1</v>
      </c>
      <c r="H3" t="s">
        <v>12</v>
      </c>
      <c r="I3" t="s">
        <v>13</v>
      </c>
      <c r="J3" t="s">
        <v>19</v>
      </c>
      <c r="K3" s="1"/>
    </row>
    <row r="4" spans="1:11" x14ac:dyDescent="0.35">
      <c r="A4" t="s">
        <v>42</v>
      </c>
      <c r="B4" t="s">
        <v>43</v>
      </c>
      <c r="C4" t="s">
        <v>40</v>
      </c>
      <c r="D4" t="s">
        <v>44</v>
      </c>
      <c r="E4" t="s">
        <v>14</v>
      </c>
      <c r="F4" t="s">
        <v>45</v>
      </c>
      <c r="G4" t="s">
        <v>46</v>
      </c>
      <c r="H4" t="s">
        <v>12</v>
      </c>
      <c r="I4" t="s">
        <v>13</v>
      </c>
      <c r="J4" t="s">
        <v>45</v>
      </c>
      <c r="K4" s="4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83C8-ADF8-4721-81F9-BB387AC8CD13}">
  <sheetPr codeName="Sheet3"/>
  <dimension ref="B2:L5"/>
  <sheetViews>
    <sheetView workbookViewId="0">
      <selection activeCell="J5" sqref="J5"/>
    </sheetView>
  </sheetViews>
  <sheetFormatPr defaultRowHeight="14.5" outlineLevelCol="1" x14ac:dyDescent="0.35"/>
  <cols>
    <col min="2" max="2" width="18.81640625" bestFit="1" customWidth="1"/>
    <col min="3" max="3" width="52.453125" customWidth="1"/>
    <col min="4" max="4" width="5.36328125" hidden="1" customWidth="1" outlineLevel="1"/>
    <col min="5" max="5" width="13.453125" hidden="1" customWidth="1" outlineLevel="1"/>
    <col min="6" max="6" width="5.90625" hidden="1" customWidth="1" outlineLevel="1"/>
    <col min="7" max="7" width="8.08984375" hidden="1" customWidth="1" outlineLevel="1"/>
    <col min="8" max="8" width="7.54296875" hidden="1" customWidth="1" outlineLevel="1"/>
    <col min="9" max="9" width="86.1796875" customWidth="1" collapsed="1"/>
    <col min="10" max="10" width="13.36328125" bestFit="1" customWidth="1"/>
    <col min="11" max="11" width="35.54296875" customWidth="1"/>
    <col min="12" max="12" width="26.6328125" customWidth="1"/>
    <col min="13" max="15" width="19.36328125" customWidth="1"/>
  </cols>
  <sheetData>
    <row r="2" spans="2:12" ht="15" thickBot="1" x14ac:dyDescent="0.4"/>
    <row r="3" spans="2:12" ht="15" thickBot="1" x14ac:dyDescent="0.4">
      <c r="B3" s="7" t="s">
        <v>66</v>
      </c>
    </row>
    <row r="4" spans="2:12" x14ac:dyDescent="0.35">
      <c r="B4" s="44" t="s">
        <v>2</v>
      </c>
      <c r="C4" s="44" t="s">
        <v>60</v>
      </c>
      <c r="D4" s="44" t="s">
        <v>61</v>
      </c>
      <c r="E4" s="44" t="s">
        <v>62</v>
      </c>
      <c r="F4" s="44" t="s">
        <v>63</v>
      </c>
      <c r="G4" s="44" t="s">
        <v>64</v>
      </c>
      <c r="H4" s="44" t="s">
        <v>65</v>
      </c>
      <c r="I4" s="44" t="s">
        <v>79</v>
      </c>
      <c r="J4" t="s">
        <v>59</v>
      </c>
      <c r="K4" t="s">
        <v>57</v>
      </c>
      <c r="L4" t="s">
        <v>86</v>
      </c>
    </row>
    <row r="5" spans="2:12" ht="87" x14ac:dyDescent="0.35">
      <c r="B5" s="47" t="s">
        <v>35</v>
      </c>
      <c r="C5" s="47" t="s">
        <v>89</v>
      </c>
      <c r="D5" s="38"/>
      <c r="E5" s="48">
        <v>202431</v>
      </c>
      <c r="F5" s="48"/>
      <c r="G5" s="38">
        <v>40</v>
      </c>
      <c r="H5" s="38"/>
      <c r="I5" s="38" t="s">
        <v>90</v>
      </c>
      <c r="J5" s="1"/>
      <c r="K5" s="1"/>
      <c r="L5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2BDA0-2A20-44D1-98C4-C6B207A7FF80}">
  <sheetPr codeName="Sheet2"/>
  <dimension ref="A1:AM59"/>
  <sheetViews>
    <sheetView tabSelected="1" topLeftCell="H1" zoomScale="130" zoomScaleNormal="130" workbookViewId="0">
      <selection activeCell="X12" sqref="X12"/>
    </sheetView>
  </sheetViews>
  <sheetFormatPr defaultRowHeight="14.5" x14ac:dyDescent="0.35"/>
  <cols>
    <col min="1" max="1" width="1.6328125" customWidth="1"/>
    <col min="2" max="2" width="15.08984375" bestFit="1" customWidth="1"/>
    <col min="3" max="3" width="41.08984375" customWidth="1"/>
    <col min="4" max="4" width="46.90625" customWidth="1"/>
    <col min="5" max="5" width="33.81640625" customWidth="1"/>
    <col min="6" max="6" width="5.36328125" customWidth="1"/>
    <col min="7" max="7" width="8.54296875" bestFit="1" customWidth="1"/>
    <col min="8" max="8" width="15.81640625" customWidth="1"/>
    <col min="9" max="9" width="2.90625" customWidth="1"/>
    <col min="10" max="10" width="6" bestFit="1" customWidth="1"/>
    <col min="11" max="11" width="5.08984375" bestFit="1" customWidth="1"/>
    <col min="12" max="12" width="4" bestFit="1" customWidth="1"/>
    <col min="13" max="22" width="4.6328125" bestFit="1" customWidth="1"/>
    <col min="23" max="23" width="5.6328125" customWidth="1"/>
    <col min="24" max="24" width="6.81640625" customWidth="1"/>
    <col min="25" max="25" width="0.54296875" customWidth="1"/>
    <col min="26" max="26" width="6.81640625" customWidth="1"/>
    <col min="27" max="27" width="6.36328125" bestFit="1" customWidth="1"/>
    <col min="28" max="28" width="0.54296875" customWidth="1"/>
    <col min="29" max="29" width="16.36328125" bestFit="1" customWidth="1"/>
    <col min="30" max="30" width="6.36328125" bestFit="1" customWidth="1"/>
    <col min="31" max="31" width="6.6328125" customWidth="1"/>
    <col min="32" max="32" width="0.54296875" customWidth="1"/>
    <col min="33" max="33" width="16.08984375" bestFit="1" customWidth="1"/>
    <col min="34" max="34" width="6.36328125" bestFit="1" customWidth="1"/>
    <col min="35" max="35" width="0.54296875" customWidth="1"/>
    <col min="36" max="36" width="12.90625" bestFit="1" customWidth="1"/>
    <col min="37" max="37" width="6.36328125" bestFit="1" customWidth="1"/>
    <col min="38" max="39" width="8.90625" customWidth="1"/>
  </cols>
  <sheetData>
    <row r="1" spans="1:39" ht="93" customHeight="1" thickBot="1" x14ac:dyDescent="0.4">
      <c r="A1" s="87"/>
      <c r="B1" s="50" t="s">
        <v>91</v>
      </c>
      <c r="C1" s="50" t="s">
        <v>92</v>
      </c>
      <c r="D1" s="51"/>
      <c r="E1" s="87"/>
      <c r="F1" s="87"/>
      <c r="G1" s="87"/>
      <c r="H1" s="87"/>
      <c r="I1" s="87"/>
      <c r="J1" s="87"/>
      <c r="K1" s="49" t="s">
        <v>88</v>
      </c>
      <c r="L1" s="94" t="str">
        <f>_xlfn.XLOOKUP(H2,ppv[VisualId],ppv[BinDesc],"")</f>
        <v>LINUX_81_LINUX_OS_CONTENT_MLC_MP1_TIMEOUT, LINUX_81_TSL_HOT_NOMINAL_FREQUENCY_DEPTH_ROUND_ROBIN_SDETESTSEEDLOADER_3143_DQ20220X05RRC0_L_H_D_D_D, EFI_MARIONETTEWAITFOROS_WAITFOREFI_UNDEFINED_POWEROFF_HOT_COLD, LINUX_81_LINUX_OS_CONTENT_MLC_MP1_TIMEOUT, LINUX_81_LINUX_OS_CONTENT_MLC_MP1_TIMEOUT</v>
      </c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6"/>
      <c r="AL1" s="87"/>
      <c r="AM1" s="87"/>
    </row>
    <row r="2" spans="1:39" ht="16.5" thickBot="1" x14ac:dyDescent="0.45">
      <c r="A2" s="87"/>
      <c r="B2" s="8" t="s">
        <v>20</v>
      </c>
      <c r="C2" s="8" t="s">
        <v>34</v>
      </c>
      <c r="D2" s="8" t="s">
        <v>57</v>
      </c>
      <c r="E2" s="8" t="s">
        <v>58</v>
      </c>
      <c r="F2" s="87"/>
      <c r="G2" s="41" t="s">
        <v>0</v>
      </c>
      <c r="H2" s="42" t="str">
        <f>B3</f>
        <v>74TN777200064</v>
      </c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102" t="s">
        <v>136</v>
      </c>
      <c r="Y2" s="103"/>
      <c r="Z2" s="103"/>
      <c r="AA2" s="104"/>
      <c r="AB2" s="105" t="s">
        <v>137</v>
      </c>
      <c r="AC2" s="106"/>
      <c r="AD2" s="102" t="s">
        <v>140</v>
      </c>
      <c r="AE2" s="103"/>
      <c r="AF2" s="103"/>
      <c r="AG2" s="67">
        <v>1</v>
      </c>
      <c r="AH2" s="87"/>
      <c r="AI2" s="87"/>
      <c r="AJ2" s="87"/>
      <c r="AK2" s="87"/>
      <c r="AL2" s="87"/>
      <c r="AM2" s="87"/>
    </row>
    <row r="3" spans="1:39" ht="15" thickBot="1" x14ac:dyDescent="0.4">
      <c r="A3" s="87"/>
      <c r="B3" s="1" t="str" cm="1">
        <f t="array" ref="B3">IF(C1="All",_xlfn.UNIQUE(ppv[VisualId]),_xlfn._xlws.FILTER(ppv[VisualId],(ppv[SubBucket]=C1)*(IF(D1&lt;&gt;"",ISNUMBER(SEARCH(D1, ppv[Comments])),TRUE))))</f>
        <v>74TN777200064</v>
      </c>
      <c r="C3" s="1" t="str">
        <f>_xlfn.XLOOKUP(B3,ppv[VisualId],ppv[DpmBucket],"")</f>
        <v>UNCORE.LLC.DATA.PAR</v>
      </c>
      <c r="D3" s="1"/>
      <c r="E3" s="1"/>
      <c r="F3" s="87"/>
      <c r="G3" s="43" t="s">
        <v>84</v>
      </c>
      <c r="H3" s="10">
        <f>_xlfn.XLOOKUP(H2,ppv[VisualId],ppv[DpmBucketAccuracy],"")</f>
        <v>40</v>
      </c>
      <c r="I3" s="87"/>
      <c r="J3" s="87"/>
      <c r="K3" s="27" t="s">
        <v>134</v>
      </c>
      <c r="L3" s="9" t="s">
        <v>27</v>
      </c>
      <c r="M3" s="24">
        <v>0</v>
      </c>
      <c r="N3" s="25">
        <v>1</v>
      </c>
      <c r="O3" s="25">
        <v>2</v>
      </c>
      <c r="P3" s="25">
        <v>3</v>
      </c>
      <c r="Q3" s="25">
        <v>4</v>
      </c>
      <c r="R3" s="25">
        <v>5</v>
      </c>
      <c r="S3" s="25">
        <v>6</v>
      </c>
      <c r="T3" s="25">
        <v>7</v>
      </c>
      <c r="U3" s="25">
        <v>8</v>
      </c>
      <c r="V3" s="26">
        <v>9</v>
      </c>
      <c r="X3" s="71" t="s">
        <v>130</v>
      </c>
      <c r="Y3" s="71"/>
      <c r="Z3" s="101" t="s">
        <v>131</v>
      </c>
      <c r="AA3" s="101"/>
      <c r="AB3" s="71"/>
      <c r="AC3" s="101" t="s">
        <v>82</v>
      </c>
      <c r="AD3" s="101"/>
      <c r="AE3" s="101"/>
      <c r="AF3" s="71"/>
      <c r="AG3" s="101" t="s">
        <v>83</v>
      </c>
      <c r="AH3" s="101"/>
      <c r="AI3" s="71"/>
      <c r="AJ3" s="101" t="s">
        <v>81</v>
      </c>
      <c r="AK3" s="101"/>
      <c r="AL3" s="87"/>
      <c r="AM3" s="87"/>
    </row>
    <row r="4" spans="1:39" ht="15" thickBot="1" x14ac:dyDescent="0.4">
      <c r="A4" s="87"/>
      <c r="B4" s="1"/>
      <c r="C4" s="1" t="str">
        <f>_xlfn.XLOOKUP(B4,ppv[VisualId],ppv[DpmBucket],"")</f>
        <v/>
      </c>
      <c r="D4" s="1"/>
      <c r="E4" s="1"/>
      <c r="F4" s="87"/>
      <c r="G4" s="36" t="s">
        <v>85</v>
      </c>
      <c r="H4" s="37">
        <f>_xlfn.XLOOKUP(H2,ppv[VisualId],ppv[DecimaWW],"")</f>
        <v>202431</v>
      </c>
      <c r="I4" s="87"/>
      <c r="J4" s="87"/>
      <c r="K4" s="28">
        <v>0</v>
      </c>
      <c r="L4" s="20">
        <v>0</v>
      </c>
      <c r="M4" s="30" t="s">
        <v>28</v>
      </c>
      <c r="N4" s="31" t="s">
        <v>28</v>
      </c>
      <c r="O4" s="31" t="s">
        <v>28</v>
      </c>
      <c r="P4" s="31" t="s">
        <v>28</v>
      </c>
      <c r="Q4" s="31" t="s">
        <v>28</v>
      </c>
      <c r="R4" s="31" t="s">
        <v>28</v>
      </c>
      <c r="S4" s="31" t="s">
        <v>28</v>
      </c>
      <c r="T4" s="31" t="s">
        <v>28</v>
      </c>
      <c r="U4" s="31" t="s">
        <v>28</v>
      </c>
      <c r="V4" s="32" t="s">
        <v>28</v>
      </c>
      <c r="X4" s="70" t="s">
        <v>129</v>
      </c>
      <c r="Y4" s="70"/>
      <c r="Z4" s="70" t="s">
        <v>106</v>
      </c>
      <c r="AA4" s="72" t="s">
        <v>132</v>
      </c>
      <c r="AB4" s="70"/>
      <c r="AC4" s="70" t="s">
        <v>76</v>
      </c>
      <c r="AD4" s="72" t="s">
        <v>132</v>
      </c>
      <c r="AE4" s="73" t="s">
        <v>133</v>
      </c>
      <c r="AF4" s="74"/>
      <c r="AG4" s="70" t="s">
        <v>77</v>
      </c>
      <c r="AH4" s="72" t="s">
        <v>132</v>
      </c>
      <c r="AI4" s="74"/>
      <c r="AJ4" s="70" t="s">
        <v>78</v>
      </c>
      <c r="AK4" s="72" t="s">
        <v>132</v>
      </c>
      <c r="AL4" s="87"/>
      <c r="AM4" s="87"/>
    </row>
    <row r="5" spans="1:39" ht="15" thickBot="1" x14ac:dyDescent="0.4">
      <c r="A5" s="87"/>
      <c r="B5" s="1"/>
      <c r="C5" s="1" t="str">
        <f>_xlfn.XLOOKUP(B5,ppv[VisualId],ppv[DpmBucket],"")</f>
        <v/>
      </c>
      <c r="D5" s="1"/>
      <c r="E5" s="1"/>
      <c r="F5" s="87"/>
      <c r="G5" s="52" t="s">
        <v>91</v>
      </c>
      <c r="H5" s="53">
        <f>_xlfn.XLOOKUP(H2,ppv[VisualId],ppv[SubBucket])</f>
        <v>0</v>
      </c>
      <c r="I5" s="87"/>
      <c r="J5" s="87"/>
      <c r="L5" s="18">
        <v>1</v>
      </c>
      <c r="M5" s="9">
        <v>0</v>
      </c>
      <c r="N5" s="9">
        <v>2</v>
      </c>
      <c r="O5" s="9">
        <f t="shared" ref="O5:V6" si="0">N5+7</f>
        <v>9</v>
      </c>
      <c r="P5" s="9">
        <f t="shared" si="0"/>
        <v>16</v>
      </c>
      <c r="Q5" s="9">
        <f t="shared" si="0"/>
        <v>23</v>
      </c>
      <c r="R5" s="9">
        <f t="shared" si="0"/>
        <v>30</v>
      </c>
      <c r="S5" s="9">
        <f t="shared" si="0"/>
        <v>37</v>
      </c>
      <c r="T5" s="9">
        <f t="shared" si="0"/>
        <v>44</v>
      </c>
      <c r="U5" s="9">
        <f t="shared" si="0"/>
        <v>51</v>
      </c>
      <c r="V5" s="9">
        <f t="shared" si="0"/>
        <v>58</v>
      </c>
      <c r="X5" s="79" t="str" cm="1">
        <f t="array" ref="X5">IFERROR(_xlfn._xlws.FILTER(punitmcas[type],punitmcas[Counter]&gt;0),"")</f>
        <v/>
      </c>
      <c r="Y5" s="75"/>
      <c r="Z5" s="84" t="str" cm="1">
        <f t="array" ref="Z5">IFERROR(_xlfn._xlws.FILTER(memss[Name],memss[MEMSS_Hitter_Count]&gt;0),"")</f>
        <v/>
      </c>
      <c r="AA5" s="77" t="str" cm="1">
        <f t="array" ref="AA5">IFERROR(_xlfn._xlws.FILTER(memss[MEMSS_Hitter_Count],memss[MEMSS_Hitter_Count]&gt;0),"")</f>
        <v/>
      </c>
      <c r="AB5" s="75"/>
      <c r="AC5" s="82" t="str" cm="1">
        <f t="array" ref="AC5">IFERROR("CORE"&amp;_xlfn._xlws.FILTER(misc[location],misc[Core_Hitter_Count]&gt;MAX(misc[Core_Hitter_Count]-AG2,0)),"")</f>
        <v>CORE8</v>
      </c>
      <c r="AD5" s="79" cm="1">
        <f t="array" ref="AD5">IFERROR(_xlfn._xlws.FILTER(misc[Core_Hitter_Count],misc[Core_Hitter_Count]&gt;MAX(misc[Core_Hitter_Count]-$AG$2,0)),"")</f>
        <v>1</v>
      </c>
      <c r="AE5" s="89" t="str" cm="1">
        <f t="array" ref="AE5">IFERROR(_xlfn._xlws.FILTER(misc[Core_FAILS],misc[Core_Hitter_Count]&gt;MAX(misc[Core_Hitter_Count]-$AG$2,0)),"")</f>
        <v>ML2</v>
      </c>
      <c r="AF5" s="69"/>
      <c r="AG5" s="88" t="str" cm="1">
        <f t="array" ref="AG5">IFERROR("CHA"&amp;_xlfn._xlws.FILTER(misc[location],misc[CHA_Hitter_Count]&gt;MAX(misc[CHA_Hitter_Count]-$AG$2,0)),"")</f>
        <v/>
      </c>
      <c r="AH5" s="79" t="str" cm="1">
        <f t="array" ref="AH5">IFERROR(_xlfn._xlws.FILTER(misc[CHA_Hitter_Count],misc[CHA_Hitter_Count]&gt;MAX(misc[CHA_Hitter_Count]-$AG$2,0)),"")</f>
        <v/>
      </c>
      <c r="AI5" s="69"/>
      <c r="AJ5" s="88" t="str" cm="1">
        <f t="array" ref="AJ5">IFERROR("LLC"&amp;_xlfn._xlws.FILTER(misc[location],misc[LLC_Hitter_Count]&gt;MAX(misc[LLC_Hitter_Count]-$AG$2,0)),"")</f>
        <v/>
      </c>
      <c r="AK5" s="79" t="str" cm="1">
        <f t="array" ref="AK5">IFERROR(_xlfn._xlws.FILTER(misc[LLC_Hitter_Count],misc[LLC_Hitter_Count]&gt;MAX(misc[LLC_Hitter_Count]-$AG$2,0)),"")</f>
        <v/>
      </c>
      <c r="AL5" s="87"/>
      <c r="AM5" s="87"/>
    </row>
    <row r="6" spans="1:39" ht="15" thickBot="1" x14ac:dyDescent="0.4">
      <c r="A6" s="87"/>
      <c r="B6" s="1"/>
      <c r="C6" s="1" t="str">
        <f>_xlfn.XLOOKUP(B6,ppv[VisualId],ppv[DpmBucket],"")</f>
        <v/>
      </c>
      <c r="D6" s="1"/>
      <c r="E6" s="1"/>
      <c r="F6" s="87"/>
      <c r="G6" s="97">
        <f>_xlfn.XLOOKUP(H2,ppv[VisualId],ppv[Comments])</f>
        <v>0</v>
      </c>
      <c r="H6" s="98"/>
      <c r="I6" s="87"/>
      <c r="J6" s="87"/>
      <c r="L6" s="18">
        <v>2</v>
      </c>
      <c r="M6" s="9">
        <f>M5+1</f>
        <v>1</v>
      </c>
      <c r="N6" s="9">
        <f>N5+1</f>
        <v>3</v>
      </c>
      <c r="O6" s="9">
        <f t="shared" si="0"/>
        <v>10</v>
      </c>
      <c r="P6" s="9">
        <f t="shared" si="0"/>
        <v>17</v>
      </c>
      <c r="Q6" s="9">
        <f t="shared" si="0"/>
        <v>24</v>
      </c>
      <c r="R6" s="9">
        <f t="shared" si="0"/>
        <v>31</v>
      </c>
      <c r="S6" s="9">
        <f t="shared" si="0"/>
        <v>38</v>
      </c>
      <c r="T6" s="9">
        <f t="shared" si="0"/>
        <v>45</v>
      </c>
      <c r="U6" s="9">
        <f t="shared" si="0"/>
        <v>52</v>
      </c>
      <c r="V6" s="9">
        <f t="shared" si="0"/>
        <v>59</v>
      </c>
      <c r="X6" s="80"/>
      <c r="Y6" s="75"/>
      <c r="Z6" s="85"/>
      <c r="AA6" s="77"/>
      <c r="AB6" s="75"/>
      <c r="AC6" s="82"/>
      <c r="AD6" s="80"/>
      <c r="AE6" s="89"/>
      <c r="AF6" s="69"/>
      <c r="AG6" s="82"/>
      <c r="AH6" s="80"/>
      <c r="AI6" s="69"/>
      <c r="AJ6" s="82"/>
      <c r="AK6" s="80"/>
      <c r="AL6" s="87"/>
      <c r="AM6" s="87"/>
    </row>
    <row r="7" spans="1:39" ht="15" thickBot="1" x14ac:dyDescent="0.4">
      <c r="A7" s="87"/>
      <c r="B7" s="1"/>
      <c r="C7" s="1" t="str">
        <f>_xlfn.XLOOKUP(B7,ppv[VisualId],ppv[DpmBucket],"")</f>
        <v/>
      </c>
      <c r="D7" s="1"/>
      <c r="E7" s="1"/>
      <c r="F7" s="87"/>
      <c r="G7" s="99" t="s">
        <v>93</v>
      </c>
      <c r="H7" s="100"/>
      <c r="I7" s="87"/>
      <c r="J7" s="60" t="s">
        <v>80</v>
      </c>
      <c r="L7" s="18">
        <v>3</v>
      </c>
      <c r="M7" s="33" t="s">
        <v>29</v>
      </c>
      <c r="N7" s="6">
        <v>4</v>
      </c>
      <c r="O7" s="6">
        <f t="shared" ref="O7:U11" si="1">N7+7</f>
        <v>11</v>
      </c>
      <c r="P7" s="6">
        <f t="shared" si="1"/>
        <v>18</v>
      </c>
      <c r="Q7" s="6">
        <f t="shared" si="1"/>
        <v>25</v>
      </c>
      <c r="R7" s="6">
        <f t="shared" si="1"/>
        <v>32</v>
      </c>
      <c r="S7" s="6">
        <f t="shared" si="1"/>
        <v>39</v>
      </c>
      <c r="T7" s="6">
        <f t="shared" si="1"/>
        <v>46</v>
      </c>
      <c r="U7" s="6">
        <f t="shared" si="1"/>
        <v>53</v>
      </c>
      <c r="V7" s="12" t="s">
        <v>30</v>
      </c>
      <c r="X7" s="80"/>
      <c r="Y7" s="75"/>
      <c r="Z7" s="85"/>
      <c r="AA7" s="77"/>
      <c r="AB7" s="75"/>
      <c r="AC7" s="82"/>
      <c r="AD7" s="80"/>
      <c r="AE7" s="89"/>
      <c r="AF7" s="69"/>
      <c r="AG7" s="82"/>
      <c r="AH7" s="80"/>
      <c r="AI7" s="69"/>
      <c r="AJ7" s="82"/>
      <c r="AK7" s="80"/>
      <c r="AL7" s="87"/>
      <c r="AM7" s="87"/>
    </row>
    <row r="8" spans="1:39" ht="15" thickBot="1" x14ac:dyDescent="0.4">
      <c r="A8" s="87"/>
      <c r="B8" s="1"/>
      <c r="C8" s="1" t="str">
        <f>_xlfn.XLOOKUP(B8,ppv[VisualId],ppv[DpmBucket],"")</f>
        <v/>
      </c>
      <c r="D8" s="1"/>
      <c r="E8" s="1"/>
      <c r="F8" s="87"/>
      <c r="G8" s="54" t="str" cm="1">
        <f t="array" ref="G8">_xlfn._xlws.FILTER(cha_mc[PPVRun_MC],((cha_mc[VisualId]=H2)*(ISNUMBER(SEARCH("BIOSNONSTICKYSCRATCHPAD",cha_mc[TestName])))),"")</f>
        <v/>
      </c>
      <c r="H8" s="55" t="str" cm="1">
        <f t="array" ref="H8">_xlfn._xlws.FILTER(cha_mc[TestValue],((cha_mc[VisualId]=H2)*(ISNUMBER(SEARCH("BIOSNONSTICKYSCRATCHPAD",cha_mc[TestName])))),"")</f>
        <v/>
      </c>
      <c r="I8" s="87"/>
      <c r="J8" s="61" t="s">
        <v>81</v>
      </c>
      <c r="L8" s="18">
        <v>4</v>
      </c>
      <c r="M8" s="33" t="s">
        <v>31</v>
      </c>
      <c r="N8" s="6">
        <v>5</v>
      </c>
      <c r="O8" s="6">
        <f t="shared" si="1"/>
        <v>12</v>
      </c>
      <c r="P8" s="6">
        <f t="shared" si="1"/>
        <v>19</v>
      </c>
      <c r="Q8" s="6">
        <f t="shared" si="1"/>
        <v>26</v>
      </c>
      <c r="R8" s="6">
        <f t="shared" si="1"/>
        <v>33</v>
      </c>
      <c r="S8" s="6">
        <f t="shared" si="1"/>
        <v>40</v>
      </c>
      <c r="T8" s="6">
        <f t="shared" si="1"/>
        <v>47</v>
      </c>
      <c r="U8" s="6">
        <f t="shared" si="1"/>
        <v>54</v>
      </c>
      <c r="V8" s="12" t="s">
        <v>32</v>
      </c>
      <c r="X8" s="80"/>
      <c r="Y8" s="75"/>
      <c r="Z8" s="85"/>
      <c r="AA8" s="77"/>
      <c r="AB8" s="75"/>
      <c r="AC8" s="82"/>
      <c r="AD8" s="80"/>
      <c r="AE8" s="89"/>
      <c r="AF8" s="69"/>
      <c r="AG8" s="82"/>
      <c r="AH8" s="80"/>
      <c r="AI8" s="69"/>
      <c r="AJ8" s="82"/>
      <c r="AK8" s="80"/>
      <c r="AL8" s="87"/>
      <c r="AM8" s="87"/>
    </row>
    <row r="9" spans="1:39" ht="15" thickBot="1" x14ac:dyDescent="0.4">
      <c r="A9" s="87"/>
      <c r="B9" s="1"/>
      <c r="C9" s="1" t="str">
        <f>_xlfn.XLOOKUP(B9,ppv[VisualId],ppv[DpmBucket],"")</f>
        <v/>
      </c>
      <c r="D9" s="1"/>
      <c r="E9" s="1"/>
      <c r="F9" s="87"/>
      <c r="G9" s="56"/>
      <c r="H9" s="57"/>
      <c r="I9" s="87"/>
      <c r="J9" s="62" t="s">
        <v>82</v>
      </c>
      <c r="L9" s="18">
        <v>5</v>
      </c>
      <c r="M9" s="68" t="s">
        <v>107</v>
      </c>
      <c r="N9" s="9">
        <v>6</v>
      </c>
      <c r="O9" s="9">
        <f t="shared" si="1"/>
        <v>13</v>
      </c>
      <c r="P9" s="9">
        <f t="shared" si="1"/>
        <v>20</v>
      </c>
      <c r="Q9" s="9">
        <f t="shared" si="1"/>
        <v>27</v>
      </c>
      <c r="R9" s="9">
        <f t="shared" si="1"/>
        <v>34</v>
      </c>
      <c r="S9" s="9">
        <f t="shared" si="1"/>
        <v>41</v>
      </c>
      <c r="T9" s="9">
        <f t="shared" si="1"/>
        <v>48</v>
      </c>
      <c r="U9" s="9">
        <f t="shared" si="1"/>
        <v>55</v>
      </c>
      <c r="V9" s="90" t="s">
        <v>109</v>
      </c>
      <c r="X9" s="80"/>
      <c r="Y9" s="75"/>
      <c r="Z9" s="85"/>
      <c r="AA9" s="77"/>
      <c r="AB9" s="75"/>
      <c r="AC9" s="82"/>
      <c r="AD9" s="80"/>
      <c r="AE9" s="89"/>
      <c r="AF9" s="69"/>
      <c r="AG9" s="82"/>
      <c r="AH9" s="80"/>
      <c r="AI9" s="69"/>
      <c r="AJ9" s="82"/>
      <c r="AK9" s="80"/>
      <c r="AL9" s="87"/>
      <c r="AM9" s="87"/>
    </row>
    <row r="10" spans="1:39" ht="15" thickBot="1" x14ac:dyDescent="0.4">
      <c r="A10" s="87"/>
      <c r="B10" s="1"/>
      <c r="C10" s="1" t="str">
        <f>_xlfn.XLOOKUP(B10,ppv[VisualId],ppv[DpmBucket],"")</f>
        <v/>
      </c>
      <c r="D10" s="1"/>
      <c r="E10" s="1"/>
      <c r="F10" s="87"/>
      <c r="G10" s="56"/>
      <c r="H10" s="57"/>
      <c r="I10" s="87"/>
      <c r="J10" s="40" t="s">
        <v>83</v>
      </c>
      <c r="L10" s="18">
        <v>6</v>
      </c>
      <c r="M10" s="68" t="s">
        <v>108</v>
      </c>
      <c r="N10" s="9">
        <v>7</v>
      </c>
      <c r="O10" s="9">
        <f t="shared" si="1"/>
        <v>14</v>
      </c>
      <c r="P10" s="9">
        <f t="shared" si="1"/>
        <v>21</v>
      </c>
      <c r="Q10" s="9">
        <f t="shared" si="1"/>
        <v>28</v>
      </c>
      <c r="R10" s="9">
        <f t="shared" si="1"/>
        <v>35</v>
      </c>
      <c r="S10" s="9">
        <f t="shared" si="1"/>
        <v>42</v>
      </c>
      <c r="T10" s="9">
        <f t="shared" si="1"/>
        <v>49</v>
      </c>
      <c r="U10" s="9">
        <f t="shared" si="1"/>
        <v>56</v>
      </c>
      <c r="V10" s="90" t="s">
        <v>110</v>
      </c>
      <c r="X10" s="80"/>
      <c r="Y10" s="75"/>
      <c r="Z10" s="85"/>
      <c r="AA10" s="77"/>
      <c r="AB10" s="75"/>
      <c r="AC10" s="82"/>
      <c r="AD10" s="80"/>
      <c r="AE10" s="89"/>
      <c r="AF10" s="69"/>
      <c r="AG10" s="82"/>
      <c r="AH10" s="80"/>
      <c r="AI10" s="69"/>
      <c r="AJ10" s="82"/>
      <c r="AK10" s="80"/>
      <c r="AL10" s="87"/>
      <c r="AM10" s="87"/>
    </row>
    <row r="11" spans="1:39" ht="15" thickBot="1" x14ac:dyDescent="0.4">
      <c r="A11" s="87"/>
      <c r="B11" s="1"/>
      <c r="C11" s="1" t="str">
        <f>_xlfn.XLOOKUP(B11,ppv[VisualId],ppv[DpmBucket],"")</f>
        <v/>
      </c>
      <c r="D11" s="1"/>
      <c r="E11" s="1"/>
      <c r="F11" s="87"/>
      <c r="G11" s="56"/>
      <c r="H11" s="57"/>
      <c r="I11" s="87"/>
      <c r="J11" s="67" t="s">
        <v>106</v>
      </c>
      <c r="L11" s="18">
        <v>7</v>
      </c>
      <c r="M11" s="34" t="s">
        <v>33</v>
      </c>
      <c r="N11" s="9">
        <v>8</v>
      </c>
      <c r="O11" s="9">
        <f t="shared" si="1"/>
        <v>15</v>
      </c>
      <c r="P11" s="9">
        <f t="shared" si="1"/>
        <v>22</v>
      </c>
      <c r="Q11" s="9">
        <f t="shared" si="1"/>
        <v>29</v>
      </c>
      <c r="R11" s="9">
        <f t="shared" si="1"/>
        <v>36</v>
      </c>
      <c r="S11" s="9">
        <f t="shared" si="1"/>
        <v>43</v>
      </c>
      <c r="T11" s="9">
        <f t="shared" si="1"/>
        <v>50</v>
      </c>
      <c r="U11" s="9">
        <f t="shared" si="1"/>
        <v>57</v>
      </c>
      <c r="V11" s="11" t="s">
        <v>33</v>
      </c>
      <c r="X11" s="70" t="s">
        <v>119</v>
      </c>
      <c r="Y11" s="75"/>
      <c r="Z11" s="85"/>
      <c r="AA11" s="77"/>
      <c r="AB11" s="75"/>
      <c r="AC11" s="82"/>
      <c r="AD11" s="80"/>
      <c r="AE11" s="89"/>
      <c r="AF11" s="69"/>
      <c r="AG11" s="82"/>
      <c r="AH11" s="80"/>
      <c r="AI11" s="69"/>
      <c r="AJ11" s="82"/>
      <c r="AK11" s="80"/>
      <c r="AL11" s="87"/>
      <c r="AM11" s="87"/>
    </row>
    <row r="12" spans="1:39" ht="15" thickBot="1" x14ac:dyDescent="0.4">
      <c r="A12" s="87"/>
      <c r="B12" s="1"/>
      <c r="C12" s="1" t="str">
        <f>_xlfn.XLOOKUP(B12,ppv[VisualId],ppv[DpmBucket],"")</f>
        <v/>
      </c>
      <c r="D12" s="1"/>
      <c r="E12" s="1"/>
      <c r="F12" s="87"/>
      <c r="G12" s="56"/>
      <c r="H12" s="57"/>
      <c r="I12" s="87"/>
      <c r="L12" s="19">
        <v>8</v>
      </c>
      <c r="M12" s="35" t="s">
        <v>28</v>
      </c>
      <c r="N12" s="13" t="s">
        <v>28</v>
      </c>
      <c r="O12" s="13" t="s">
        <v>28</v>
      </c>
      <c r="P12" s="13" t="s">
        <v>28</v>
      </c>
      <c r="Q12" s="13" t="s">
        <v>28</v>
      </c>
      <c r="R12" s="13" t="s">
        <v>28</v>
      </c>
      <c r="S12" s="13" t="s">
        <v>28</v>
      </c>
      <c r="T12" s="13" t="s">
        <v>28</v>
      </c>
      <c r="U12" s="13" t="s">
        <v>28</v>
      </c>
      <c r="V12" s="14" t="s">
        <v>28</v>
      </c>
      <c r="X12" s="80" t="str" cm="1">
        <f t="array" ref="X12">IFERROR(_xlfn._xlws.FILTER(s3errors[type],s3errors[Counter]&gt;0),"")</f>
        <v/>
      </c>
      <c r="Y12" s="75"/>
      <c r="Z12" s="85"/>
      <c r="AA12" s="77"/>
      <c r="AB12" s="75"/>
      <c r="AC12" s="82"/>
      <c r="AD12" s="80"/>
      <c r="AE12" s="89"/>
      <c r="AF12" s="69"/>
      <c r="AG12" s="82"/>
      <c r="AH12" s="80"/>
      <c r="AI12" s="69"/>
      <c r="AJ12" s="82"/>
      <c r="AK12" s="80"/>
      <c r="AL12" s="87"/>
      <c r="AM12" s="87"/>
    </row>
    <row r="13" spans="1:39" ht="15" thickBot="1" x14ac:dyDescent="0.4">
      <c r="A13" s="87"/>
      <c r="B13" s="1"/>
      <c r="C13" s="1" t="str">
        <f>_xlfn.XLOOKUP(B13,ppv[VisualId],ppv[DpmBucket],"")</f>
        <v/>
      </c>
      <c r="D13" s="1"/>
      <c r="E13" s="1"/>
      <c r="F13" s="87"/>
      <c r="G13" s="56"/>
      <c r="H13" s="57"/>
      <c r="I13" s="87"/>
      <c r="X13" s="80"/>
      <c r="Y13" s="75"/>
      <c r="Z13" s="85"/>
      <c r="AA13" s="77"/>
      <c r="AB13" s="75"/>
      <c r="AC13" s="82"/>
      <c r="AD13" s="80"/>
      <c r="AE13" s="89"/>
      <c r="AF13" s="69"/>
      <c r="AG13" s="82"/>
      <c r="AH13" s="80"/>
      <c r="AI13" s="69"/>
      <c r="AJ13" s="82"/>
      <c r="AK13" s="80"/>
      <c r="AL13" s="87"/>
      <c r="AM13" s="87"/>
    </row>
    <row r="14" spans="1:39" ht="15" thickBot="1" x14ac:dyDescent="0.4">
      <c r="A14" s="87"/>
      <c r="B14" s="1"/>
      <c r="C14" s="1" t="str">
        <f>_xlfn.XLOOKUP(B14,ppv[VisualId],ppv[DpmBucket],"")</f>
        <v/>
      </c>
      <c r="D14" s="1"/>
      <c r="E14" s="1"/>
      <c r="F14" s="87"/>
      <c r="G14" s="56"/>
      <c r="H14" s="57"/>
      <c r="I14" s="87"/>
      <c r="K14" s="27" t="s">
        <v>134</v>
      </c>
      <c r="L14" s="9" t="s">
        <v>27</v>
      </c>
      <c r="M14" s="24">
        <v>0</v>
      </c>
      <c r="N14" s="25">
        <v>1</v>
      </c>
      <c r="O14" s="25">
        <v>2</v>
      </c>
      <c r="P14" s="25">
        <v>3</v>
      </c>
      <c r="Q14" s="25">
        <v>4</v>
      </c>
      <c r="R14" s="25">
        <v>5</v>
      </c>
      <c r="S14" s="25">
        <v>6</v>
      </c>
      <c r="T14" s="25">
        <v>7</v>
      </c>
      <c r="U14" s="25">
        <v>8</v>
      </c>
      <c r="V14" s="26">
        <v>9</v>
      </c>
      <c r="X14" s="80"/>
      <c r="Y14" s="75"/>
      <c r="Z14" s="85"/>
      <c r="AA14" s="77"/>
      <c r="AB14" s="75"/>
      <c r="AC14" s="82"/>
      <c r="AD14" s="80"/>
      <c r="AE14" s="89"/>
      <c r="AF14" s="69"/>
      <c r="AG14" s="82"/>
      <c r="AH14" s="80"/>
      <c r="AI14" s="69"/>
      <c r="AJ14" s="82"/>
      <c r="AK14" s="80"/>
      <c r="AL14" s="87"/>
      <c r="AM14" s="87"/>
    </row>
    <row r="15" spans="1:39" ht="15" thickBot="1" x14ac:dyDescent="0.4">
      <c r="A15" s="87"/>
      <c r="B15" s="1"/>
      <c r="C15" s="1" t="str">
        <f>_xlfn.XLOOKUP(B15,ppv[VisualId],ppv[DpmBucket],"")</f>
        <v/>
      </c>
      <c r="D15" s="1"/>
      <c r="E15" s="1"/>
      <c r="F15" s="87"/>
      <c r="G15" s="56"/>
      <c r="H15" s="57"/>
      <c r="I15" s="87"/>
      <c r="K15" s="29">
        <v>1</v>
      </c>
      <c r="L15" s="20">
        <v>0</v>
      </c>
      <c r="M15" s="21" t="s">
        <v>28</v>
      </c>
      <c r="N15" s="22" t="s">
        <v>28</v>
      </c>
      <c r="O15" s="22" t="s">
        <v>28</v>
      </c>
      <c r="P15" s="22" t="s">
        <v>28</v>
      </c>
      <c r="Q15" s="22" t="s">
        <v>28</v>
      </c>
      <c r="R15" s="22" t="s">
        <v>28</v>
      </c>
      <c r="S15" s="22" t="s">
        <v>28</v>
      </c>
      <c r="T15" s="22" t="s">
        <v>28</v>
      </c>
      <c r="U15" s="22" t="s">
        <v>28</v>
      </c>
      <c r="V15" s="23" t="s">
        <v>28</v>
      </c>
      <c r="X15" s="80"/>
      <c r="Y15" s="75"/>
      <c r="Z15" s="85"/>
      <c r="AA15" s="77"/>
      <c r="AB15" s="75"/>
      <c r="AC15" s="82"/>
      <c r="AD15" s="80"/>
      <c r="AE15" s="89"/>
      <c r="AF15" s="69"/>
      <c r="AG15" s="82"/>
      <c r="AH15" s="80"/>
      <c r="AI15" s="69"/>
      <c r="AJ15" s="82"/>
      <c r="AK15" s="80"/>
      <c r="AL15" s="87"/>
      <c r="AM15" s="87"/>
    </row>
    <row r="16" spans="1:39" ht="15" thickBot="1" x14ac:dyDescent="0.4">
      <c r="A16" s="87"/>
      <c r="B16" s="1"/>
      <c r="C16" s="1" t="str">
        <f>_xlfn.XLOOKUP(B16,ppv[VisualId],ppv[DpmBucket],"")</f>
        <v/>
      </c>
      <c r="D16" s="1"/>
      <c r="E16" s="1"/>
      <c r="F16" s="87"/>
      <c r="G16" s="56"/>
      <c r="H16" s="57"/>
      <c r="I16" s="87"/>
      <c r="L16" s="18">
        <v>1</v>
      </c>
      <c r="M16" s="10">
        <f t="shared" ref="M16:V16" si="2">M5+60</f>
        <v>60</v>
      </c>
      <c r="N16" s="9">
        <f t="shared" si="2"/>
        <v>62</v>
      </c>
      <c r="O16" s="9">
        <f t="shared" si="2"/>
        <v>69</v>
      </c>
      <c r="P16" s="9">
        <f t="shared" si="2"/>
        <v>76</v>
      </c>
      <c r="Q16" s="9">
        <f t="shared" si="2"/>
        <v>83</v>
      </c>
      <c r="R16" s="9">
        <f t="shared" si="2"/>
        <v>90</v>
      </c>
      <c r="S16" s="9">
        <f t="shared" si="2"/>
        <v>97</v>
      </c>
      <c r="T16" s="9">
        <f t="shared" si="2"/>
        <v>104</v>
      </c>
      <c r="U16" s="9">
        <f t="shared" si="2"/>
        <v>111</v>
      </c>
      <c r="V16" s="9">
        <f t="shared" si="2"/>
        <v>118</v>
      </c>
      <c r="X16" s="80"/>
      <c r="Y16" s="75"/>
      <c r="Z16" s="85"/>
      <c r="AA16" s="77"/>
      <c r="AB16" s="75"/>
      <c r="AC16" s="82"/>
      <c r="AD16" s="80"/>
      <c r="AE16" s="89"/>
      <c r="AF16" s="69"/>
      <c r="AG16" s="82"/>
      <c r="AH16" s="80"/>
      <c r="AI16" s="69"/>
      <c r="AJ16" s="82"/>
      <c r="AK16" s="80"/>
      <c r="AL16" s="87"/>
      <c r="AM16" s="87"/>
    </row>
    <row r="17" spans="1:39" ht="15" thickBot="1" x14ac:dyDescent="0.4">
      <c r="A17" s="87"/>
      <c r="B17" s="1"/>
      <c r="C17" s="1" t="str">
        <f>_xlfn.XLOOKUP(B17,ppv[VisualId],ppv[DpmBucket],"")</f>
        <v/>
      </c>
      <c r="D17" s="1"/>
      <c r="E17" s="1"/>
      <c r="F17" s="87"/>
      <c r="G17" s="56"/>
      <c r="H17" s="57"/>
      <c r="I17" s="87"/>
      <c r="L17" s="18">
        <v>2</v>
      </c>
      <c r="M17" s="10">
        <f t="shared" ref="M17:V17" si="3">M6+60</f>
        <v>61</v>
      </c>
      <c r="N17" s="9">
        <f t="shared" si="3"/>
        <v>63</v>
      </c>
      <c r="O17" s="9">
        <f t="shared" si="3"/>
        <v>70</v>
      </c>
      <c r="P17" s="9">
        <f t="shared" si="3"/>
        <v>77</v>
      </c>
      <c r="Q17" s="9">
        <f t="shared" si="3"/>
        <v>84</v>
      </c>
      <c r="R17" s="9">
        <f t="shared" si="3"/>
        <v>91</v>
      </c>
      <c r="S17" s="9">
        <f t="shared" si="3"/>
        <v>98</v>
      </c>
      <c r="T17" s="9">
        <f t="shared" si="3"/>
        <v>105</v>
      </c>
      <c r="U17" s="9">
        <f t="shared" si="3"/>
        <v>112</v>
      </c>
      <c r="V17" s="9">
        <f t="shared" si="3"/>
        <v>119</v>
      </c>
      <c r="X17" s="80"/>
      <c r="Y17" s="75"/>
      <c r="Z17" s="85"/>
      <c r="AA17" s="77"/>
      <c r="AB17" s="75"/>
      <c r="AC17" s="82"/>
      <c r="AD17" s="80"/>
      <c r="AE17" s="89"/>
      <c r="AF17" s="69"/>
      <c r="AG17" s="82"/>
      <c r="AH17" s="80"/>
      <c r="AI17" s="69"/>
      <c r="AJ17" s="82"/>
      <c r="AK17" s="80"/>
      <c r="AL17" s="87"/>
      <c r="AM17" s="87"/>
    </row>
    <row r="18" spans="1:39" ht="15" thickBot="1" x14ac:dyDescent="0.4">
      <c r="A18" s="87"/>
      <c r="B18" s="1"/>
      <c r="C18" s="1" t="str">
        <f>_xlfn.XLOOKUP(B18,ppv[VisualId],ppv[DpmBucket],"")</f>
        <v/>
      </c>
      <c r="D18" s="1"/>
      <c r="E18" s="1"/>
      <c r="F18" s="87"/>
      <c r="G18" s="58"/>
      <c r="H18" s="59"/>
      <c r="I18" s="87"/>
      <c r="J18" s="60" t="s">
        <v>80</v>
      </c>
      <c r="L18" s="18">
        <v>3</v>
      </c>
      <c r="M18" s="16" t="s">
        <v>29</v>
      </c>
      <c r="N18" s="6">
        <f t="shared" ref="N18:T22" si="4">N7+60</f>
        <v>64</v>
      </c>
      <c r="O18" s="6">
        <f t="shared" si="4"/>
        <v>71</v>
      </c>
      <c r="P18" s="6">
        <f t="shared" si="4"/>
        <v>78</v>
      </c>
      <c r="Q18" s="6">
        <f t="shared" si="4"/>
        <v>85</v>
      </c>
      <c r="R18" s="6">
        <f t="shared" si="4"/>
        <v>92</v>
      </c>
      <c r="S18" s="6">
        <f t="shared" si="4"/>
        <v>99</v>
      </c>
      <c r="T18" s="6">
        <f t="shared" si="4"/>
        <v>106</v>
      </c>
      <c r="U18" s="6">
        <f>T18+7</f>
        <v>113</v>
      </c>
      <c r="V18" s="12" t="s">
        <v>30</v>
      </c>
      <c r="X18" s="80"/>
      <c r="Y18" s="75"/>
      <c r="Z18" s="85"/>
      <c r="AA18" s="77"/>
      <c r="AB18" s="75"/>
      <c r="AC18" s="82"/>
      <c r="AD18" s="80"/>
      <c r="AE18" s="89"/>
      <c r="AF18" s="69"/>
      <c r="AG18" s="82"/>
      <c r="AH18" s="80"/>
      <c r="AI18" s="69"/>
      <c r="AJ18" s="82"/>
      <c r="AK18" s="80"/>
      <c r="AL18" s="87"/>
      <c r="AM18" s="87"/>
    </row>
    <row r="19" spans="1:39" ht="15" thickBot="1" x14ac:dyDescent="0.4">
      <c r="A19" s="87"/>
      <c r="B19" s="1"/>
      <c r="C19" s="1" t="str">
        <f>_xlfn.XLOOKUP(B19,ppv[VisualId],ppv[DpmBucket],"")</f>
        <v/>
      </c>
      <c r="D19" s="1"/>
      <c r="E19" s="1"/>
      <c r="F19" s="87"/>
      <c r="G19" s="87"/>
      <c r="H19" s="87"/>
      <c r="I19" s="87"/>
      <c r="J19" s="39" t="s">
        <v>81</v>
      </c>
      <c r="L19" s="18">
        <v>4</v>
      </c>
      <c r="M19" s="16" t="s">
        <v>31</v>
      </c>
      <c r="N19" s="6">
        <f t="shared" si="4"/>
        <v>65</v>
      </c>
      <c r="O19" s="6">
        <f t="shared" si="4"/>
        <v>72</v>
      </c>
      <c r="P19" s="6">
        <f t="shared" si="4"/>
        <v>79</v>
      </c>
      <c r="Q19" s="6">
        <f t="shared" si="4"/>
        <v>86</v>
      </c>
      <c r="R19" s="6">
        <f t="shared" si="4"/>
        <v>93</v>
      </c>
      <c r="S19" s="6">
        <f t="shared" si="4"/>
        <v>100</v>
      </c>
      <c r="T19" s="6">
        <f t="shared" si="4"/>
        <v>107</v>
      </c>
      <c r="U19" s="6">
        <f>T19+7</f>
        <v>114</v>
      </c>
      <c r="V19" s="12" t="s">
        <v>32</v>
      </c>
      <c r="X19" s="80"/>
      <c r="Y19" s="75"/>
      <c r="Z19" s="85"/>
      <c r="AA19" s="77"/>
      <c r="AB19" s="75"/>
      <c r="AC19" s="82"/>
      <c r="AD19" s="80"/>
      <c r="AE19" s="89"/>
      <c r="AF19" s="69"/>
      <c r="AG19" s="82"/>
      <c r="AH19" s="80"/>
      <c r="AI19" s="69"/>
      <c r="AJ19" s="82"/>
      <c r="AK19" s="80"/>
      <c r="AL19" s="87"/>
      <c r="AM19" s="87"/>
    </row>
    <row r="20" spans="1:39" ht="15.5" thickTop="1" thickBot="1" x14ac:dyDescent="0.4">
      <c r="A20" s="87"/>
      <c r="B20" s="1"/>
      <c r="C20" s="1" t="str">
        <f>_xlfn.XLOOKUP(B20,ppv[VisualId],ppv[DpmBucket],"")</f>
        <v/>
      </c>
      <c r="D20" s="1"/>
      <c r="E20" s="1"/>
      <c r="F20" s="87"/>
      <c r="G20" s="87"/>
      <c r="H20" s="87"/>
      <c r="I20" s="87"/>
      <c r="J20" s="63" t="s">
        <v>82</v>
      </c>
      <c r="L20" s="18">
        <v>5</v>
      </c>
      <c r="M20" s="68" t="s">
        <v>113</v>
      </c>
      <c r="N20" s="9">
        <f t="shared" si="4"/>
        <v>66</v>
      </c>
      <c r="O20" s="9">
        <f t="shared" si="4"/>
        <v>73</v>
      </c>
      <c r="P20" s="9">
        <f t="shared" si="4"/>
        <v>80</v>
      </c>
      <c r="Q20" s="9">
        <f t="shared" si="4"/>
        <v>87</v>
      </c>
      <c r="R20" s="9">
        <f t="shared" si="4"/>
        <v>94</v>
      </c>
      <c r="S20" s="9">
        <f t="shared" si="4"/>
        <v>101</v>
      </c>
      <c r="T20" s="9">
        <f t="shared" si="4"/>
        <v>108</v>
      </c>
      <c r="U20" s="9">
        <f>T20+7</f>
        <v>115</v>
      </c>
      <c r="V20" s="90" t="s">
        <v>111</v>
      </c>
      <c r="X20" s="80"/>
      <c r="Y20" s="75"/>
      <c r="Z20" s="85"/>
      <c r="AA20" s="77"/>
      <c r="AB20" s="75"/>
      <c r="AC20" s="82"/>
      <c r="AD20" s="80"/>
      <c r="AE20" s="89"/>
      <c r="AF20" s="69"/>
      <c r="AG20" s="82"/>
      <c r="AH20" s="80"/>
      <c r="AI20" s="69"/>
      <c r="AJ20" s="82"/>
      <c r="AK20" s="80"/>
      <c r="AL20" s="87"/>
      <c r="AM20" s="87"/>
    </row>
    <row r="21" spans="1:39" ht="15.5" thickTop="1" thickBot="1" x14ac:dyDescent="0.4">
      <c r="A21" s="87"/>
      <c r="B21" s="1"/>
      <c r="C21" s="1" t="str">
        <f>_xlfn.XLOOKUP(B21,ppv[VisualId],ppv[DpmBucket],"")</f>
        <v/>
      </c>
      <c r="D21" s="1"/>
      <c r="E21" s="1"/>
      <c r="F21" s="87"/>
      <c r="G21" s="87"/>
      <c r="H21" s="87"/>
      <c r="I21" s="87"/>
      <c r="J21" s="40" t="s">
        <v>83</v>
      </c>
      <c r="L21" s="18">
        <v>6</v>
      </c>
      <c r="M21" s="68" t="s">
        <v>114</v>
      </c>
      <c r="N21" s="9">
        <f t="shared" si="4"/>
        <v>67</v>
      </c>
      <c r="O21" s="9">
        <f t="shared" si="4"/>
        <v>74</v>
      </c>
      <c r="P21" s="9">
        <f t="shared" si="4"/>
        <v>81</v>
      </c>
      <c r="Q21" s="9">
        <f t="shared" si="4"/>
        <v>88</v>
      </c>
      <c r="R21" s="9">
        <f t="shared" si="4"/>
        <v>95</v>
      </c>
      <c r="S21" s="9">
        <f t="shared" si="4"/>
        <v>102</v>
      </c>
      <c r="T21" s="9">
        <f t="shared" si="4"/>
        <v>109</v>
      </c>
      <c r="U21" s="9">
        <f>T21+7</f>
        <v>116</v>
      </c>
      <c r="V21" s="90" t="s">
        <v>112</v>
      </c>
      <c r="X21" s="80"/>
      <c r="Y21" s="75"/>
      <c r="Z21" s="85"/>
      <c r="AA21" s="77"/>
      <c r="AB21" s="75"/>
      <c r="AC21" s="82"/>
      <c r="AD21" s="80"/>
      <c r="AE21" s="89"/>
      <c r="AF21" s="69"/>
      <c r="AG21" s="82"/>
      <c r="AH21" s="80"/>
      <c r="AI21" s="69"/>
      <c r="AJ21" s="82"/>
      <c r="AK21" s="80"/>
      <c r="AL21" s="87"/>
      <c r="AM21" s="87"/>
    </row>
    <row r="22" spans="1:39" ht="15" thickBot="1" x14ac:dyDescent="0.4">
      <c r="A22" s="87"/>
      <c r="B22" s="1"/>
      <c r="C22" s="1" t="str">
        <f>_xlfn.XLOOKUP(B22,ppv[VisualId],ppv[DpmBucket],"")</f>
        <v/>
      </c>
      <c r="D22" s="1"/>
      <c r="E22" s="1"/>
      <c r="F22" s="87"/>
      <c r="G22" s="87"/>
      <c r="H22" s="87"/>
      <c r="I22" s="87"/>
      <c r="J22" s="67" t="s">
        <v>106</v>
      </c>
      <c r="L22" s="18">
        <v>7</v>
      </c>
      <c r="M22" s="15" t="s">
        <v>33</v>
      </c>
      <c r="N22" s="9">
        <f t="shared" si="4"/>
        <v>68</v>
      </c>
      <c r="O22" s="9">
        <f t="shared" si="4"/>
        <v>75</v>
      </c>
      <c r="P22" s="9">
        <f t="shared" si="4"/>
        <v>82</v>
      </c>
      <c r="Q22" s="9">
        <f t="shared" si="4"/>
        <v>89</v>
      </c>
      <c r="R22" s="9">
        <f t="shared" si="4"/>
        <v>96</v>
      </c>
      <c r="S22" s="9">
        <f t="shared" si="4"/>
        <v>103</v>
      </c>
      <c r="T22" s="9">
        <f t="shared" si="4"/>
        <v>110</v>
      </c>
      <c r="U22" s="9">
        <f>T22+7</f>
        <v>117</v>
      </c>
      <c r="V22" s="11" t="s">
        <v>33</v>
      </c>
      <c r="X22" s="80"/>
      <c r="Y22" s="75"/>
      <c r="Z22" s="85"/>
      <c r="AA22" s="77"/>
      <c r="AB22" s="75"/>
      <c r="AC22" s="82"/>
      <c r="AD22" s="80"/>
      <c r="AE22" s="89"/>
      <c r="AF22" s="69"/>
      <c r="AG22" s="82"/>
      <c r="AH22" s="80"/>
      <c r="AI22" s="69"/>
      <c r="AJ22" s="82"/>
      <c r="AK22" s="80"/>
      <c r="AL22" s="87"/>
      <c r="AM22" s="87"/>
    </row>
    <row r="23" spans="1:39" ht="15" thickBot="1" x14ac:dyDescent="0.4">
      <c r="A23" s="87"/>
      <c r="B23" s="1"/>
      <c r="C23" s="1" t="str">
        <f>_xlfn.XLOOKUP(B23,ppv[VisualId],ppv[DpmBucket],"")</f>
        <v/>
      </c>
      <c r="D23" s="1"/>
      <c r="E23" s="1"/>
      <c r="F23" s="87"/>
      <c r="G23" s="87"/>
      <c r="H23" s="87"/>
      <c r="I23" s="87"/>
      <c r="J23" s="87"/>
      <c r="L23" s="19">
        <v>8</v>
      </c>
      <c r="M23" s="17" t="s">
        <v>28</v>
      </c>
      <c r="N23" s="13" t="s">
        <v>28</v>
      </c>
      <c r="O23" s="13" t="s">
        <v>28</v>
      </c>
      <c r="P23" s="13" t="s">
        <v>28</v>
      </c>
      <c r="Q23" s="13" t="s">
        <v>28</v>
      </c>
      <c r="R23" s="13" t="s">
        <v>28</v>
      </c>
      <c r="S23" s="13" t="s">
        <v>28</v>
      </c>
      <c r="T23" s="13" t="s">
        <v>28</v>
      </c>
      <c r="U23" s="13" t="s">
        <v>28</v>
      </c>
      <c r="V23" s="14" t="s">
        <v>28</v>
      </c>
      <c r="X23" s="80"/>
      <c r="Y23" s="75"/>
      <c r="Z23" s="85"/>
      <c r="AA23" s="77"/>
      <c r="AB23" s="75"/>
      <c r="AC23" s="82"/>
      <c r="AD23" s="80"/>
      <c r="AE23" s="89"/>
      <c r="AF23" s="69"/>
      <c r="AG23" s="82"/>
      <c r="AH23" s="80"/>
      <c r="AI23" s="69"/>
      <c r="AJ23" s="82"/>
      <c r="AK23" s="80"/>
      <c r="AL23" s="87"/>
      <c r="AM23" s="87"/>
    </row>
    <row r="24" spans="1:39" ht="15" thickBot="1" x14ac:dyDescent="0.4">
      <c r="A24" s="87"/>
      <c r="B24" s="1"/>
      <c r="C24" s="1" t="str">
        <f>_xlfn.XLOOKUP(B24,ppv[VisualId],ppv[DpmBucket],"")</f>
        <v/>
      </c>
      <c r="D24" s="1"/>
      <c r="E24" s="1"/>
      <c r="F24" s="87"/>
      <c r="G24" s="87"/>
      <c r="H24" s="87"/>
      <c r="I24" s="87"/>
      <c r="J24" s="87"/>
      <c r="X24" s="80"/>
      <c r="Y24" s="75"/>
      <c r="Z24" s="85"/>
      <c r="AA24" s="77"/>
      <c r="AB24" s="75"/>
      <c r="AC24" s="82"/>
      <c r="AD24" s="80"/>
      <c r="AE24" s="89"/>
      <c r="AF24" s="69"/>
      <c r="AG24" s="82"/>
      <c r="AH24" s="80"/>
      <c r="AI24" s="69"/>
      <c r="AJ24" s="82"/>
      <c r="AK24" s="80"/>
      <c r="AL24" s="87"/>
      <c r="AM24" s="87"/>
    </row>
    <row r="25" spans="1:39" ht="15" thickBot="1" x14ac:dyDescent="0.4">
      <c r="A25" s="87"/>
      <c r="B25" s="1"/>
      <c r="C25" s="1" t="str">
        <f>_xlfn.XLOOKUP(B25,ppv[VisualId],ppv[DpmBucket],"")</f>
        <v/>
      </c>
      <c r="D25" s="1"/>
      <c r="E25" s="1"/>
      <c r="F25" s="87"/>
      <c r="G25" s="87"/>
      <c r="H25" s="87"/>
      <c r="I25" s="87"/>
      <c r="J25" s="87"/>
      <c r="K25" s="27" t="s">
        <v>134</v>
      </c>
      <c r="L25" s="9" t="s">
        <v>27</v>
      </c>
      <c r="M25" s="91">
        <v>0</v>
      </c>
      <c r="N25" s="25">
        <v>1</v>
      </c>
      <c r="O25" s="25">
        <v>2</v>
      </c>
      <c r="P25" s="25">
        <v>3</v>
      </c>
      <c r="Q25" s="25">
        <v>4</v>
      </c>
      <c r="R25" s="25">
        <v>5</v>
      </c>
      <c r="S25" s="25">
        <v>6</v>
      </c>
      <c r="T25" s="25">
        <v>7</v>
      </c>
      <c r="U25" s="25">
        <v>8</v>
      </c>
      <c r="V25" s="26">
        <v>9</v>
      </c>
      <c r="X25" s="80"/>
      <c r="Y25" s="75"/>
      <c r="Z25" s="85"/>
      <c r="AA25" s="77"/>
      <c r="AB25" s="75"/>
      <c r="AC25" s="82"/>
      <c r="AD25" s="80"/>
      <c r="AE25" s="89"/>
      <c r="AF25" s="69"/>
      <c r="AG25" s="82"/>
      <c r="AH25" s="80"/>
      <c r="AI25" s="69"/>
      <c r="AJ25" s="82"/>
      <c r="AK25" s="80"/>
      <c r="AL25" s="87"/>
      <c r="AM25" s="87"/>
    </row>
    <row r="26" spans="1:39" ht="15" thickBot="1" x14ac:dyDescent="0.4">
      <c r="A26" s="87"/>
      <c r="B26" s="1"/>
      <c r="C26" s="1" t="str">
        <f>_xlfn.XLOOKUP(B26,ppv[VisualId],ppv[DpmBucket],"")</f>
        <v/>
      </c>
      <c r="D26" s="1"/>
      <c r="E26" s="1"/>
      <c r="F26" s="87"/>
      <c r="G26" s="87"/>
      <c r="H26" s="87"/>
      <c r="I26" s="87"/>
      <c r="J26" s="87"/>
      <c r="K26" s="29">
        <v>2</v>
      </c>
      <c r="L26" s="20">
        <v>0</v>
      </c>
      <c r="M26" s="92" t="s">
        <v>28</v>
      </c>
      <c r="N26" s="22" t="s">
        <v>28</v>
      </c>
      <c r="O26" s="22" t="s">
        <v>28</v>
      </c>
      <c r="P26" s="22" t="s">
        <v>28</v>
      </c>
      <c r="Q26" s="22" t="s">
        <v>28</v>
      </c>
      <c r="R26" s="22" t="s">
        <v>28</v>
      </c>
      <c r="S26" s="22" t="s">
        <v>28</v>
      </c>
      <c r="T26" s="22" t="s">
        <v>28</v>
      </c>
      <c r="U26" s="22" t="s">
        <v>28</v>
      </c>
      <c r="V26" s="23" t="s">
        <v>28</v>
      </c>
      <c r="X26" s="80"/>
      <c r="Y26" s="75"/>
      <c r="Z26" s="85"/>
      <c r="AA26" s="77"/>
      <c r="AB26" s="75"/>
      <c r="AC26" s="82"/>
      <c r="AD26" s="80"/>
      <c r="AE26" s="89"/>
      <c r="AF26" s="69"/>
      <c r="AG26" s="82"/>
      <c r="AH26" s="80"/>
      <c r="AI26" s="69"/>
      <c r="AJ26" s="82"/>
      <c r="AK26" s="80"/>
      <c r="AL26" s="87"/>
      <c r="AM26" s="87"/>
    </row>
    <row r="27" spans="1:39" ht="15" thickBot="1" x14ac:dyDescent="0.4">
      <c r="A27" s="87"/>
      <c r="B27" s="1"/>
      <c r="C27" s="1" t="str">
        <f>_xlfn.XLOOKUP(B27,ppv[VisualId],ppv[DpmBucket],"")</f>
        <v/>
      </c>
      <c r="D27" s="1"/>
      <c r="E27" s="1"/>
      <c r="F27" s="87"/>
      <c r="G27" s="87"/>
      <c r="H27" s="87"/>
      <c r="I27" s="87"/>
      <c r="J27" s="87"/>
      <c r="K27" s="87"/>
      <c r="L27" s="18">
        <v>1</v>
      </c>
      <c r="M27" s="9">
        <f t="shared" ref="M27:V27" si="5">M16+60</f>
        <v>120</v>
      </c>
      <c r="N27" s="9">
        <f t="shared" si="5"/>
        <v>122</v>
      </c>
      <c r="O27" s="9">
        <f t="shared" si="5"/>
        <v>129</v>
      </c>
      <c r="P27" s="9">
        <f t="shared" si="5"/>
        <v>136</v>
      </c>
      <c r="Q27" s="9">
        <f t="shared" si="5"/>
        <v>143</v>
      </c>
      <c r="R27" s="9">
        <f t="shared" si="5"/>
        <v>150</v>
      </c>
      <c r="S27" s="9">
        <f t="shared" si="5"/>
        <v>157</v>
      </c>
      <c r="T27" s="9">
        <f t="shared" si="5"/>
        <v>164</v>
      </c>
      <c r="U27" s="9">
        <f t="shared" si="5"/>
        <v>171</v>
      </c>
      <c r="V27" s="9">
        <f t="shared" si="5"/>
        <v>178</v>
      </c>
      <c r="X27" s="80"/>
      <c r="Y27" s="75"/>
      <c r="Z27" s="85"/>
      <c r="AA27" s="77"/>
      <c r="AB27" s="75"/>
      <c r="AC27" s="82"/>
      <c r="AD27" s="80"/>
      <c r="AE27" s="89"/>
      <c r="AF27" s="69"/>
      <c r="AG27" s="82"/>
      <c r="AH27" s="80"/>
      <c r="AI27" s="69"/>
      <c r="AJ27" s="82"/>
      <c r="AK27" s="80"/>
      <c r="AL27" s="87"/>
      <c r="AM27" s="87"/>
    </row>
    <row r="28" spans="1:39" ht="15" thickBot="1" x14ac:dyDescent="0.4">
      <c r="A28" s="87"/>
      <c r="B28" s="1"/>
      <c r="C28" s="1" t="str">
        <f>_xlfn.XLOOKUP(B28,ppv[VisualId],ppv[DpmBucket],"")</f>
        <v/>
      </c>
      <c r="D28" s="1"/>
      <c r="E28" s="1"/>
      <c r="F28" s="87"/>
      <c r="G28" s="87"/>
      <c r="H28" s="87"/>
      <c r="I28" s="87"/>
      <c r="J28" s="87"/>
      <c r="K28" s="87"/>
      <c r="L28" s="18">
        <v>2</v>
      </c>
      <c r="M28" s="9">
        <f t="shared" ref="M28:V28" si="6">M17+60</f>
        <v>121</v>
      </c>
      <c r="N28" s="9">
        <f t="shared" si="6"/>
        <v>123</v>
      </c>
      <c r="O28" s="9">
        <f t="shared" si="6"/>
        <v>130</v>
      </c>
      <c r="P28" s="9">
        <f t="shared" si="6"/>
        <v>137</v>
      </c>
      <c r="Q28" s="9">
        <f t="shared" si="6"/>
        <v>144</v>
      </c>
      <c r="R28" s="9">
        <f t="shared" si="6"/>
        <v>151</v>
      </c>
      <c r="S28" s="9">
        <f t="shared" si="6"/>
        <v>158</v>
      </c>
      <c r="T28" s="9">
        <f t="shared" si="6"/>
        <v>165</v>
      </c>
      <c r="U28" s="9">
        <f t="shared" si="6"/>
        <v>172</v>
      </c>
      <c r="V28" s="9">
        <f t="shared" si="6"/>
        <v>179</v>
      </c>
      <c r="X28" s="80"/>
      <c r="Y28" s="75"/>
      <c r="Z28" s="85"/>
      <c r="AA28" s="77"/>
      <c r="AB28" s="75"/>
      <c r="AC28" s="82"/>
      <c r="AD28" s="80"/>
      <c r="AE28" s="89"/>
      <c r="AF28" s="69"/>
      <c r="AG28" s="82"/>
      <c r="AH28" s="80"/>
      <c r="AI28" s="69"/>
      <c r="AJ28" s="82"/>
      <c r="AK28" s="80"/>
      <c r="AL28" s="87"/>
      <c r="AM28" s="87"/>
    </row>
    <row r="29" spans="1:39" ht="15" thickBot="1" x14ac:dyDescent="0.4">
      <c r="A29" s="87"/>
      <c r="B29" s="1"/>
      <c r="C29" s="1" t="str">
        <f>_xlfn.XLOOKUP(B29,ppv[VisualId],ppv[DpmBucket],"")</f>
        <v/>
      </c>
      <c r="D29" s="1"/>
      <c r="E29" s="1"/>
      <c r="F29" s="87"/>
      <c r="G29" s="87"/>
      <c r="H29" s="87"/>
      <c r="I29" s="87"/>
      <c r="J29" s="60" t="s">
        <v>80</v>
      </c>
      <c r="K29" s="87"/>
      <c r="L29" s="18">
        <v>3</v>
      </c>
      <c r="M29" s="33" t="s">
        <v>29</v>
      </c>
      <c r="N29" s="6">
        <f t="shared" ref="N29:U33" si="7">N18+60</f>
        <v>124</v>
      </c>
      <c r="O29" s="6">
        <f t="shared" si="7"/>
        <v>131</v>
      </c>
      <c r="P29" s="6">
        <f t="shared" si="7"/>
        <v>138</v>
      </c>
      <c r="Q29" s="6">
        <f t="shared" si="7"/>
        <v>145</v>
      </c>
      <c r="R29" s="6">
        <f t="shared" si="7"/>
        <v>152</v>
      </c>
      <c r="S29" s="6">
        <f t="shared" si="7"/>
        <v>159</v>
      </c>
      <c r="T29" s="6">
        <f t="shared" si="7"/>
        <v>166</v>
      </c>
      <c r="U29" s="6">
        <f t="shared" si="7"/>
        <v>173</v>
      </c>
      <c r="V29" s="12" t="s">
        <v>30</v>
      </c>
      <c r="X29" s="80"/>
      <c r="Y29" s="75"/>
      <c r="Z29" s="85"/>
      <c r="AA29" s="77"/>
      <c r="AB29" s="75"/>
      <c r="AC29" s="82"/>
      <c r="AD29" s="80"/>
      <c r="AE29" s="89"/>
      <c r="AF29" s="69"/>
      <c r="AG29" s="82"/>
      <c r="AH29" s="80"/>
      <c r="AI29" s="69"/>
      <c r="AJ29" s="82"/>
      <c r="AK29" s="80"/>
      <c r="AL29" s="87"/>
      <c r="AM29" s="87"/>
    </row>
    <row r="30" spans="1:39" ht="15" thickBot="1" x14ac:dyDescent="0.4">
      <c r="A30" s="87"/>
      <c r="B30" s="1"/>
      <c r="C30" s="1" t="str">
        <f>_xlfn.XLOOKUP(B30,ppv[VisualId],ppv[DpmBucket],"")</f>
        <v/>
      </c>
      <c r="D30" s="1"/>
      <c r="E30" s="1"/>
      <c r="F30" s="87"/>
      <c r="G30" s="87"/>
      <c r="H30" s="87"/>
      <c r="I30" s="87"/>
      <c r="J30" s="39" t="s">
        <v>81</v>
      </c>
      <c r="K30" s="87"/>
      <c r="L30" s="18">
        <v>4</v>
      </c>
      <c r="M30" s="33" t="s">
        <v>31</v>
      </c>
      <c r="N30" s="6">
        <f t="shared" si="7"/>
        <v>125</v>
      </c>
      <c r="O30" s="6">
        <f t="shared" si="7"/>
        <v>132</v>
      </c>
      <c r="P30" s="6">
        <f t="shared" si="7"/>
        <v>139</v>
      </c>
      <c r="Q30" s="6">
        <f t="shared" si="7"/>
        <v>146</v>
      </c>
      <c r="R30" s="6">
        <f t="shared" si="7"/>
        <v>153</v>
      </c>
      <c r="S30" s="6">
        <f t="shared" si="7"/>
        <v>160</v>
      </c>
      <c r="T30" s="6">
        <f t="shared" si="7"/>
        <v>167</v>
      </c>
      <c r="U30" s="6">
        <f t="shared" si="7"/>
        <v>174</v>
      </c>
      <c r="V30" s="12" t="s">
        <v>32</v>
      </c>
      <c r="X30" s="80"/>
      <c r="Y30" s="75"/>
      <c r="Z30" s="85"/>
      <c r="AA30" s="77"/>
      <c r="AB30" s="75"/>
      <c r="AC30" s="82"/>
      <c r="AD30" s="80"/>
      <c r="AE30" s="89"/>
      <c r="AF30" s="69"/>
      <c r="AG30" s="82"/>
      <c r="AH30" s="80"/>
      <c r="AI30" s="69"/>
      <c r="AJ30" s="82"/>
      <c r="AK30" s="80"/>
      <c r="AL30" s="87"/>
      <c r="AM30" s="87"/>
    </row>
    <row r="31" spans="1:39" ht="15.5" thickTop="1" thickBot="1" x14ac:dyDescent="0.4">
      <c r="A31" s="87"/>
      <c r="B31" s="1"/>
      <c r="C31" s="1" t="str">
        <f>_xlfn.XLOOKUP(B31,ppv[VisualId],ppv[DpmBucket],"")</f>
        <v/>
      </c>
      <c r="D31" s="1"/>
      <c r="E31" s="1"/>
      <c r="F31" s="87"/>
      <c r="G31" s="87"/>
      <c r="H31" s="87"/>
      <c r="I31" s="87"/>
      <c r="J31" s="63" t="s">
        <v>82</v>
      </c>
      <c r="K31" s="87"/>
      <c r="L31" s="18">
        <v>5</v>
      </c>
      <c r="M31" s="68" t="s">
        <v>115</v>
      </c>
      <c r="N31" s="9">
        <f t="shared" si="7"/>
        <v>126</v>
      </c>
      <c r="O31" s="9">
        <f t="shared" si="7"/>
        <v>133</v>
      </c>
      <c r="P31" s="9">
        <f t="shared" si="7"/>
        <v>140</v>
      </c>
      <c r="Q31" s="9">
        <f t="shared" si="7"/>
        <v>147</v>
      </c>
      <c r="R31" s="9">
        <f t="shared" si="7"/>
        <v>154</v>
      </c>
      <c r="S31" s="9">
        <f t="shared" si="7"/>
        <v>161</v>
      </c>
      <c r="T31" s="9">
        <f t="shared" si="7"/>
        <v>168</v>
      </c>
      <c r="U31" s="9">
        <f t="shared" si="7"/>
        <v>175</v>
      </c>
      <c r="V31" s="90" t="s">
        <v>117</v>
      </c>
      <c r="X31" s="80"/>
      <c r="Y31" s="75"/>
      <c r="Z31" s="85"/>
      <c r="AA31" s="77"/>
      <c r="AB31" s="75"/>
      <c r="AC31" s="82"/>
      <c r="AD31" s="80"/>
      <c r="AE31" s="89"/>
      <c r="AF31" s="69"/>
      <c r="AG31" s="82"/>
      <c r="AH31" s="80"/>
      <c r="AI31" s="69"/>
      <c r="AJ31" s="82"/>
      <c r="AK31" s="80"/>
      <c r="AL31" s="87"/>
      <c r="AM31" s="87"/>
    </row>
    <row r="32" spans="1:39" ht="15.5" thickTop="1" thickBot="1" x14ac:dyDescent="0.4">
      <c r="A32" s="87"/>
      <c r="B32" s="1"/>
      <c r="C32" s="1" t="str">
        <f>_xlfn.XLOOKUP(B32,ppv[VisualId],ppv[DpmBucket],"")</f>
        <v/>
      </c>
      <c r="D32" s="1"/>
      <c r="E32" s="1"/>
      <c r="F32" s="87"/>
      <c r="G32" s="87"/>
      <c r="H32" s="87"/>
      <c r="I32" s="87"/>
      <c r="J32" s="40" t="s">
        <v>83</v>
      </c>
      <c r="K32" s="87"/>
      <c r="L32" s="18">
        <v>6</v>
      </c>
      <c r="M32" s="68" t="s">
        <v>116</v>
      </c>
      <c r="N32" s="9">
        <f t="shared" si="7"/>
        <v>127</v>
      </c>
      <c r="O32" s="9">
        <f t="shared" si="7"/>
        <v>134</v>
      </c>
      <c r="P32" s="9">
        <f t="shared" si="7"/>
        <v>141</v>
      </c>
      <c r="Q32" s="9">
        <f t="shared" si="7"/>
        <v>148</v>
      </c>
      <c r="R32" s="9">
        <f t="shared" si="7"/>
        <v>155</v>
      </c>
      <c r="S32" s="9">
        <f t="shared" si="7"/>
        <v>162</v>
      </c>
      <c r="T32" s="9">
        <f t="shared" si="7"/>
        <v>169</v>
      </c>
      <c r="U32" s="9">
        <f t="shared" si="7"/>
        <v>176</v>
      </c>
      <c r="V32" s="90" t="s">
        <v>118</v>
      </c>
      <c r="X32" s="80"/>
      <c r="Y32" s="75"/>
      <c r="Z32" s="85"/>
      <c r="AA32" s="77"/>
      <c r="AB32" s="75"/>
      <c r="AC32" s="82"/>
      <c r="AD32" s="80"/>
      <c r="AE32" s="89"/>
      <c r="AF32" s="69"/>
      <c r="AG32" s="82"/>
      <c r="AH32" s="80"/>
      <c r="AI32" s="69"/>
      <c r="AJ32" s="82"/>
      <c r="AK32" s="80"/>
      <c r="AL32" s="87"/>
      <c r="AM32" s="87"/>
    </row>
    <row r="33" spans="1:39" ht="15" thickBot="1" x14ac:dyDescent="0.4">
      <c r="A33" s="87"/>
      <c r="B33" s="1"/>
      <c r="C33" s="1" t="str">
        <f>_xlfn.XLOOKUP(B33,ppv[VisualId],ppv[DpmBucket],"")</f>
        <v/>
      </c>
      <c r="D33" s="1"/>
      <c r="E33" s="1"/>
      <c r="F33" s="87"/>
      <c r="G33" s="87"/>
      <c r="H33" s="87"/>
      <c r="I33" s="87"/>
      <c r="J33" s="67" t="s">
        <v>106</v>
      </c>
      <c r="K33" s="87"/>
      <c r="L33" s="18">
        <v>7</v>
      </c>
      <c r="M33" s="34" t="s">
        <v>33</v>
      </c>
      <c r="N33" s="9">
        <f t="shared" si="7"/>
        <v>128</v>
      </c>
      <c r="O33" s="9">
        <f t="shared" si="7"/>
        <v>135</v>
      </c>
      <c r="P33" s="9">
        <f t="shared" si="7"/>
        <v>142</v>
      </c>
      <c r="Q33" s="9">
        <f t="shared" si="7"/>
        <v>149</v>
      </c>
      <c r="R33" s="9">
        <f t="shared" si="7"/>
        <v>156</v>
      </c>
      <c r="S33" s="9">
        <f t="shared" si="7"/>
        <v>163</v>
      </c>
      <c r="T33" s="9">
        <f t="shared" si="7"/>
        <v>170</v>
      </c>
      <c r="U33" s="9">
        <f t="shared" si="7"/>
        <v>177</v>
      </c>
      <c r="V33" s="11" t="s">
        <v>33</v>
      </c>
      <c r="X33" s="80"/>
      <c r="Y33" s="75"/>
      <c r="Z33" s="85"/>
      <c r="AA33" s="77"/>
      <c r="AB33" s="75"/>
      <c r="AC33" s="82"/>
      <c r="AD33" s="80"/>
      <c r="AE33" s="89"/>
      <c r="AF33" s="69"/>
      <c r="AG33" s="82"/>
      <c r="AH33" s="80"/>
      <c r="AI33" s="69"/>
      <c r="AJ33" s="82"/>
      <c r="AK33" s="80"/>
      <c r="AL33" s="87"/>
      <c r="AM33" s="87"/>
    </row>
    <row r="34" spans="1:39" ht="15" thickBot="1" x14ac:dyDescent="0.4">
      <c r="A34" s="87"/>
      <c r="B34" s="1"/>
      <c r="C34" s="1" t="str">
        <f>_xlfn.XLOOKUP(B34,ppv[VisualId],ppv[DpmBucket],"")</f>
        <v/>
      </c>
      <c r="D34" s="1"/>
      <c r="E34" s="1"/>
      <c r="F34" s="87"/>
      <c r="G34" s="87"/>
      <c r="H34" s="87"/>
      <c r="I34" s="87"/>
      <c r="J34" s="87"/>
      <c r="K34" s="87"/>
      <c r="L34" s="19">
        <v>8</v>
      </c>
      <c r="M34" s="35" t="s">
        <v>28</v>
      </c>
      <c r="N34" s="13" t="s">
        <v>28</v>
      </c>
      <c r="O34" s="13" t="s">
        <v>28</v>
      </c>
      <c r="P34" s="13" t="s">
        <v>28</v>
      </c>
      <c r="Q34" s="13" t="s">
        <v>28</v>
      </c>
      <c r="R34" s="13" t="s">
        <v>28</v>
      </c>
      <c r="S34" s="13" t="s">
        <v>28</v>
      </c>
      <c r="T34" s="13" t="s">
        <v>28</v>
      </c>
      <c r="U34" s="13" t="s">
        <v>28</v>
      </c>
      <c r="V34" s="14" t="s">
        <v>28</v>
      </c>
      <c r="X34" s="81"/>
      <c r="Y34" s="76"/>
      <c r="Z34" s="86"/>
      <c r="AA34" s="78"/>
      <c r="AB34" s="76"/>
      <c r="AC34" s="83"/>
      <c r="AD34" s="81"/>
      <c r="AE34" s="93"/>
      <c r="AF34" s="69"/>
      <c r="AG34" s="83"/>
      <c r="AH34" s="81"/>
      <c r="AI34" s="69"/>
      <c r="AJ34" s="83"/>
      <c r="AK34" s="81"/>
      <c r="AL34" s="87"/>
      <c r="AM34" s="87"/>
    </row>
    <row r="35" spans="1:39" x14ac:dyDescent="0.35">
      <c r="A35" s="87"/>
      <c r="B35" s="1"/>
      <c r="C35" s="1" t="str">
        <f>_xlfn.XLOOKUP(B35,ppv[VisualId],ppv[DpmBucket],"")</f>
        <v/>
      </c>
      <c r="D35" s="1"/>
      <c r="E35" s="1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</row>
    <row r="36" spans="1:39" x14ac:dyDescent="0.35">
      <c r="A36" s="87"/>
      <c r="B36" s="1"/>
      <c r="C36" s="1" t="str">
        <f>_xlfn.XLOOKUP(B36,ppv[VisualId],ppv[DpmBucket],"")</f>
        <v/>
      </c>
      <c r="D36" s="1"/>
      <c r="E36" s="1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</row>
    <row r="37" spans="1:39" x14ac:dyDescent="0.35">
      <c r="A37" s="87"/>
      <c r="B37" s="1"/>
      <c r="C37" s="1" t="str">
        <f>_xlfn.XLOOKUP(B37,ppv[VisualId],ppv[DpmBucket],"")</f>
        <v/>
      </c>
      <c r="D37" s="1"/>
      <c r="E37" s="1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</row>
    <row r="38" spans="1:39" x14ac:dyDescent="0.35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</row>
    <row r="39" spans="1:39" x14ac:dyDescent="0.35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</row>
    <row r="40" spans="1:39" x14ac:dyDescent="0.35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</row>
    <row r="41" spans="1:39" x14ac:dyDescent="0.35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</row>
    <row r="42" spans="1:39" x14ac:dyDescent="0.35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</row>
    <row r="43" spans="1:39" x14ac:dyDescent="0.35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</row>
    <row r="44" spans="1:39" x14ac:dyDescent="0.35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</row>
    <row r="45" spans="1:39" x14ac:dyDescent="0.3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</row>
    <row r="46" spans="1:39" x14ac:dyDescent="0.35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</row>
    <row r="47" spans="1:39" x14ac:dyDescent="0.35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</row>
    <row r="48" spans="1:39" x14ac:dyDescent="0.35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</row>
    <row r="49" spans="1:38" x14ac:dyDescent="0.35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</row>
    <row r="50" spans="1:38" x14ac:dyDescent="0.35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</row>
    <row r="51" spans="1:38" x14ac:dyDescent="0.35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</row>
    <row r="52" spans="1:38" x14ac:dyDescent="0.35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</row>
    <row r="53" spans="1:38" x14ac:dyDescent="0.35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</row>
    <row r="54" spans="1:38" x14ac:dyDescent="0.35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</row>
    <row r="55" spans="1:38" x14ac:dyDescent="0.3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</row>
    <row r="56" spans="1:38" x14ac:dyDescent="0.35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</row>
    <row r="57" spans="1:38" x14ac:dyDescent="0.35">
      <c r="A57" s="87"/>
    </row>
    <row r="58" spans="1:38" x14ac:dyDescent="0.35">
      <c r="A58" s="87"/>
    </row>
    <row r="59" spans="1:38" x14ac:dyDescent="0.35">
      <c r="A59" s="87"/>
    </row>
  </sheetData>
  <mergeCells count="10">
    <mergeCell ref="L1:AK1"/>
    <mergeCell ref="G6:H6"/>
    <mergeCell ref="G7:H7"/>
    <mergeCell ref="AJ3:AK3"/>
    <mergeCell ref="AG3:AH3"/>
    <mergeCell ref="AC3:AE3"/>
    <mergeCell ref="Z3:AA3"/>
    <mergeCell ref="X2:AA2"/>
    <mergeCell ref="AB2:AC2"/>
    <mergeCell ref="AD2:AF2"/>
  </mergeCells>
  <conditionalFormatting sqref="X5:X10">
    <cfRule type="cellIs" dxfId="1" priority="2" operator="notEqual">
      <formula>""""""</formula>
    </cfRule>
  </conditionalFormatting>
  <conditionalFormatting sqref="X12:X16">
    <cfRule type="cellIs" dxfId="0" priority="1" operator="notEqual">
      <formula>""""""</formula>
    </cfRule>
  </conditionalFormatting>
  <dataValidations count="1">
    <dataValidation type="list" allowBlank="1" showInputMessage="1" showErrorMessage="1" sqref="H2" xr:uid="{877ABC85-D409-4FA4-BB82-4F6E1D70FD00}">
      <formula1>$B$3:$B$27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83788520-2644-4133-9C5A-603BAA4F362D}">
            <xm:f>_xlfn.XLOOKUP(M9,ErrorData!$AC$3:$AC$15,ErrorData!$AD$3:$AD$15)=TRUE</xm:f>
            <x14:dxf>
              <fill>
                <patternFill>
                  <bgColor rgb="FFFFFF00"/>
                </patternFill>
              </fill>
            </x14:dxf>
          </x14:cfRule>
          <xm:sqref>M9:M10</xm:sqref>
        </x14:conditionalFormatting>
        <x14:conditionalFormatting xmlns:xm="http://schemas.microsoft.com/office/excel/2006/main">
          <x14:cfRule type="expression" priority="7" id="{22F36BBA-DCCF-4295-9613-81112E96FB51}">
            <xm:f>_xlfn.XLOOKUP(M20,ErrorData!$AC$3:$AC$15,ErrorData!$AD$3:$AD$15)=TRUE</xm:f>
            <x14:dxf>
              <fill>
                <patternFill>
                  <bgColor rgb="FFFFFF00"/>
                </patternFill>
              </fill>
            </x14:dxf>
          </x14:cfRule>
          <xm:sqref>M20:M21</xm:sqref>
        </x14:conditionalFormatting>
        <x14:conditionalFormatting xmlns:xm="http://schemas.microsoft.com/office/excel/2006/main">
          <x14:cfRule type="expression" priority="5" id="{E4029109-98E9-4304-B67E-15D169828C2F}">
            <xm:f>_xlfn.XLOOKUP(M31,ErrorData!$AC$3:$AC$15,ErrorData!$AD$3:$AD$15)=TRUE</xm:f>
            <x14:dxf>
              <fill>
                <patternFill>
                  <bgColor rgb="FFFFFF00"/>
                </patternFill>
              </fill>
            </x14:dxf>
          </x14:cfRule>
          <xm:sqref>M31:M32</xm:sqref>
        </x14:conditionalFormatting>
        <x14:conditionalFormatting xmlns:xm="http://schemas.microsoft.com/office/excel/2006/main">
          <x14:cfRule type="expression" priority="14" id="{2A5785ED-9B65-4DDB-A428-64C99F233850}">
            <xm:f>_xlfn.XLOOKUP(M5,ErrorData!$G$1:$G$186,ErrorData!$I$1:$I$186)=TRUE</xm:f>
            <x14:dxf>
              <font>
                <b/>
                <i/>
                <strike val="0"/>
                <color rgb="FFFFC000"/>
              </font>
            </x14:dxf>
          </x14:cfRule>
          <x14:cfRule type="expression" priority="39" id="{00000000-000E-0000-0300-00000B000000}">
            <xm:f>_xlfn.XLOOKUP(M5,ErrorData!$G$1:$G$186,ErrorData!$H$1:$H$186)=TRUE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14:cfRule type="expression" priority="40" id="{00000000-000E-0000-0300-000018000000}">
            <xm:f>_xlfn.XLOOKUP(M5,ErrorData!$G$1:$G$186,ErrorData!$J$1:$J$186)=TRUE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M5:V6 N9:U11 M16:V17 N20:U22 M27:V28 N31:U33</xm:sqref>
        </x14:conditionalFormatting>
        <x14:conditionalFormatting xmlns:xm="http://schemas.microsoft.com/office/excel/2006/main">
          <x14:cfRule type="expression" priority="11" id="{7101196F-617A-43D5-9002-A5A1770A80D0}">
            <xm:f>_xlfn.XLOOKUP(V9,ErrorData!$AC$3:$AC$15,ErrorData!$AD$3:$AD$15)=TRUE</xm:f>
            <x14:dxf>
              <fill>
                <patternFill>
                  <bgColor rgb="FFFFFF00"/>
                </patternFill>
              </fill>
            </x14:dxf>
          </x14:cfRule>
          <xm:sqref>V9:V10</xm:sqref>
        </x14:conditionalFormatting>
        <x14:conditionalFormatting xmlns:xm="http://schemas.microsoft.com/office/excel/2006/main">
          <x14:cfRule type="expression" priority="9" id="{1F22E284-A854-486E-826C-F51CCCC53540}">
            <xm:f>_xlfn.XLOOKUP(V20,ErrorData!$AC$3:$AC$15,ErrorData!$AD$3:$AD$15)=TRUE</xm:f>
            <x14:dxf>
              <fill>
                <patternFill>
                  <bgColor rgb="FFFFFF00"/>
                </patternFill>
              </fill>
            </x14:dxf>
          </x14:cfRule>
          <xm:sqref>V20:V21</xm:sqref>
        </x14:conditionalFormatting>
        <x14:conditionalFormatting xmlns:xm="http://schemas.microsoft.com/office/excel/2006/main">
          <x14:cfRule type="expression" priority="3" id="{61B00B70-0096-4645-A59A-A50F7298F645}">
            <xm:f>_xlfn.XLOOKUP(V31,ErrorData!$AC$3:$AC$15,ErrorData!$AD$3:$AD$15)=TRUE</xm:f>
            <x14:dxf>
              <fill>
                <patternFill>
                  <bgColor rgb="FFFFFF00"/>
                </patternFill>
              </fill>
            </x14:dxf>
          </x14:cfRule>
          <xm:sqref>V31:V32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6C41764-2A11-4836-9359-58EBFBEBEAB9}">
          <x14:formula1>
            <xm:f>ErrorData!$D$3:$D$4</xm:f>
          </x14:formula1>
          <xm:sqref>AB2:AC2</xm:sqref>
        </x14:dataValidation>
        <x14:dataValidation type="list" allowBlank="1" showInputMessage="1" showErrorMessage="1" xr:uid="{3544B18A-8CCB-49A3-BFE4-1623780809C8}">
          <x14:formula1>
            <xm:f>_xlfn._TRO_TRAILING(ErrorData!$D$8:$D$12)</xm:f>
          </x14:formula1>
          <xm:sqref>AG2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EF356-01A3-45DB-BFFF-83FE6984CD58}">
  <dimension ref="A1:AP182"/>
  <sheetViews>
    <sheetView topLeftCell="AF1" workbookViewId="0">
      <selection activeCell="AK4" sqref="AK4"/>
    </sheetView>
  </sheetViews>
  <sheetFormatPr defaultRowHeight="14.5" outlineLevelCol="1" x14ac:dyDescent="0.35"/>
  <cols>
    <col min="1" max="2" width="76.36328125" customWidth="1" outlineLevel="1"/>
    <col min="3" max="3" width="65.81640625" customWidth="1" outlineLevel="1"/>
    <col min="4" max="4" width="10.90625" customWidth="1"/>
    <col min="11" max="11" width="70.81640625" bestFit="1" customWidth="1"/>
    <col min="12" max="12" width="19.54296875" bestFit="1" customWidth="1"/>
    <col min="13" max="13" width="72.6328125" bestFit="1" customWidth="1"/>
    <col min="14" max="14" width="19.54296875" customWidth="1"/>
    <col min="15" max="15" width="73.36328125" bestFit="1" customWidth="1"/>
    <col min="16" max="16" width="19.54296875" customWidth="1"/>
    <col min="17" max="17" width="71.81640625" bestFit="1" customWidth="1"/>
    <col min="18" max="18" width="19.54296875" customWidth="1"/>
    <col min="19" max="19" width="61.90625" bestFit="1" customWidth="1"/>
    <col min="20" max="20" width="18.1796875" bestFit="1" customWidth="1"/>
    <col min="21" max="21" width="20" bestFit="1" customWidth="1"/>
    <col min="22" max="22" width="11.08984375" bestFit="1" customWidth="1"/>
    <col min="23" max="23" width="77.453125" bestFit="1" customWidth="1"/>
    <col min="24" max="24" width="19" bestFit="1" customWidth="1"/>
    <col min="27" max="27" width="11.36328125" bestFit="1" customWidth="1"/>
    <col min="28" max="28" width="10.1796875" bestFit="1" customWidth="1"/>
    <col min="29" max="29" width="8.36328125" bestFit="1" customWidth="1"/>
    <col min="30" max="30" width="6" bestFit="1" customWidth="1"/>
    <col min="31" max="31" width="59" bestFit="1" customWidth="1"/>
    <col min="32" max="32" width="22.08984375" bestFit="1" customWidth="1"/>
    <col min="37" max="37" width="78.54296875" bestFit="1" customWidth="1"/>
    <col min="38" max="38" width="10.08984375" customWidth="1"/>
    <col min="40" max="40" width="7.08984375" bestFit="1" customWidth="1"/>
    <col min="41" max="41" width="78.54296875" bestFit="1" customWidth="1"/>
    <col min="42" max="42" width="10.453125" bestFit="1" customWidth="1"/>
  </cols>
  <sheetData>
    <row r="1" spans="1:42" ht="79.75" customHeight="1" thickBot="1" x14ac:dyDescent="0.4">
      <c r="A1" s="107" t="s">
        <v>75</v>
      </c>
      <c r="B1" s="108"/>
      <c r="C1" s="109"/>
      <c r="F1" t="s">
        <v>135</v>
      </c>
      <c r="G1" t="str">
        <f>IF(MC_Check!AB2="DPMB","__",".")</f>
        <v>__</v>
      </c>
      <c r="AJ1" t="s">
        <v>119</v>
      </c>
      <c r="AN1" t="s">
        <v>120</v>
      </c>
    </row>
    <row r="2" spans="1:42" x14ac:dyDescent="0.35">
      <c r="A2" t="s">
        <v>21</v>
      </c>
      <c r="B2" t="s">
        <v>67</v>
      </c>
      <c r="C2" t="s">
        <v>22</v>
      </c>
      <c r="D2" t="s">
        <v>138</v>
      </c>
      <c r="F2" t="s">
        <v>23</v>
      </c>
      <c r="G2" t="s">
        <v>24</v>
      </c>
      <c r="H2" t="s">
        <v>25</v>
      </c>
      <c r="I2" t="s">
        <v>26</v>
      </c>
      <c r="J2" t="s">
        <v>68</v>
      </c>
      <c r="K2" t="s">
        <v>69</v>
      </c>
      <c r="L2" t="s">
        <v>70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99</v>
      </c>
      <c r="S2" t="s">
        <v>71</v>
      </c>
      <c r="T2" t="s">
        <v>100</v>
      </c>
      <c r="U2" t="s">
        <v>72</v>
      </c>
      <c r="V2" t="s">
        <v>101</v>
      </c>
      <c r="W2" t="s">
        <v>73</v>
      </c>
      <c r="X2" t="s">
        <v>74</v>
      </c>
      <c r="AA2" s="64" t="s">
        <v>23</v>
      </c>
      <c r="AB2" s="64" t="s">
        <v>24</v>
      </c>
      <c r="AC2" s="64" t="s">
        <v>102</v>
      </c>
      <c r="AD2" s="64" t="s">
        <v>103</v>
      </c>
      <c r="AE2" s="64" t="s">
        <v>104</v>
      </c>
      <c r="AF2" s="64" t="s">
        <v>105</v>
      </c>
      <c r="AJ2" t="s">
        <v>121</v>
      </c>
      <c r="AK2" t="s">
        <v>122</v>
      </c>
      <c r="AL2" t="s">
        <v>123</v>
      </c>
      <c r="AN2" t="s">
        <v>121</v>
      </c>
      <c r="AO2" t="s">
        <v>122</v>
      </c>
      <c r="AP2" t="s">
        <v>123</v>
      </c>
    </row>
    <row r="3" spans="1:42" x14ac:dyDescent="0.35">
      <c r="A3" t="str" cm="1">
        <f t="array" ref="A3">IFERROR(SUBSTITUTE(_xlfn._xlws.FILTER(_xlfn.UNIQUE(cha_mc[VisualId]&amp;cha_mc[TestName]),ISNUMBER(SEARCH(MC_Check!H2 &amp; "*LLC*__MCI_STATUS*", _xlfn.UNIQUE(cha_mc[VisualId]&amp;cha_mc[TestName])))),MC_Check!H2,""),"No LLC Data Found")</f>
        <v>No LLC Data Found</v>
      </c>
      <c r="B3" t="str" cm="1">
        <f t="array" ref="B3">IFERROR(SUBSTITUTE(_xlfn._xlws.FILTER(_xlfn.UNIQUE(cha_mc[VisualId]&amp;cha_mc[TestName]),ISNUMBER(SEARCH(MC_Check!H2 &amp; "*CHA*UTIL__MC_STATUS*", _xlfn.UNIQUE(cha_mc[VisualId]&amp;cha_mc[TestName])))),MC_Check!H2,""), "No CHA Data Found")</f>
        <v>No CHA Data Found</v>
      </c>
      <c r="C3" t="str" cm="1">
        <f t="array" ref="C3">IFERROR(SUBSTITUTE(_xlfn._xlws.FILTER(_xlfn.UNIQUE(core_mc[VisualId]&amp;core_mc[TestName]),ISNUMBER(SEARCH(MC_Check!H2 &amp; "*CPU*CR_MC3_STATUS*", _xlfn.UNIQUE(core_mc[VisualId]&amp;core_mc[TestName])))),MC_Check!H2,""), "No CORE Data Found")</f>
        <v>DPMB_SOCKET0__COMPUTE0__CPU__CORE8__ML2_CR_MC3_STATUS_8749</v>
      </c>
      <c r="D3" t="s">
        <v>137</v>
      </c>
      <c r="F3">
        <v>0</v>
      </c>
      <c r="G3">
        <v>0</v>
      </c>
      <c r="H3" s="5" t="b">
        <f>misc[[#This Row],[Core_Hitter_Count]]&gt;0</f>
        <v>0</v>
      </c>
      <c r="I3" t="b">
        <f>misc[[#This Row],[LLC_Hitter_Count]]&gt;0</f>
        <v>0</v>
      </c>
      <c r="J3" t="b">
        <f>misc[[#This Row],[CHA_Hitter_Count]]&gt;0</f>
        <v>0</v>
      </c>
      <c r="K3" t="str">
        <f>_xlfn.TEXTJOIN("",,"*SOCKET0**COMPUTE",misc[[#This Row],[Compute]],"**UNCORE**CHA**CHA",misc[[#This Row],[location]],splitchar,"UTIL**MC*STATUS*")</f>
        <v>*SOCKET0**COMPUTE0**UNCORE**CHA**CHA0__UTIL**MC*STATUS*</v>
      </c>
      <c r="L3">
        <f>COUNTIFS(cha_mc[TestName],misc[[#This Row],[CHA_MCA_String]],cha_mc[VisualId],MC_Check!$H$2)</f>
        <v>0</v>
      </c>
      <c r="M3" t="str">
        <f>_xlfn.TEXTJOIN("",,"*SOCKET0**COMPUTE",misc[[#This Row],[Compute]],"**CPU**CORE",misc[[#This Row],[location]],splitchar,"THREAD"&amp;"*",splitchar,"DCU*CR*MC1*STATUS**")</f>
        <v>*SOCKET0**COMPUTE0**CPU**CORE0__THREAD*__DCU*CR*MC1*STATUS**</v>
      </c>
      <c r="N3">
        <f>COUNTIFS(core_mc[TestName],misc[[#This Row],[DCU_MCA_String]],core_mc[VisualId],MC_Check!$H$2)</f>
        <v>0</v>
      </c>
      <c r="O3" t="str">
        <f>_xlfn.TEXTJOIN("",,"*SOCKET0**COMPUTE",misc[[#This Row],[Compute]],"**CPU**CORE",misc[[#This Row],[location]],splitchar,"DTLB*CR*MC2*STATUS**")</f>
        <v>*SOCKET0**COMPUTE0**CPU**CORE0__DTLB*CR*MC2*STATUS**</v>
      </c>
      <c r="P3">
        <f>COUNTIFS(core_mc[TestName],misc[[#This Row],[DTLB_MCA_String]],core_mc[VisualId],MC_Check!$H$2)</f>
        <v>0</v>
      </c>
      <c r="Q3" t="str">
        <f>_xlfn.TEXTJOIN("",,"*SOCKET0**COMPUTE",misc[[#This Row],[Compute]],"**CPU**CORE",misc[[#This Row],[location]],splitchar,"THREAD"&amp;"*",splitchar,"IFU*CR*MC0*STATUS**")</f>
        <v>*SOCKET0**COMPUTE0**CPU**CORE0__THREAD*__IFU*CR*MC0*STATUS**</v>
      </c>
      <c r="R3">
        <f>COUNTIFS(core_mc[TestName],misc[[#This Row],[IFU_MCA_String]],core_mc[VisualId],MC_Check!$H$2)</f>
        <v>0</v>
      </c>
      <c r="S3" t="str">
        <f>_xlfn.TEXTJOIN("",,"*SOCKET0**COMPUTE",misc[[#This Row],[Compute]],"**CPU**CORE",misc[[#This Row],[location]],splitchar,"ML2*CR*MC3*STATUS*")</f>
        <v>*SOCKET0**COMPUTE0**CPU**CORE0__ML2*CR*MC3*STATUS*</v>
      </c>
      <c r="T3">
        <f>COUNTIFS(core_mc[TestName],misc[[#This Row],[CORE_MCA_String]],core_mc[VisualId],MC_Check!$H$2)</f>
        <v>0</v>
      </c>
      <c r="U3">
        <f>misc[[#This Row],[Core_ML2_Count]]+misc[[#This Row],[Core_IFU_Count]]+misc[[#This Row],[Core_DCU_Count]]+misc[[#This Row],[Core_DTLB_Count]]</f>
        <v>0</v>
      </c>
      <c r="V3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3" t="str">
        <f>_xlfn.TEXTJOIN("",,"*SOCKET0**COMPUTE",misc[[#This Row],[Compute]],"**UNCORE**SCF**SCF*LLC**SCF*LLC",misc[[#This Row],[location]],splitchar,"MCI*STATUS*")</f>
        <v>*SOCKET0**COMPUTE0**UNCORE**SCF**SCF*LLC**SCF*LLC0__MCI*STATUS*</v>
      </c>
      <c r="X3">
        <f>COUNTIFS(cha_mc[TestName],misc[[#This Row],[LLC_MCA_String]],cha_mc[VisualId],MC_Check!$H$2)</f>
        <v>0</v>
      </c>
      <c r="AA3" s="65">
        <v>1</v>
      </c>
      <c r="AB3" s="65">
        <v>0</v>
      </c>
      <c r="AC3" s="66" t="str">
        <f>"CH"&amp;memss[[#This Row],[location]]</f>
        <v>CH0</v>
      </c>
      <c r="AD3" s="66" t="b">
        <f>memss[[#This Row],[MEMSS_Hitter_Count]]&gt;0</f>
        <v>0</v>
      </c>
      <c r="AE3" s="66" t="str">
        <f>_xlfn.TEXTJOIN("",,"*SOCKET0**SOC**MEMSS**B2CMI",memss[[#This Row],[location]],splitchar,"MCI*STATUS*SHADOW*")</f>
        <v>*SOCKET0**SOC**MEMSS**B2CMI0__MCI*STATUS*SHADOW*</v>
      </c>
      <c r="AF3" s="66">
        <f>COUNTIFS(cha_mc[TestName],memss[[#This Row],[MEMMS_MCA_String]],cha_mc[VisualId],MC_Check!$H$2)</f>
        <v>0</v>
      </c>
      <c r="AJ3" t="s">
        <v>124</v>
      </c>
      <c r="AK3" t="str">
        <f>"*SOCKET0**IO0**TAPS**IOW*GLBW*IS3M*IBL*TOP110"&amp;splitchar&amp;"TAP*S3M*ERR*STS*"</f>
        <v>*SOCKET0**IO0**TAPS**IOW*GLBW*IS3M*IBL*TOP110__TAP*S3M*ERR*STS*</v>
      </c>
      <c r="AL3">
        <f>COUNTIFS(cha_mc[TestName],s3errors[[#This Row],[MCA_String]],cha_mc[VisualId],MC_Check!$H$2)</f>
        <v>0</v>
      </c>
      <c r="AN3" t="s">
        <v>124</v>
      </c>
      <c r="AO3" t="str">
        <f>"*SOCKET0**IO0**UNCORE**PUNIT**PTPCFSMS**PTPCFSMS"&amp;splitchar&amp;"MC*STATUS*"</f>
        <v>*SOCKET0**IO0**UNCORE**PUNIT**PTPCFSMS**PTPCFSMS__MC*STATUS*</v>
      </c>
      <c r="AP3">
        <f>COUNTIFS(cha_mc[TestName],punitmcas[[#This Row],[MCA_String]],cha_mc[VisualId],MC_Check!$H$2)</f>
        <v>0</v>
      </c>
    </row>
    <row r="4" spans="1:42" x14ac:dyDescent="0.35">
      <c r="D4" t="s">
        <v>139</v>
      </c>
      <c r="F4">
        <v>0</v>
      </c>
      <c r="G4">
        <v>1</v>
      </c>
      <c r="H4" s="5" t="b">
        <f>misc[[#This Row],[Core_Hitter_Count]]&gt;0</f>
        <v>0</v>
      </c>
      <c r="I4" t="b">
        <f>misc[[#This Row],[LLC_Hitter_Count]]&gt;0</f>
        <v>0</v>
      </c>
      <c r="J4" t="b">
        <f>misc[[#This Row],[CHA_Hitter_Count]]&gt;0</f>
        <v>0</v>
      </c>
      <c r="K4" t="str">
        <f>_xlfn.TEXTJOIN("",,"*SOCKET0**COMPUTE",misc[[#This Row],[Compute]],"**UNCORE**CHA**CHA",misc[[#This Row],[location]],splitchar,"UTIL**MC*STATUS*")</f>
        <v>*SOCKET0**COMPUTE0**UNCORE**CHA**CHA1__UTIL**MC*STATUS*</v>
      </c>
      <c r="L4">
        <f>COUNTIFS(cha_mc[TestName],misc[[#This Row],[CHA_MCA_String]],cha_mc[VisualId],MC_Check!$H$2)</f>
        <v>0</v>
      </c>
      <c r="M4" t="str">
        <f>_xlfn.TEXTJOIN("",,"*SOCKET0**COMPUTE",misc[[#This Row],[Compute]],"**CPU**CORE",misc[[#This Row],[location]],splitchar,"THREAD"&amp;"*",splitchar,"DCU*CR*MC1*STATUS**")</f>
        <v>*SOCKET0**COMPUTE0**CPU**CORE1__THREAD*__DCU*CR*MC1*STATUS**</v>
      </c>
      <c r="N4">
        <f>COUNTIFS(core_mc[TestName],misc[[#This Row],[DCU_MCA_String]],core_mc[VisualId],MC_Check!$H$2)</f>
        <v>0</v>
      </c>
      <c r="O4" t="str">
        <f>_xlfn.TEXTJOIN("",,"*SOCKET0**COMPUTE",misc[[#This Row],[Compute]],"**CPU**CORE",misc[[#This Row],[location]],splitchar,"DTLB*CR*MC2*STATUS**")</f>
        <v>*SOCKET0**COMPUTE0**CPU**CORE1__DTLB*CR*MC2*STATUS**</v>
      </c>
      <c r="P4">
        <f>COUNTIFS(core_mc[TestName],misc[[#This Row],[DTLB_MCA_String]],core_mc[VisualId],MC_Check!$H$2)</f>
        <v>0</v>
      </c>
      <c r="Q4" t="str">
        <f>_xlfn.TEXTJOIN("",,"*SOCKET0**COMPUTE",misc[[#This Row],[Compute]],"**CPU**CORE",misc[[#This Row],[location]],splitchar,"THREAD"&amp;"*",splitchar,"IFU*CR*MC0*STATUS**")</f>
        <v>*SOCKET0**COMPUTE0**CPU**CORE1__THREAD*__IFU*CR*MC0*STATUS**</v>
      </c>
      <c r="R4">
        <f>COUNTIFS(core_mc[TestName],misc[[#This Row],[IFU_MCA_String]],core_mc[VisualId],MC_Check!$H$2)</f>
        <v>0</v>
      </c>
      <c r="S4" t="str">
        <f>_xlfn.TEXTJOIN("",,"*SOCKET0**COMPUTE",misc[[#This Row],[Compute]],"**CPU**CORE",misc[[#This Row],[location]],splitchar,"ML2*CR*MC3*STATUS*")</f>
        <v>*SOCKET0**COMPUTE0**CPU**CORE1__ML2*CR*MC3*STATUS*</v>
      </c>
      <c r="T4">
        <f>COUNTIFS(core_mc[TestName],misc[[#This Row],[CORE_MCA_String]],core_mc[VisualId],MC_Check!$H$2)</f>
        <v>0</v>
      </c>
      <c r="U4">
        <f>misc[[#This Row],[Core_ML2_Count]]+misc[[#This Row],[Core_IFU_Count]]+misc[[#This Row],[Core_DCU_Count]]+misc[[#This Row],[Core_DTLB_Count]]</f>
        <v>0</v>
      </c>
      <c r="V4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4" t="str">
        <f>_xlfn.TEXTJOIN("",,"*SOCKET0**COMPUTE",misc[[#This Row],[Compute]],"**UNCORE**SCF**SCF*LLC**SCF*LLC",misc[[#This Row],[location]],splitchar,"MCI*STATUS*")</f>
        <v>*SOCKET0**COMPUTE0**UNCORE**SCF**SCF*LLC**SCF*LLC1__MCI*STATUS*</v>
      </c>
      <c r="X4">
        <f>COUNTIFS(cha_mc[TestName],misc[[#This Row],[LLC_MCA_String]],cha_mc[VisualId],MC_Check!$H$2)</f>
        <v>0</v>
      </c>
      <c r="AA4" s="65">
        <v>1</v>
      </c>
      <c r="AB4" s="65">
        <v>1</v>
      </c>
      <c r="AC4" s="66" t="str">
        <f>"CH"&amp;memss[[#This Row],[location]]</f>
        <v>CH1</v>
      </c>
      <c r="AD4" s="66" t="b">
        <f>memss[[#This Row],[MEMSS_Hitter_Count]]&gt;0</f>
        <v>0</v>
      </c>
      <c r="AE4" s="66" t="str">
        <f>_xlfn.TEXTJOIN("",,"*SOCKET0**SOC**MEMSS**B2CMI",memss[[#This Row],[location]],splitchar,"MCI*STATUS*SHADOW*")</f>
        <v>*SOCKET0**SOC**MEMSS**B2CMI1__MCI*STATUS*SHADOW*</v>
      </c>
      <c r="AF4" s="66">
        <f>COUNTIFS(cha_mc[TestName],memss[[#This Row],[MEMMS_MCA_String]],cha_mc[VisualId],MC_Check!$H$2)</f>
        <v>0</v>
      </c>
      <c r="AJ4" t="s">
        <v>125</v>
      </c>
      <c r="AK4" t="str">
        <f>"*SOCKET0**IO1**TAPS**IOW*GLBW*IS3M*IBL*TOP110"&amp;splitchar&amp;"TAP*S3M*ERR*STS**"</f>
        <v>*SOCKET0**IO1**TAPS**IOW*GLBW*IS3M*IBL*TOP110__TAP*S3M*ERR*STS**</v>
      </c>
      <c r="AL4">
        <f>COUNTIFS(cha_mc[TestName],s3errors[[#This Row],[MCA_String]],cha_mc[VisualId],MC_Check!$H$2)</f>
        <v>0</v>
      </c>
      <c r="AN4" t="s">
        <v>125</v>
      </c>
      <c r="AO4" t="str">
        <f>"*SOCKET0**IO1**UNCORE**PUNIT**PTPCFSMS**PTPCFSMS"&amp;splitchar&amp;"MC*STATUS*"</f>
        <v>*SOCKET0**IO1**UNCORE**PUNIT**PTPCFSMS**PTPCFSMS__MC*STATUS*</v>
      </c>
      <c r="AP4">
        <f>COUNTIFS(cha_mc[TestName],punitmcas[[#This Row],[MCA_String]],cha_mc[VisualId],MC_Check!$H$2)</f>
        <v>0</v>
      </c>
    </row>
    <row r="5" spans="1:42" x14ac:dyDescent="0.35">
      <c r="F5">
        <v>0</v>
      </c>
      <c r="G5">
        <v>2</v>
      </c>
      <c r="H5" s="5" t="b">
        <f>misc[[#This Row],[Core_Hitter_Count]]&gt;0</f>
        <v>0</v>
      </c>
      <c r="I5" t="b">
        <f>misc[[#This Row],[LLC_Hitter_Count]]&gt;0</f>
        <v>0</v>
      </c>
      <c r="J5" t="b">
        <f>misc[[#This Row],[CHA_Hitter_Count]]&gt;0</f>
        <v>0</v>
      </c>
      <c r="K5" t="str">
        <f>_xlfn.TEXTJOIN("",,"*SOCKET0**COMPUTE",misc[[#This Row],[Compute]],"**UNCORE**CHA**CHA",misc[[#This Row],[location]],splitchar,"UTIL**MC*STATUS*")</f>
        <v>*SOCKET0**COMPUTE0**UNCORE**CHA**CHA2__UTIL**MC*STATUS*</v>
      </c>
      <c r="L5">
        <f>COUNTIFS(cha_mc[TestName],misc[[#This Row],[CHA_MCA_String]],cha_mc[VisualId],MC_Check!$H$2)</f>
        <v>0</v>
      </c>
      <c r="M5" t="str">
        <f>_xlfn.TEXTJOIN("",,"*SOCKET0**COMPUTE",misc[[#This Row],[Compute]],"**CPU**CORE",misc[[#This Row],[location]],splitchar,"THREAD"&amp;"*",splitchar,"DCU*CR*MC1*STATUS**")</f>
        <v>*SOCKET0**COMPUTE0**CPU**CORE2__THREAD*__DCU*CR*MC1*STATUS**</v>
      </c>
      <c r="N5">
        <f>COUNTIFS(core_mc[TestName],misc[[#This Row],[DCU_MCA_String]],core_mc[VisualId],MC_Check!$H$2)</f>
        <v>0</v>
      </c>
      <c r="O5" t="str">
        <f>_xlfn.TEXTJOIN("",,"*SOCKET0**COMPUTE",misc[[#This Row],[Compute]],"**CPU**CORE",misc[[#This Row],[location]],splitchar,"DTLB*CR*MC2*STATUS**")</f>
        <v>*SOCKET0**COMPUTE0**CPU**CORE2__DTLB*CR*MC2*STATUS**</v>
      </c>
      <c r="P5">
        <f>COUNTIFS(core_mc[TestName],misc[[#This Row],[DTLB_MCA_String]],core_mc[VisualId],MC_Check!$H$2)</f>
        <v>0</v>
      </c>
      <c r="Q5" t="str">
        <f>_xlfn.TEXTJOIN("",,"*SOCKET0**COMPUTE",misc[[#This Row],[Compute]],"**CPU**CORE",misc[[#This Row],[location]],splitchar,"THREAD"&amp;"*",splitchar,"IFU*CR*MC0*STATUS**")</f>
        <v>*SOCKET0**COMPUTE0**CPU**CORE2__THREAD*__IFU*CR*MC0*STATUS**</v>
      </c>
      <c r="R5">
        <f>COUNTIFS(core_mc[TestName],misc[[#This Row],[IFU_MCA_String]],core_mc[VisualId],MC_Check!$H$2)</f>
        <v>0</v>
      </c>
      <c r="S5" t="str">
        <f>_xlfn.TEXTJOIN("",,"*SOCKET0**COMPUTE",misc[[#This Row],[Compute]],"**CPU**CORE",misc[[#This Row],[location]],splitchar,"ML2*CR*MC3*STATUS*")</f>
        <v>*SOCKET0**COMPUTE0**CPU**CORE2__ML2*CR*MC3*STATUS*</v>
      </c>
      <c r="T5">
        <f>COUNTIFS(core_mc[TestName],misc[[#This Row],[CORE_MCA_String]],core_mc[VisualId],MC_Check!$H$2)</f>
        <v>0</v>
      </c>
      <c r="U5">
        <f>misc[[#This Row],[Core_ML2_Count]]+misc[[#This Row],[Core_IFU_Count]]+misc[[#This Row],[Core_DCU_Count]]+misc[[#This Row],[Core_DTLB_Count]]</f>
        <v>0</v>
      </c>
      <c r="V5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5" t="str">
        <f>_xlfn.TEXTJOIN("",,"*SOCKET0**COMPUTE",misc[[#This Row],[Compute]],"**UNCORE**SCF**SCF*LLC**SCF*LLC",misc[[#This Row],[location]],splitchar,"MCI*STATUS*")</f>
        <v>*SOCKET0**COMPUTE0**UNCORE**SCF**SCF*LLC**SCF*LLC2__MCI*STATUS*</v>
      </c>
      <c r="X5">
        <f>COUNTIFS(cha_mc[TestName],misc[[#This Row],[LLC_MCA_String]],cha_mc[VisualId],MC_Check!$H$2)</f>
        <v>0</v>
      </c>
      <c r="AA5" s="65">
        <v>0</v>
      </c>
      <c r="AB5" s="65">
        <v>2</v>
      </c>
      <c r="AC5" s="66" t="str">
        <f>"CH"&amp;memss[[#This Row],[location]]</f>
        <v>CH2</v>
      </c>
      <c r="AD5" s="66" t="b">
        <f>memss[[#This Row],[MEMSS_Hitter_Count]]&gt;0</f>
        <v>0</v>
      </c>
      <c r="AE5" s="66" t="str">
        <f>_xlfn.TEXTJOIN("",,"*SOCKET0**SOC**MEMSS**B2CMI",memss[[#This Row],[location]],splitchar,"MCI*STATUS*SHADOW*")</f>
        <v>*SOCKET0**SOC**MEMSS**B2CMI2__MCI*STATUS*SHADOW*</v>
      </c>
      <c r="AF5" s="66">
        <f>COUNTIFS(cha_mc[TestName],memss[[#This Row],[MEMMS_MCA_String]],cha_mc[VisualId],MC_Check!$H$2)</f>
        <v>0</v>
      </c>
      <c r="AJ5" t="s">
        <v>126</v>
      </c>
      <c r="AK5" t="str">
        <f>"*SOCKET0**COMPUTE0**TAPS**IOW*GLBW*IS3M*IBL*TOP110"&amp;splitchar&amp;"TAP*S3M*ERR*STS**"</f>
        <v>*SOCKET0**COMPUTE0**TAPS**IOW*GLBW*IS3M*IBL*TOP110__TAP*S3M*ERR*STS**</v>
      </c>
      <c r="AL5">
        <f>COUNTIFS(cha_mc[TestName],s3errors[[#This Row],[MCA_String]],cha_mc[VisualId],MC_Check!$H$2)</f>
        <v>0</v>
      </c>
      <c r="AN5" t="s">
        <v>126</v>
      </c>
      <c r="AO5" t="str">
        <f>"*SOCKET0**COMPUTE0**UNCORE**PUNIT**PTPCFSMS**PTPCFSMS"&amp;splitchar&amp;"MC*STATUS*"</f>
        <v>*SOCKET0**COMPUTE0**UNCORE**PUNIT**PTPCFSMS**PTPCFSMS__MC*STATUS*</v>
      </c>
      <c r="AP5">
        <f>COUNTIFS(cha_mc[TestName],punitmcas[[#This Row],[MCA_String]],cha_mc[VisualId],MC_Check!$H$2)</f>
        <v>0</v>
      </c>
    </row>
    <row r="6" spans="1:42" x14ac:dyDescent="0.35">
      <c r="F6">
        <v>0</v>
      </c>
      <c r="G6">
        <v>3</v>
      </c>
      <c r="H6" s="5" t="b">
        <f>misc[[#This Row],[Core_Hitter_Count]]&gt;0</f>
        <v>0</v>
      </c>
      <c r="I6" t="b">
        <f>misc[[#This Row],[LLC_Hitter_Count]]&gt;0</f>
        <v>0</v>
      </c>
      <c r="J6" t="b">
        <f>misc[[#This Row],[CHA_Hitter_Count]]&gt;0</f>
        <v>0</v>
      </c>
      <c r="K6" t="str">
        <f>_xlfn.TEXTJOIN("",,"*SOCKET0**COMPUTE",misc[[#This Row],[Compute]],"**UNCORE**CHA**CHA",misc[[#This Row],[location]],splitchar,"UTIL**MC*STATUS*")</f>
        <v>*SOCKET0**COMPUTE0**UNCORE**CHA**CHA3__UTIL**MC*STATUS*</v>
      </c>
      <c r="L6">
        <f>COUNTIFS(cha_mc[TestName],misc[[#This Row],[CHA_MCA_String]],cha_mc[VisualId],MC_Check!$H$2)</f>
        <v>0</v>
      </c>
      <c r="M6" t="str">
        <f>_xlfn.TEXTJOIN("",,"*SOCKET0**COMPUTE",misc[[#This Row],[Compute]],"**CPU**CORE",misc[[#This Row],[location]],splitchar,"THREAD"&amp;"*",splitchar,"DCU*CR*MC1*STATUS**")</f>
        <v>*SOCKET0**COMPUTE0**CPU**CORE3__THREAD*__DCU*CR*MC1*STATUS**</v>
      </c>
      <c r="N6">
        <f>COUNTIFS(core_mc[TestName],misc[[#This Row],[DCU_MCA_String]],core_mc[VisualId],MC_Check!$H$2)</f>
        <v>0</v>
      </c>
      <c r="O6" t="str">
        <f>_xlfn.TEXTJOIN("",,"*SOCKET0**COMPUTE",misc[[#This Row],[Compute]],"**CPU**CORE",misc[[#This Row],[location]],splitchar,"DTLB*CR*MC2*STATUS**")</f>
        <v>*SOCKET0**COMPUTE0**CPU**CORE3__DTLB*CR*MC2*STATUS**</v>
      </c>
      <c r="P6">
        <f>COUNTIFS(core_mc[TestName],misc[[#This Row],[DTLB_MCA_String]],core_mc[VisualId],MC_Check!$H$2)</f>
        <v>0</v>
      </c>
      <c r="Q6" t="str">
        <f>_xlfn.TEXTJOIN("",,"*SOCKET0**COMPUTE",misc[[#This Row],[Compute]],"**CPU**CORE",misc[[#This Row],[location]],splitchar,"THREAD"&amp;"*",splitchar,"IFU*CR*MC0*STATUS**")</f>
        <v>*SOCKET0**COMPUTE0**CPU**CORE3__THREAD*__IFU*CR*MC0*STATUS**</v>
      </c>
      <c r="R6">
        <f>COUNTIFS(core_mc[TestName],misc[[#This Row],[IFU_MCA_String]],core_mc[VisualId],MC_Check!$H$2)</f>
        <v>0</v>
      </c>
      <c r="S6" t="str">
        <f>_xlfn.TEXTJOIN("",,"*SOCKET0**COMPUTE",misc[[#This Row],[Compute]],"**CPU**CORE",misc[[#This Row],[location]],splitchar,"ML2*CR*MC3*STATUS*")</f>
        <v>*SOCKET0**COMPUTE0**CPU**CORE3__ML2*CR*MC3*STATUS*</v>
      </c>
      <c r="T6">
        <f>COUNTIFS(core_mc[TestName],misc[[#This Row],[CORE_MCA_String]],core_mc[VisualId],MC_Check!$H$2)</f>
        <v>0</v>
      </c>
      <c r="U6">
        <f>misc[[#This Row],[Core_ML2_Count]]+misc[[#This Row],[Core_IFU_Count]]+misc[[#This Row],[Core_DCU_Count]]+misc[[#This Row],[Core_DTLB_Count]]</f>
        <v>0</v>
      </c>
      <c r="V6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6" t="str">
        <f>_xlfn.TEXTJOIN("",,"*SOCKET0**COMPUTE",misc[[#This Row],[Compute]],"**UNCORE**SCF**SCF*LLC**SCF*LLC",misc[[#This Row],[location]],splitchar,"MCI*STATUS*")</f>
        <v>*SOCKET0**COMPUTE0**UNCORE**SCF**SCF*LLC**SCF*LLC3__MCI*STATUS*</v>
      </c>
      <c r="X6">
        <f>COUNTIFS(cha_mc[TestName],misc[[#This Row],[LLC_MCA_String]],cha_mc[VisualId],MC_Check!$H$2)</f>
        <v>0</v>
      </c>
      <c r="AA6" s="65">
        <v>0</v>
      </c>
      <c r="AB6" s="65">
        <v>3</v>
      </c>
      <c r="AC6" s="66" t="str">
        <f>"CH"&amp;memss[[#This Row],[location]]</f>
        <v>CH3</v>
      </c>
      <c r="AD6" s="66" t="b">
        <f>memss[[#This Row],[MEMSS_Hitter_Count]]&gt;0</f>
        <v>0</v>
      </c>
      <c r="AE6" s="66" t="str">
        <f>_xlfn.TEXTJOIN("",,"*SOCKET0**SOC**MEMSS**B2CMI",memss[[#This Row],[location]],splitchar,"MCI*STATUS*SHADOW*")</f>
        <v>*SOCKET0**SOC**MEMSS**B2CMI3__MCI*STATUS*SHADOW*</v>
      </c>
      <c r="AF6" s="66">
        <f>COUNTIFS(cha_mc[TestName],memss[[#This Row],[MEMMS_MCA_String]],cha_mc[VisualId],MC_Check!$H$2)</f>
        <v>0</v>
      </c>
      <c r="AJ6" t="s">
        <v>127</v>
      </c>
      <c r="AK6" t="str">
        <f>"*SOCKET0**COMPUTE1**TAPS**IOW*GLBW*IS3M*IBL*TOP110"&amp;splitchar&amp;"TAP*S3M*ERR*STS**"</f>
        <v>*SOCKET0**COMPUTE1**TAPS**IOW*GLBW*IS3M*IBL*TOP110__TAP*S3M*ERR*STS**</v>
      </c>
      <c r="AL6">
        <f>COUNTIFS(cha_mc[TestName],s3errors[[#This Row],[MCA_String]],cha_mc[VisualId],MC_Check!$H$2)</f>
        <v>0</v>
      </c>
      <c r="AN6" t="s">
        <v>127</v>
      </c>
      <c r="AO6" t="str">
        <f>"*SOCKET0**COMPUTE1**UNCORE**PUNIT**PTPCFSMS**PTPCFSMS"&amp;splitchar&amp;"MC*STATUS*"</f>
        <v>*SOCKET0**COMPUTE1**UNCORE**PUNIT**PTPCFSMS**PTPCFSMS__MC*STATUS*</v>
      </c>
      <c r="AP6">
        <f>COUNTIFS(cha_mc[TestName],punitmcas[[#This Row],[MCA_String]],cha_mc[VisualId],MC_Check!$H$2)</f>
        <v>0</v>
      </c>
    </row>
    <row r="7" spans="1:42" x14ac:dyDescent="0.35">
      <c r="D7" t="s">
        <v>141</v>
      </c>
      <c r="F7">
        <v>0</v>
      </c>
      <c r="G7">
        <v>4</v>
      </c>
      <c r="H7" s="5" t="b">
        <f>misc[[#This Row],[Core_Hitter_Count]]&gt;0</f>
        <v>0</v>
      </c>
      <c r="I7" t="b">
        <f>misc[[#This Row],[LLC_Hitter_Count]]&gt;0</f>
        <v>0</v>
      </c>
      <c r="J7" t="b">
        <f>misc[[#This Row],[CHA_Hitter_Count]]&gt;0</f>
        <v>0</v>
      </c>
      <c r="K7" t="str">
        <f>_xlfn.TEXTJOIN("",,"*SOCKET0**COMPUTE",misc[[#This Row],[Compute]],"**UNCORE**CHA**CHA",misc[[#This Row],[location]],splitchar,"UTIL**MC*STATUS*")</f>
        <v>*SOCKET0**COMPUTE0**UNCORE**CHA**CHA4__UTIL**MC*STATUS*</v>
      </c>
      <c r="L7">
        <f>COUNTIFS(cha_mc[TestName],misc[[#This Row],[CHA_MCA_String]],cha_mc[VisualId],MC_Check!$H$2)</f>
        <v>0</v>
      </c>
      <c r="M7" t="str">
        <f>_xlfn.TEXTJOIN("",,"*SOCKET0**COMPUTE",misc[[#This Row],[Compute]],"**CPU**CORE",misc[[#This Row],[location]],splitchar,"THREAD"&amp;"*",splitchar,"DCU*CR*MC1*STATUS**")</f>
        <v>*SOCKET0**COMPUTE0**CPU**CORE4__THREAD*__DCU*CR*MC1*STATUS**</v>
      </c>
      <c r="N7">
        <f>COUNTIFS(core_mc[TestName],misc[[#This Row],[DCU_MCA_String]],core_mc[VisualId],MC_Check!$H$2)</f>
        <v>0</v>
      </c>
      <c r="O7" t="str">
        <f>_xlfn.TEXTJOIN("",,"*SOCKET0**COMPUTE",misc[[#This Row],[Compute]],"**CPU**CORE",misc[[#This Row],[location]],splitchar,"DTLB*CR*MC2*STATUS**")</f>
        <v>*SOCKET0**COMPUTE0**CPU**CORE4__DTLB*CR*MC2*STATUS**</v>
      </c>
      <c r="P7">
        <f>COUNTIFS(core_mc[TestName],misc[[#This Row],[DTLB_MCA_String]],core_mc[VisualId],MC_Check!$H$2)</f>
        <v>0</v>
      </c>
      <c r="Q7" t="str">
        <f>_xlfn.TEXTJOIN("",,"*SOCKET0**COMPUTE",misc[[#This Row],[Compute]],"**CPU**CORE",misc[[#This Row],[location]],splitchar,"THREAD"&amp;"*",splitchar,"IFU*CR*MC0*STATUS**")</f>
        <v>*SOCKET0**COMPUTE0**CPU**CORE4__THREAD*__IFU*CR*MC0*STATUS**</v>
      </c>
      <c r="R7">
        <f>COUNTIFS(core_mc[TestName],misc[[#This Row],[IFU_MCA_String]],core_mc[VisualId],MC_Check!$H$2)</f>
        <v>0</v>
      </c>
      <c r="S7" t="str">
        <f>_xlfn.TEXTJOIN("",,"*SOCKET0**COMPUTE",misc[[#This Row],[Compute]],"**CPU**CORE",misc[[#This Row],[location]],splitchar,"ML2*CR*MC3*STATUS*")</f>
        <v>*SOCKET0**COMPUTE0**CPU**CORE4__ML2*CR*MC3*STATUS*</v>
      </c>
      <c r="T7">
        <f>COUNTIFS(core_mc[TestName],misc[[#This Row],[CORE_MCA_String]],core_mc[VisualId],MC_Check!$H$2)</f>
        <v>0</v>
      </c>
      <c r="U7">
        <f>misc[[#This Row],[Core_ML2_Count]]+misc[[#This Row],[Core_IFU_Count]]+misc[[#This Row],[Core_DCU_Count]]+misc[[#This Row],[Core_DTLB_Count]]</f>
        <v>0</v>
      </c>
      <c r="V7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7" t="str">
        <f>_xlfn.TEXTJOIN("",,"*SOCKET0**COMPUTE",misc[[#This Row],[Compute]],"**UNCORE**SCF**SCF*LLC**SCF*LLC",misc[[#This Row],[location]],splitchar,"MCI*STATUS*")</f>
        <v>*SOCKET0**COMPUTE0**UNCORE**SCF**SCF*LLC**SCF*LLC4__MCI*STATUS*</v>
      </c>
      <c r="X7">
        <f>COUNTIFS(cha_mc[TestName],misc[[#This Row],[LLC_MCA_String]],cha_mc[VisualId],MC_Check!$H$2)</f>
        <v>0</v>
      </c>
      <c r="AA7" s="65">
        <v>2</v>
      </c>
      <c r="AB7" s="65">
        <v>4</v>
      </c>
      <c r="AC7" s="66" t="str">
        <f>"CH"&amp;memss[[#This Row],[location]]</f>
        <v>CH4</v>
      </c>
      <c r="AD7" s="66" t="b">
        <f>memss[[#This Row],[MEMSS_Hitter_Count]]&gt;0</f>
        <v>0</v>
      </c>
      <c r="AE7" s="66" t="str">
        <f>_xlfn.TEXTJOIN("",,"*SOCKET0**SOC**MEMSS**B2CMI",memss[[#This Row],[location]],splitchar,"MCI*STATUS*SHADOW*")</f>
        <v>*SOCKET0**SOC**MEMSS**B2CMI4__MCI*STATUS*SHADOW*</v>
      </c>
      <c r="AF7" s="66">
        <f>COUNTIFS(cha_mc[TestName],memss[[#This Row],[MEMMS_MCA_String]],cha_mc[VisualId],MC_Check!$H$2)</f>
        <v>0</v>
      </c>
      <c r="AJ7" t="s">
        <v>128</v>
      </c>
      <c r="AK7" t="str">
        <f>"*SOCKET0**COMPUTE2**TAPS**IOW*GLBW*IS3M*IBL*TOP110"&amp;splitchar&amp;"TAP*S3M*ERR*STS**"</f>
        <v>*SOCKET0**COMPUTE2**TAPS**IOW*GLBW*IS3M*IBL*TOP110__TAP*S3M*ERR*STS**</v>
      </c>
      <c r="AL7">
        <f>COUNTIFS(cha_mc[TestName],s3errors[[#This Row],[MCA_String]],cha_mc[VisualId],MC_Check!$H$2)</f>
        <v>0</v>
      </c>
      <c r="AN7" t="s">
        <v>128</v>
      </c>
      <c r="AO7" t="str">
        <f>"*SOCKET0**COMPUTE2**UNCORE**PUNIT**PTPCFSMS**PTPCFSMS"&amp;splitchar&amp;"MC*STATUS*"</f>
        <v>*SOCKET0**COMPUTE2**UNCORE**PUNIT**PTPCFSMS**PTPCFSMS__MC*STATUS*</v>
      </c>
      <c r="AP7">
        <f>COUNTIFS(cha_mc[TestName],punitmcas[[#This Row],[MCA_String]],cha_mc[VisualId],MC_Check!$H$2)</f>
        <v>0</v>
      </c>
    </row>
    <row r="8" spans="1:42" x14ac:dyDescent="0.35">
      <c r="D8">
        <v>1</v>
      </c>
      <c r="F8">
        <v>0</v>
      </c>
      <c r="G8">
        <v>5</v>
      </c>
      <c r="H8" s="5" t="b">
        <f>misc[[#This Row],[Core_Hitter_Count]]&gt;0</f>
        <v>0</v>
      </c>
      <c r="I8" t="b">
        <f>misc[[#This Row],[LLC_Hitter_Count]]&gt;0</f>
        <v>0</v>
      </c>
      <c r="J8" t="b">
        <f>misc[[#This Row],[CHA_Hitter_Count]]&gt;0</f>
        <v>0</v>
      </c>
      <c r="K8" t="str">
        <f>_xlfn.TEXTJOIN("",,"*SOCKET0**COMPUTE",misc[[#This Row],[Compute]],"**UNCORE**CHA**CHA",misc[[#This Row],[location]],splitchar,"UTIL**MC*STATUS*")</f>
        <v>*SOCKET0**COMPUTE0**UNCORE**CHA**CHA5__UTIL**MC*STATUS*</v>
      </c>
      <c r="L8">
        <f>COUNTIFS(cha_mc[TestName],misc[[#This Row],[CHA_MCA_String]],cha_mc[VisualId],MC_Check!$H$2)</f>
        <v>0</v>
      </c>
      <c r="M8" t="str">
        <f>_xlfn.TEXTJOIN("",,"*SOCKET0**COMPUTE",misc[[#This Row],[Compute]],"**CPU**CORE",misc[[#This Row],[location]],splitchar,"THREAD"&amp;"*",splitchar,"DCU*CR*MC1*STATUS**")</f>
        <v>*SOCKET0**COMPUTE0**CPU**CORE5__THREAD*__DCU*CR*MC1*STATUS**</v>
      </c>
      <c r="N8">
        <f>COUNTIFS(core_mc[TestName],misc[[#This Row],[DCU_MCA_String]],core_mc[VisualId],MC_Check!$H$2)</f>
        <v>0</v>
      </c>
      <c r="O8" t="str">
        <f>_xlfn.TEXTJOIN("",,"*SOCKET0**COMPUTE",misc[[#This Row],[Compute]],"**CPU**CORE",misc[[#This Row],[location]],splitchar,"DTLB*CR*MC2*STATUS**")</f>
        <v>*SOCKET0**COMPUTE0**CPU**CORE5__DTLB*CR*MC2*STATUS**</v>
      </c>
      <c r="P8">
        <f>COUNTIFS(core_mc[TestName],misc[[#This Row],[DTLB_MCA_String]],core_mc[VisualId],MC_Check!$H$2)</f>
        <v>0</v>
      </c>
      <c r="Q8" t="str">
        <f>_xlfn.TEXTJOIN("",,"*SOCKET0**COMPUTE",misc[[#This Row],[Compute]],"**CPU**CORE",misc[[#This Row],[location]],splitchar,"THREAD"&amp;"*",splitchar,"IFU*CR*MC0*STATUS**")</f>
        <v>*SOCKET0**COMPUTE0**CPU**CORE5__THREAD*__IFU*CR*MC0*STATUS**</v>
      </c>
      <c r="R8">
        <f>COUNTIFS(core_mc[TestName],misc[[#This Row],[IFU_MCA_String]],core_mc[VisualId],MC_Check!$H$2)</f>
        <v>0</v>
      </c>
      <c r="S8" t="str">
        <f>_xlfn.TEXTJOIN("",,"*SOCKET0**COMPUTE",misc[[#This Row],[Compute]],"**CPU**CORE",misc[[#This Row],[location]],splitchar,"ML2*CR*MC3*STATUS*")</f>
        <v>*SOCKET0**COMPUTE0**CPU**CORE5__ML2*CR*MC3*STATUS*</v>
      </c>
      <c r="T8">
        <f>COUNTIFS(core_mc[TestName],misc[[#This Row],[CORE_MCA_String]],core_mc[VisualId],MC_Check!$H$2)</f>
        <v>0</v>
      </c>
      <c r="U8">
        <f>misc[[#This Row],[Core_ML2_Count]]+misc[[#This Row],[Core_IFU_Count]]+misc[[#This Row],[Core_DCU_Count]]+misc[[#This Row],[Core_DTLB_Count]]</f>
        <v>0</v>
      </c>
      <c r="V8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8" t="str">
        <f>_xlfn.TEXTJOIN("",,"*SOCKET0**COMPUTE",misc[[#This Row],[Compute]],"**UNCORE**SCF**SCF*LLC**SCF*LLC",misc[[#This Row],[location]],splitchar,"MCI*STATUS*")</f>
        <v>*SOCKET0**COMPUTE0**UNCORE**SCF**SCF*LLC**SCF*LLC5__MCI*STATUS*</v>
      </c>
      <c r="X8">
        <f>COUNTIFS(cha_mc[TestName],misc[[#This Row],[LLC_MCA_String]],cha_mc[VisualId],MC_Check!$H$2)</f>
        <v>0</v>
      </c>
      <c r="AA8" s="65">
        <v>2</v>
      </c>
      <c r="AB8" s="65">
        <v>5</v>
      </c>
      <c r="AC8" s="66" t="str">
        <f>"CH"&amp;memss[[#This Row],[location]]</f>
        <v>CH5</v>
      </c>
      <c r="AD8" s="66" t="b">
        <f>memss[[#This Row],[MEMSS_Hitter_Count]]&gt;0</f>
        <v>0</v>
      </c>
      <c r="AE8" s="66" t="str">
        <f>_xlfn.TEXTJOIN("",,"*SOCKET0**SOC**MEMSS**B2CMI",memss[[#This Row],[location]],splitchar,"MCI*STATUS*SHADOW*")</f>
        <v>*SOCKET0**SOC**MEMSS**B2CMI5__MCI*STATUS*SHADOW*</v>
      </c>
      <c r="AF8" s="66">
        <f>COUNTIFS(cha_mc[TestName],memss[[#This Row],[MEMMS_MCA_String]],cha_mc[VisualId],MC_Check!$H$2)</f>
        <v>0</v>
      </c>
    </row>
    <row r="9" spans="1:42" x14ac:dyDescent="0.35">
      <c r="D9">
        <v>2</v>
      </c>
      <c r="F9">
        <v>0</v>
      </c>
      <c r="G9">
        <v>6</v>
      </c>
      <c r="H9" s="5" t="b">
        <f>misc[[#This Row],[Core_Hitter_Count]]&gt;0</f>
        <v>0</v>
      </c>
      <c r="I9" t="b">
        <f>misc[[#This Row],[LLC_Hitter_Count]]&gt;0</f>
        <v>0</v>
      </c>
      <c r="J9" t="b">
        <f>misc[[#This Row],[CHA_Hitter_Count]]&gt;0</f>
        <v>0</v>
      </c>
      <c r="K9" t="str">
        <f>_xlfn.TEXTJOIN("",,"*SOCKET0**COMPUTE",misc[[#This Row],[Compute]],"**UNCORE**CHA**CHA",misc[[#This Row],[location]],splitchar,"UTIL**MC*STATUS*")</f>
        <v>*SOCKET0**COMPUTE0**UNCORE**CHA**CHA6__UTIL**MC*STATUS*</v>
      </c>
      <c r="L9">
        <f>COUNTIFS(cha_mc[TestName],misc[[#This Row],[CHA_MCA_String]],cha_mc[VisualId],MC_Check!$H$2)</f>
        <v>0</v>
      </c>
      <c r="M9" t="str">
        <f>_xlfn.TEXTJOIN("",,"*SOCKET0**COMPUTE",misc[[#This Row],[Compute]],"**CPU**CORE",misc[[#This Row],[location]],splitchar,"THREAD"&amp;"*",splitchar,"DCU*CR*MC1*STATUS**")</f>
        <v>*SOCKET0**COMPUTE0**CPU**CORE6__THREAD*__DCU*CR*MC1*STATUS**</v>
      </c>
      <c r="N9">
        <f>COUNTIFS(core_mc[TestName],misc[[#This Row],[DCU_MCA_String]],core_mc[VisualId],MC_Check!$H$2)</f>
        <v>0</v>
      </c>
      <c r="O9" t="str">
        <f>_xlfn.TEXTJOIN("",,"*SOCKET0**COMPUTE",misc[[#This Row],[Compute]],"**CPU**CORE",misc[[#This Row],[location]],splitchar,"DTLB*CR*MC2*STATUS**")</f>
        <v>*SOCKET0**COMPUTE0**CPU**CORE6__DTLB*CR*MC2*STATUS**</v>
      </c>
      <c r="P9">
        <f>COUNTIFS(core_mc[TestName],misc[[#This Row],[DTLB_MCA_String]],core_mc[VisualId],MC_Check!$H$2)</f>
        <v>0</v>
      </c>
      <c r="Q9" t="str">
        <f>_xlfn.TEXTJOIN("",,"*SOCKET0**COMPUTE",misc[[#This Row],[Compute]],"**CPU**CORE",misc[[#This Row],[location]],splitchar,"THREAD"&amp;"*",splitchar,"IFU*CR*MC0*STATUS**")</f>
        <v>*SOCKET0**COMPUTE0**CPU**CORE6__THREAD*__IFU*CR*MC0*STATUS**</v>
      </c>
      <c r="R9">
        <f>COUNTIFS(core_mc[TestName],misc[[#This Row],[IFU_MCA_String]],core_mc[VisualId],MC_Check!$H$2)</f>
        <v>0</v>
      </c>
      <c r="S9" t="str">
        <f>_xlfn.TEXTJOIN("",,"*SOCKET0**COMPUTE",misc[[#This Row],[Compute]],"**CPU**CORE",misc[[#This Row],[location]],splitchar,"ML2*CR*MC3*STATUS*")</f>
        <v>*SOCKET0**COMPUTE0**CPU**CORE6__ML2*CR*MC3*STATUS*</v>
      </c>
      <c r="T9">
        <f>COUNTIFS(core_mc[TestName],misc[[#This Row],[CORE_MCA_String]],core_mc[VisualId],MC_Check!$H$2)</f>
        <v>0</v>
      </c>
      <c r="U9">
        <f>misc[[#This Row],[Core_ML2_Count]]+misc[[#This Row],[Core_IFU_Count]]+misc[[#This Row],[Core_DCU_Count]]+misc[[#This Row],[Core_DTLB_Count]]</f>
        <v>0</v>
      </c>
      <c r="V9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9" t="str">
        <f>_xlfn.TEXTJOIN("",,"*SOCKET0**COMPUTE",misc[[#This Row],[Compute]],"**UNCORE**SCF**SCF*LLC**SCF*LLC",misc[[#This Row],[location]],splitchar,"MCI*STATUS*")</f>
        <v>*SOCKET0**COMPUTE0**UNCORE**SCF**SCF*LLC**SCF*LLC6__MCI*STATUS*</v>
      </c>
      <c r="X9">
        <f>COUNTIFS(cha_mc[TestName],misc[[#This Row],[LLC_MCA_String]],cha_mc[VisualId],MC_Check!$H$2)</f>
        <v>0</v>
      </c>
      <c r="AA9" s="65">
        <v>1</v>
      </c>
      <c r="AB9" s="65">
        <v>6</v>
      </c>
      <c r="AC9" s="66" t="str">
        <f>"CH"&amp;memss[[#This Row],[location]]</f>
        <v>CH6</v>
      </c>
      <c r="AD9" s="66" t="b">
        <f>memss[[#This Row],[MEMSS_Hitter_Count]]&gt;0</f>
        <v>0</v>
      </c>
      <c r="AE9" s="66" t="str">
        <f>_xlfn.TEXTJOIN("",,"*SOCKET0**SOC**MEMSS**B2CMI",memss[[#This Row],[location]],splitchar,"MCI*STATUS*SHADOW*")</f>
        <v>*SOCKET0**SOC**MEMSS**B2CMI6__MCI*STATUS*SHADOW*</v>
      </c>
      <c r="AF9" s="66">
        <f>COUNTIFS(cha_mc[TestName],memss[[#This Row],[MEMMS_MCA_String]],cha_mc[VisualId],MC_Check!$H$2)</f>
        <v>0</v>
      </c>
    </row>
    <row r="10" spans="1:42" x14ac:dyDescent="0.35">
      <c r="D10">
        <v>3</v>
      </c>
      <c r="F10">
        <v>0</v>
      </c>
      <c r="G10">
        <v>7</v>
      </c>
      <c r="H10" s="5" t="b">
        <f>misc[[#This Row],[Core_Hitter_Count]]&gt;0</f>
        <v>0</v>
      </c>
      <c r="I10" t="b">
        <f>misc[[#This Row],[LLC_Hitter_Count]]&gt;0</f>
        <v>0</v>
      </c>
      <c r="J10" t="b">
        <f>misc[[#This Row],[CHA_Hitter_Count]]&gt;0</f>
        <v>0</v>
      </c>
      <c r="K10" t="str">
        <f>_xlfn.TEXTJOIN("",,"*SOCKET0**COMPUTE",misc[[#This Row],[Compute]],"**UNCORE**CHA**CHA",misc[[#This Row],[location]],splitchar,"UTIL**MC*STATUS*")</f>
        <v>*SOCKET0**COMPUTE0**UNCORE**CHA**CHA7__UTIL**MC*STATUS*</v>
      </c>
      <c r="L10">
        <f>COUNTIFS(cha_mc[TestName],misc[[#This Row],[CHA_MCA_String]],cha_mc[VisualId],MC_Check!$H$2)</f>
        <v>0</v>
      </c>
      <c r="M10" t="str">
        <f>_xlfn.TEXTJOIN("",,"*SOCKET0**COMPUTE",misc[[#This Row],[Compute]],"**CPU**CORE",misc[[#This Row],[location]],splitchar,"THREAD"&amp;"*",splitchar,"DCU*CR*MC1*STATUS**")</f>
        <v>*SOCKET0**COMPUTE0**CPU**CORE7__THREAD*__DCU*CR*MC1*STATUS**</v>
      </c>
      <c r="N10">
        <f>COUNTIFS(core_mc[TestName],misc[[#This Row],[DCU_MCA_String]],core_mc[VisualId],MC_Check!$H$2)</f>
        <v>0</v>
      </c>
      <c r="O10" t="str">
        <f>_xlfn.TEXTJOIN("",,"*SOCKET0**COMPUTE",misc[[#This Row],[Compute]],"**CPU**CORE",misc[[#This Row],[location]],splitchar,"DTLB*CR*MC2*STATUS**")</f>
        <v>*SOCKET0**COMPUTE0**CPU**CORE7__DTLB*CR*MC2*STATUS**</v>
      </c>
      <c r="P10">
        <f>COUNTIFS(core_mc[TestName],misc[[#This Row],[DTLB_MCA_String]],core_mc[VisualId],MC_Check!$H$2)</f>
        <v>0</v>
      </c>
      <c r="Q10" t="str">
        <f>_xlfn.TEXTJOIN("",,"*SOCKET0**COMPUTE",misc[[#This Row],[Compute]],"**CPU**CORE",misc[[#This Row],[location]],splitchar,"THREAD"&amp;"*",splitchar,"IFU*CR*MC0*STATUS**")</f>
        <v>*SOCKET0**COMPUTE0**CPU**CORE7__THREAD*__IFU*CR*MC0*STATUS**</v>
      </c>
      <c r="R10">
        <f>COUNTIFS(core_mc[TestName],misc[[#This Row],[IFU_MCA_String]],core_mc[VisualId],MC_Check!$H$2)</f>
        <v>0</v>
      </c>
      <c r="S10" t="str">
        <f>_xlfn.TEXTJOIN("",,"*SOCKET0**COMPUTE",misc[[#This Row],[Compute]],"**CPU**CORE",misc[[#This Row],[location]],splitchar,"ML2*CR*MC3*STATUS*")</f>
        <v>*SOCKET0**COMPUTE0**CPU**CORE7__ML2*CR*MC3*STATUS*</v>
      </c>
      <c r="T10">
        <f>COUNTIFS(core_mc[TestName],misc[[#This Row],[CORE_MCA_String]],core_mc[VisualId],MC_Check!$H$2)</f>
        <v>0</v>
      </c>
      <c r="U10">
        <f>misc[[#This Row],[Core_ML2_Count]]+misc[[#This Row],[Core_IFU_Count]]+misc[[#This Row],[Core_DCU_Count]]+misc[[#This Row],[Core_DTLB_Count]]</f>
        <v>0</v>
      </c>
      <c r="V10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0" t="str">
        <f>_xlfn.TEXTJOIN("",,"*SOCKET0**COMPUTE",misc[[#This Row],[Compute]],"**UNCORE**SCF**SCF*LLC**SCF*LLC",misc[[#This Row],[location]],splitchar,"MCI*STATUS*")</f>
        <v>*SOCKET0**COMPUTE0**UNCORE**SCF**SCF*LLC**SCF*LLC7__MCI*STATUS*</v>
      </c>
      <c r="X10">
        <f>COUNTIFS(cha_mc[TestName],misc[[#This Row],[LLC_MCA_String]],cha_mc[VisualId],MC_Check!$H$2)</f>
        <v>0</v>
      </c>
      <c r="AA10" s="65">
        <v>1</v>
      </c>
      <c r="AB10" s="65">
        <v>7</v>
      </c>
      <c r="AC10" s="66" t="str">
        <f>"CH"&amp;memss[[#This Row],[location]]</f>
        <v>CH7</v>
      </c>
      <c r="AD10" s="66" t="b">
        <f>memss[[#This Row],[MEMSS_Hitter_Count]]&gt;0</f>
        <v>0</v>
      </c>
      <c r="AE10" s="66" t="str">
        <f>_xlfn.TEXTJOIN("",,"*SOCKET0**SOC**MEMSS**B2CMI",memss[[#This Row],[location]],splitchar,"MCI*STATUS*SHADOW*")</f>
        <v>*SOCKET0**SOC**MEMSS**B2CMI7__MCI*STATUS*SHADOW*</v>
      </c>
      <c r="AF10" s="66">
        <f>COUNTIFS(cha_mc[TestName],memss[[#This Row],[MEMMS_MCA_String]],cha_mc[VisualId],MC_Check!$H$2)</f>
        <v>0</v>
      </c>
    </row>
    <row r="11" spans="1:42" x14ac:dyDescent="0.35">
      <c r="F11">
        <v>0</v>
      </c>
      <c r="G11">
        <v>8</v>
      </c>
      <c r="H11" s="5" t="b">
        <f>misc[[#This Row],[Core_Hitter_Count]]&gt;0</f>
        <v>1</v>
      </c>
      <c r="I11" t="b">
        <f>misc[[#This Row],[LLC_Hitter_Count]]&gt;0</f>
        <v>0</v>
      </c>
      <c r="J11" t="b">
        <f>misc[[#This Row],[CHA_Hitter_Count]]&gt;0</f>
        <v>0</v>
      </c>
      <c r="K11" t="str">
        <f>_xlfn.TEXTJOIN("",,"*SOCKET0**COMPUTE",misc[[#This Row],[Compute]],"**UNCORE**CHA**CHA",misc[[#This Row],[location]],splitchar,"UTIL**MC*STATUS*")</f>
        <v>*SOCKET0**COMPUTE0**UNCORE**CHA**CHA8__UTIL**MC*STATUS*</v>
      </c>
      <c r="L11">
        <f>COUNTIFS(cha_mc[TestName],misc[[#This Row],[CHA_MCA_String]],cha_mc[VisualId],MC_Check!$H$2)</f>
        <v>0</v>
      </c>
      <c r="M11" t="str">
        <f>_xlfn.TEXTJOIN("",,"*SOCKET0**COMPUTE",misc[[#This Row],[Compute]],"**CPU**CORE",misc[[#This Row],[location]],splitchar,"THREAD"&amp;"*",splitchar,"DCU*CR*MC1*STATUS**")</f>
        <v>*SOCKET0**COMPUTE0**CPU**CORE8__THREAD*__DCU*CR*MC1*STATUS**</v>
      </c>
      <c r="N11">
        <f>COUNTIFS(core_mc[TestName],misc[[#This Row],[DCU_MCA_String]],core_mc[VisualId],MC_Check!$H$2)</f>
        <v>0</v>
      </c>
      <c r="O11" t="str">
        <f>_xlfn.TEXTJOIN("",,"*SOCKET0**COMPUTE",misc[[#This Row],[Compute]],"**CPU**CORE",misc[[#This Row],[location]],splitchar,"DTLB*CR*MC2*STATUS**")</f>
        <v>*SOCKET0**COMPUTE0**CPU**CORE8__DTLB*CR*MC2*STATUS**</v>
      </c>
      <c r="P11">
        <f>COUNTIFS(core_mc[TestName],misc[[#This Row],[DTLB_MCA_String]],core_mc[VisualId],MC_Check!$H$2)</f>
        <v>0</v>
      </c>
      <c r="Q11" t="str">
        <f>_xlfn.TEXTJOIN("",,"*SOCKET0**COMPUTE",misc[[#This Row],[Compute]],"**CPU**CORE",misc[[#This Row],[location]],splitchar,"THREAD"&amp;"*",splitchar,"IFU*CR*MC0*STATUS**")</f>
        <v>*SOCKET0**COMPUTE0**CPU**CORE8__THREAD*__IFU*CR*MC0*STATUS**</v>
      </c>
      <c r="R11">
        <f>COUNTIFS(core_mc[TestName],misc[[#This Row],[IFU_MCA_String]],core_mc[VisualId],MC_Check!$H$2)</f>
        <v>0</v>
      </c>
      <c r="S11" t="str">
        <f>_xlfn.TEXTJOIN("",,"*SOCKET0**COMPUTE",misc[[#This Row],[Compute]],"**CPU**CORE",misc[[#This Row],[location]],splitchar,"ML2*CR*MC3*STATUS*")</f>
        <v>*SOCKET0**COMPUTE0**CPU**CORE8__ML2*CR*MC3*STATUS*</v>
      </c>
      <c r="T11">
        <f>COUNTIFS(core_mc[TestName],misc[[#This Row],[CORE_MCA_String]],core_mc[VisualId],MC_Check!$H$2)</f>
        <v>1</v>
      </c>
      <c r="U11">
        <f>misc[[#This Row],[Core_ML2_Count]]+misc[[#This Row],[Core_IFU_Count]]+misc[[#This Row],[Core_DCU_Count]]+misc[[#This Row],[Core_DTLB_Count]]</f>
        <v>1</v>
      </c>
      <c r="V11" t="str">
        <f>_xlfn.TEXTJOIN(", ",,IF(misc[[#This Row],[Core_DCU_Count]]&gt;0,"DCU",""),IF(misc[[#This Row],[Core_IFU_Count]]&gt;0,"IFU",""),IF(misc[[#This Row],[Core_ML2_Count]]&gt;0,"ML2",""),IF(misc[[#This Row],[Core_DTLB_Count]]&gt;0,"DTLB",""))</f>
        <v>ML2</v>
      </c>
      <c r="W11" t="str">
        <f>_xlfn.TEXTJOIN("",,"*SOCKET0**COMPUTE",misc[[#This Row],[Compute]],"**UNCORE**SCF**SCF*LLC**SCF*LLC",misc[[#This Row],[location]],splitchar,"MCI*STATUS*")</f>
        <v>*SOCKET0**COMPUTE0**UNCORE**SCF**SCF*LLC**SCF*LLC8__MCI*STATUS*</v>
      </c>
      <c r="X11">
        <f>COUNTIFS(cha_mc[TestName],misc[[#This Row],[LLC_MCA_String]],cha_mc[VisualId],MC_Check!$H$2)</f>
        <v>0</v>
      </c>
      <c r="AA11" s="65">
        <v>0</v>
      </c>
      <c r="AB11" s="65">
        <v>8</v>
      </c>
      <c r="AC11" s="66" t="str">
        <f>"CH"&amp;memss[[#This Row],[location]]</f>
        <v>CH8</v>
      </c>
      <c r="AD11" s="66" t="b">
        <f>memss[[#This Row],[MEMSS_Hitter_Count]]&gt;0</f>
        <v>0</v>
      </c>
      <c r="AE11" s="66" t="str">
        <f>_xlfn.TEXTJOIN("",,"*SOCKET0**SOC**MEMSS**B2CMI",memss[[#This Row],[location]],splitchar,"MCI*STATUS*SHADOW*")</f>
        <v>*SOCKET0**SOC**MEMSS**B2CMI8__MCI*STATUS*SHADOW*</v>
      </c>
      <c r="AF11" s="66">
        <f>COUNTIFS(cha_mc[TestName],memss[[#This Row],[MEMMS_MCA_String]],cha_mc[VisualId],MC_Check!$H$2)</f>
        <v>0</v>
      </c>
    </row>
    <row r="12" spans="1:42" x14ac:dyDescent="0.35">
      <c r="F12">
        <v>0</v>
      </c>
      <c r="G12">
        <v>9</v>
      </c>
      <c r="H12" s="5" t="b">
        <f>misc[[#This Row],[Core_Hitter_Count]]&gt;0</f>
        <v>0</v>
      </c>
      <c r="I12" t="b">
        <f>misc[[#This Row],[LLC_Hitter_Count]]&gt;0</f>
        <v>0</v>
      </c>
      <c r="J12" t="b">
        <f>misc[[#This Row],[CHA_Hitter_Count]]&gt;0</f>
        <v>0</v>
      </c>
      <c r="K12" t="str">
        <f>_xlfn.TEXTJOIN("",,"*SOCKET0**COMPUTE",misc[[#This Row],[Compute]],"**UNCORE**CHA**CHA",misc[[#This Row],[location]],splitchar,"UTIL**MC*STATUS*")</f>
        <v>*SOCKET0**COMPUTE0**UNCORE**CHA**CHA9__UTIL**MC*STATUS*</v>
      </c>
      <c r="L12">
        <f>COUNTIFS(cha_mc[TestName],misc[[#This Row],[CHA_MCA_String]],cha_mc[VisualId],MC_Check!$H$2)</f>
        <v>0</v>
      </c>
      <c r="M12" t="str">
        <f>_xlfn.TEXTJOIN("",,"*SOCKET0**COMPUTE",misc[[#This Row],[Compute]],"**CPU**CORE",misc[[#This Row],[location]],splitchar,"THREAD"&amp;"*",splitchar,"DCU*CR*MC1*STATUS**")</f>
        <v>*SOCKET0**COMPUTE0**CPU**CORE9__THREAD*__DCU*CR*MC1*STATUS**</v>
      </c>
      <c r="N12">
        <f>COUNTIFS(core_mc[TestName],misc[[#This Row],[DCU_MCA_String]],core_mc[VisualId],MC_Check!$H$2)</f>
        <v>0</v>
      </c>
      <c r="O12" t="str">
        <f>_xlfn.TEXTJOIN("",,"*SOCKET0**COMPUTE",misc[[#This Row],[Compute]],"**CPU**CORE",misc[[#This Row],[location]],splitchar,"DTLB*CR*MC2*STATUS**")</f>
        <v>*SOCKET0**COMPUTE0**CPU**CORE9__DTLB*CR*MC2*STATUS**</v>
      </c>
      <c r="P12">
        <f>COUNTIFS(core_mc[TestName],misc[[#This Row],[DTLB_MCA_String]],core_mc[VisualId],MC_Check!$H$2)</f>
        <v>0</v>
      </c>
      <c r="Q12" t="str">
        <f>_xlfn.TEXTJOIN("",,"*SOCKET0**COMPUTE",misc[[#This Row],[Compute]],"**CPU**CORE",misc[[#This Row],[location]],splitchar,"THREAD"&amp;"*",splitchar,"IFU*CR*MC0*STATUS**")</f>
        <v>*SOCKET0**COMPUTE0**CPU**CORE9__THREAD*__IFU*CR*MC0*STATUS**</v>
      </c>
      <c r="R12">
        <f>COUNTIFS(core_mc[TestName],misc[[#This Row],[IFU_MCA_String]],core_mc[VisualId],MC_Check!$H$2)</f>
        <v>0</v>
      </c>
      <c r="S12" t="str">
        <f>_xlfn.TEXTJOIN("",,"*SOCKET0**COMPUTE",misc[[#This Row],[Compute]],"**CPU**CORE",misc[[#This Row],[location]],splitchar,"ML2*CR*MC3*STATUS*")</f>
        <v>*SOCKET0**COMPUTE0**CPU**CORE9__ML2*CR*MC3*STATUS*</v>
      </c>
      <c r="T12">
        <f>COUNTIFS(core_mc[TestName],misc[[#This Row],[CORE_MCA_String]],core_mc[VisualId],MC_Check!$H$2)</f>
        <v>0</v>
      </c>
      <c r="U12">
        <f>misc[[#This Row],[Core_ML2_Count]]+misc[[#This Row],[Core_IFU_Count]]+misc[[#This Row],[Core_DCU_Count]]+misc[[#This Row],[Core_DTLB_Count]]</f>
        <v>0</v>
      </c>
      <c r="V12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2" t="str">
        <f>_xlfn.TEXTJOIN("",,"*SOCKET0**COMPUTE",misc[[#This Row],[Compute]],"**UNCORE**SCF**SCF*LLC**SCF*LLC",misc[[#This Row],[location]],splitchar,"MCI*STATUS*")</f>
        <v>*SOCKET0**COMPUTE0**UNCORE**SCF**SCF*LLC**SCF*LLC9__MCI*STATUS*</v>
      </c>
      <c r="X12">
        <f>COUNTIFS(cha_mc[TestName],misc[[#This Row],[LLC_MCA_String]],cha_mc[VisualId],MC_Check!$H$2)</f>
        <v>0</v>
      </c>
      <c r="AA12" s="65">
        <v>0</v>
      </c>
      <c r="AB12" s="65">
        <v>9</v>
      </c>
      <c r="AC12" s="66" t="str">
        <f>"CH"&amp;memss[[#This Row],[location]]</f>
        <v>CH9</v>
      </c>
      <c r="AD12" s="66" t="b">
        <f>memss[[#This Row],[MEMSS_Hitter_Count]]&gt;0</f>
        <v>0</v>
      </c>
      <c r="AE12" s="66" t="str">
        <f>_xlfn.TEXTJOIN("",,"*SOCKET0**SOC**MEMSS**B2CMI",memss[[#This Row],[location]],splitchar,"MCI*STATUS*SHADOW*")</f>
        <v>*SOCKET0**SOC**MEMSS**B2CMI9__MCI*STATUS*SHADOW*</v>
      </c>
      <c r="AF12" s="66">
        <f>COUNTIFS(cha_mc[TestName],memss[[#This Row],[MEMMS_MCA_String]],cha_mc[VisualId],MC_Check!$H$2)</f>
        <v>0</v>
      </c>
    </row>
    <row r="13" spans="1:42" x14ac:dyDescent="0.35">
      <c r="F13">
        <v>0</v>
      </c>
      <c r="G13">
        <v>10</v>
      </c>
      <c r="H13" s="5" t="b">
        <f>misc[[#This Row],[Core_Hitter_Count]]&gt;0</f>
        <v>0</v>
      </c>
      <c r="I13" t="b">
        <f>misc[[#This Row],[LLC_Hitter_Count]]&gt;0</f>
        <v>0</v>
      </c>
      <c r="J13" t="b">
        <f>misc[[#This Row],[CHA_Hitter_Count]]&gt;0</f>
        <v>0</v>
      </c>
      <c r="K13" t="str">
        <f>_xlfn.TEXTJOIN("",,"*SOCKET0**COMPUTE",misc[[#This Row],[Compute]],"**UNCORE**CHA**CHA",misc[[#This Row],[location]],splitchar,"UTIL**MC*STATUS*")</f>
        <v>*SOCKET0**COMPUTE0**UNCORE**CHA**CHA10__UTIL**MC*STATUS*</v>
      </c>
      <c r="L13">
        <f>COUNTIFS(cha_mc[TestName],misc[[#This Row],[CHA_MCA_String]],cha_mc[VisualId],MC_Check!$H$2)</f>
        <v>0</v>
      </c>
      <c r="M13" t="str">
        <f>_xlfn.TEXTJOIN("",,"*SOCKET0**COMPUTE",misc[[#This Row],[Compute]],"**CPU**CORE",misc[[#This Row],[location]],splitchar,"THREAD"&amp;"*",splitchar,"DCU*CR*MC1*STATUS**")</f>
        <v>*SOCKET0**COMPUTE0**CPU**CORE10__THREAD*__DCU*CR*MC1*STATUS**</v>
      </c>
      <c r="N13">
        <f>COUNTIFS(core_mc[TestName],misc[[#This Row],[DCU_MCA_String]],core_mc[VisualId],MC_Check!$H$2)</f>
        <v>0</v>
      </c>
      <c r="O13" t="str">
        <f>_xlfn.TEXTJOIN("",,"*SOCKET0**COMPUTE",misc[[#This Row],[Compute]],"**CPU**CORE",misc[[#This Row],[location]],splitchar,"DTLB*CR*MC2*STATUS**")</f>
        <v>*SOCKET0**COMPUTE0**CPU**CORE10__DTLB*CR*MC2*STATUS**</v>
      </c>
      <c r="P13">
        <f>COUNTIFS(core_mc[TestName],misc[[#This Row],[DTLB_MCA_String]],core_mc[VisualId],MC_Check!$H$2)</f>
        <v>0</v>
      </c>
      <c r="Q13" t="str">
        <f>_xlfn.TEXTJOIN("",,"*SOCKET0**COMPUTE",misc[[#This Row],[Compute]],"**CPU**CORE",misc[[#This Row],[location]],splitchar,"THREAD"&amp;"*",splitchar,"IFU*CR*MC0*STATUS**")</f>
        <v>*SOCKET0**COMPUTE0**CPU**CORE10__THREAD*__IFU*CR*MC0*STATUS**</v>
      </c>
      <c r="R13">
        <f>COUNTIFS(core_mc[TestName],misc[[#This Row],[IFU_MCA_String]],core_mc[VisualId],MC_Check!$H$2)</f>
        <v>0</v>
      </c>
      <c r="S13" t="str">
        <f>_xlfn.TEXTJOIN("",,"*SOCKET0**COMPUTE",misc[[#This Row],[Compute]],"**CPU**CORE",misc[[#This Row],[location]],splitchar,"ML2*CR*MC3*STATUS*")</f>
        <v>*SOCKET0**COMPUTE0**CPU**CORE10__ML2*CR*MC3*STATUS*</v>
      </c>
      <c r="T13">
        <f>COUNTIFS(core_mc[TestName],misc[[#This Row],[CORE_MCA_String]],core_mc[VisualId],MC_Check!$H$2)</f>
        <v>0</v>
      </c>
      <c r="U13">
        <f>misc[[#This Row],[Core_ML2_Count]]+misc[[#This Row],[Core_IFU_Count]]+misc[[#This Row],[Core_DCU_Count]]+misc[[#This Row],[Core_DTLB_Count]]</f>
        <v>0</v>
      </c>
      <c r="V13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3" t="str">
        <f>_xlfn.TEXTJOIN("",,"*SOCKET0**COMPUTE",misc[[#This Row],[Compute]],"**UNCORE**SCF**SCF*LLC**SCF*LLC",misc[[#This Row],[location]],splitchar,"MCI*STATUS*")</f>
        <v>*SOCKET0**COMPUTE0**UNCORE**SCF**SCF*LLC**SCF*LLC10__MCI*STATUS*</v>
      </c>
      <c r="X13">
        <f>COUNTIFS(cha_mc[TestName],misc[[#This Row],[LLC_MCA_String]],cha_mc[VisualId],MC_Check!$H$2)</f>
        <v>0</v>
      </c>
      <c r="AA13" s="65">
        <v>2</v>
      </c>
      <c r="AB13" s="65">
        <v>10</v>
      </c>
      <c r="AC13" s="66" t="str">
        <f>"CH"&amp;memss[[#This Row],[location]]</f>
        <v>CH10</v>
      </c>
      <c r="AD13" s="66" t="b">
        <f>memss[[#This Row],[MEMSS_Hitter_Count]]&gt;0</f>
        <v>0</v>
      </c>
      <c r="AE13" s="66" t="str">
        <f>_xlfn.TEXTJOIN("",,"*SOCKET0**SOC**MEMSS**B2CMI",memss[[#This Row],[location]],splitchar,"MCI*STATUS*SHADOW*")</f>
        <v>*SOCKET0**SOC**MEMSS**B2CMI10__MCI*STATUS*SHADOW*</v>
      </c>
      <c r="AF13" s="66">
        <f>COUNTIFS(cha_mc[TestName],memss[[#This Row],[MEMMS_MCA_String]],cha_mc[VisualId],MC_Check!$H$2)</f>
        <v>0</v>
      </c>
    </row>
    <row r="14" spans="1:42" x14ac:dyDescent="0.35">
      <c r="F14">
        <v>0</v>
      </c>
      <c r="G14">
        <v>11</v>
      </c>
      <c r="H14" s="5" t="b">
        <f>misc[[#This Row],[Core_Hitter_Count]]&gt;0</f>
        <v>0</v>
      </c>
      <c r="I14" t="b">
        <f>misc[[#This Row],[LLC_Hitter_Count]]&gt;0</f>
        <v>0</v>
      </c>
      <c r="J14" t="b">
        <f>misc[[#This Row],[CHA_Hitter_Count]]&gt;0</f>
        <v>0</v>
      </c>
      <c r="K14" t="str">
        <f>_xlfn.TEXTJOIN("",,"*SOCKET0**COMPUTE",misc[[#This Row],[Compute]],"**UNCORE**CHA**CHA",misc[[#This Row],[location]],splitchar,"UTIL**MC*STATUS*")</f>
        <v>*SOCKET0**COMPUTE0**UNCORE**CHA**CHA11__UTIL**MC*STATUS*</v>
      </c>
      <c r="L14">
        <f>COUNTIFS(cha_mc[TestName],misc[[#This Row],[CHA_MCA_String]],cha_mc[VisualId],MC_Check!$H$2)</f>
        <v>0</v>
      </c>
      <c r="M14" t="str">
        <f>_xlfn.TEXTJOIN("",,"*SOCKET0**COMPUTE",misc[[#This Row],[Compute]],"**CPU**CORE",misc[[#This Row],[location]],splitchar,"THREAD"&amp;"*",splitchar,"DCU*CR*MC1*STATUS**")</f>
        <v>*SOCKET0**COMPUTE0**CPU**CORE11__THREAD*__DCU*CR*MC1*STATUS**</v>
      </c>
      <c r="N14">
        <f>COUNTIFS(core_mc[TestName],misc[[#This Row],[DCU_MCA_String]],core_mc[VisualId],MC_Check!$H$2)</f>
        <v>0</v>
      </c>
      <c r="O14" t="str">
        <f>_xlfn.TEXTJOIN("",,"*SOCKET0**COMPUTE",misc[[#This Row],[Compute]],"**CPU**CORE",misc[[#This Row],[location]],splitchar,"DTLB*CR*MC2*STATUS**")</f>
        <v>*SOCKET0**COMPUTE0**CPU**CORE11__DTLB*CR*MC2*STATUS**</v>
      </c>
      <c r="P14">
        <f>COUNTIFS(core_mc[TestName],misc[[#This Row],[DTLB_MCA_String]],core_mc[VisualId],MC_Check!$H$2)</f>
        <v>0</v>
      </c>
      <c r="Q14" t="str">
        <f>_xlfn.TEXTJOIN("",,"*SOCKET0**COMPUTE",misc[[#This Row],[Compute]],"**CPU**CORE",misc[[#This Row],[location]],splitchar,"THREAD"&amp;"*",splitchar,"IFU*CR*MC0*STATUS**")</f>
        <v>*SOCKET0**COMPUTE0**CPU**CORE11__THREAD*__IFU*CR*MC0*STATUS**</v>
      </c>
      <c r="R14">
        <f>COUNTIFS(core_mc[TestName],misc[[#This Row],[IFU_MCA_String]],core_mc[VisualId],MC_Check!$H$2)</f>
        <v>0</v>
      </c>
      <c r="S14" t="str">
        <f>_xlfn.TEXTJOIN("",,"*SOCKET0**COMPUTE",misc[[#This Row],[Compute]],"**CPU**CORE",misc[[#This Row],[location]],splitchar,"ML2*CR*MC3*STATUS*")</f>
        <v>*SOCKET0**COMPUTE0**CPU**CORE11__ML2*CR*MC3*STATUS*</v>
      </c>
      <c r="T14">
        <f>COUNTIFS(core_mc[TestName],misc[[#This Row],[CORE_MCA_String]],core_mc[VisualId],MC_Check!$H$2)</f>
        <v>0</v>
      </c>
      <c r="U14">
        <f>misc[[#This Row],[Core_ML2_Count]]+misc[[#This Row],[Core_IFU_Count]]+misc[[#This Row],[Core_DCU_Count]]+misc[[#This Row],[Core_DTLB_Count]]</f>
        <v>0</v>
      </c>
      <c r="V14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4" t="str">
        <f>_xlfn.TEXTJOIN("",,"*SOCKET0**COMPUTE",misc[[#This Row],[Compute]],"**UNCORE**SCF**SCF*LLC**SCF*LLC",misc[[#This Row],[location]],splitchar,"MCI*STATUS*")</f>
        <v>*SOCKET0**COMPUTE0**UNCORE**SCF**SCF*LLC**SCF*LLC11__MCI*STATUS*</v>
      </c>
      <c r="X14">
        <f>COUNTIFS(cha_mc[TestName],misc[[#This Row],[LLC_MCA_String]],cha_mc[VisualId],MC_Check!$H$2)</f>
        <v>0</v>
      </c>
      <c r="AA14" s="65">
        <v>2</v>
      </c>
      <c r="AB14" s="65">
        <v>11</v>
      </c>
      <c r="AC14" s="66" t="str">
        <f>"CH"&amp;memss[[#This Row],[location]]</f>
        <v>CH11</v>
      </c>
      <c r="AD14" s="66" t="b">
        <f>memss[[#This Row],[MEMSS_Hitter_Count]]&gt;0</f>
        <v>0</v>
      </c>
      <c r="AE14" s="66" t="str">
        <f>_xlfn.TEXTJOIN("",,"*SOCKET0**SOC**MEMSS**B2CMI",memss[[#This Row],[location]],splitchar,"MCI*STATUS*SHADOW*")</f>
        <v>*SOCKET0**SOC**MEMSS**B2CMI11__MCI*STATUS*SHADOW*</v>
      </c>
      <c r="AF14" s="66">
        <f>COUNTIFS(cha_mc[TestName],memss[[#This Row],[MEMMS_MCA_String]],cha_mc[VisualId],MC_Check!$H$2)</f>
        <v>0</v>
      </c>
    </row>
    <row r="15" spans="1:42" x14ac:dyDescent="0.35">
      <c r="F15">
        <v>0</v>
      </c>
      <c r="G15">
        <v>12</v>
      </c>
      <c r="H15" s="5" t="b">
        <f>misc[[#This Row],[Core_Hitter_Count]]&gt;0</f>
        <v>0</v>
      </c>
      <c r="I15" t="b">
        <f>misc[[#This Row],[LLC_Hitter_Count]]&gt;0</f>
        <v>0</v>
      </c>
      <c r="J15" t="b">
        <f>misc[[#This Row],[CHA_Hitter_Count]]&gt;0</f>
        <v>0</v>
      </c>
      <c r="K15" t="str">
        <f>_xlfn.TEXTJOIN("",,"*SOCKET0**COMPUTE",misc[[#This Row],[Compute]],"**UNCORE**CHA**CHA",misc[[#This Row],[location]],splitchar,"UTIL**MC*STATUS*")</f>
        <v>*SOCKET0**COMPUTE0**UNCORE**CHA**CHA12__UTIL**MC*STATUS*</v>
      </c>
      <c r="L15">
        <f>COUNTIFS(cha_mc[TestName],misc[[#This Row],[CHA_MCA_String]],cha_mc[VisualId],MC_Check!$H$2)</f>
        <v>0</v>
      </c>
      <c r="M15" t="str">
        <f>_xlfn.TEXTJOIN("",,"*SOCKET0**COMPUTE",misc[[#This Row],[Compute]],"**CPU**CORE",misc[[#This Row],[location]],splitchar,"THREAD"&amp;"*",splitchar,"DCU*CR*MC1*STATUS**")</f>
        <v>*SOCKET0**COMPUTE0**CPU**CORE12__THREAD*__DCU*CR*MC1*STATUS**</v>
      </c>
      <c r="N15">
        <f>COUNTIFS(core_mc[TestName],misc[[#This Row],[DCU_MCA_String]],core_mc[VisualId],MC_Check!$H$2)</f>
        <v>0</v>
      </c>
      <c r="O15" t="str">
        <f>_xlfn.TEXTJOIN("",,"*SOCKET0**COMPUTE",misc[[#This Row],[Compute]],"**CPU**CORE",misc[[#This Row],[location]],splitchar,"DTLB*CR*MC2*STATUS**")</f>
        <v>*SOCKET0**COMPUTE0**CPU**CORE12__DTLB*CR*MC2*STATUS**</v>
      </c>
      <c r="P15">
        <f>COUNTIFS(core_mc[TestName],misc[[#This Row],[DTLB_MCA_String]],core_mc[VisualId],MC_Check!$H$2)</f>
        <v>0</v>
      </c>
      <c r="Q15" t="str">
        <f>_xlfn.TEXTJOIN("",,"*SOCKET0**COMPUTE",misc[[#This Row],[Compute]],"**CPU**CORE",misc[[#This Row],[location]],splitchar,"THREAD"&amp;"*",splitchar,"IFU*CR*MC0*STATUS**")</f>
        <v>*SOCKET0**COMPUTE0**CPU**CORE12__THREAD*__IFU*CR*MC0*STATUS**</v>
      </c>
      <c r="R15">
        <f>COUNTIFS(core_mc[TestName],misc[[#This Row],[IFU_MCA_String]],core_mc[VisualId],MC_Check!$H$2)</f>
        <v>0</v>
      </c>
      <c r="S15" t="str">
        <f>_xlfn.TEXTJOIN("",,"*SOCKET0**COMPUTE",misc[[#This Row],[Compute]],"**CPU**CORE",misc[[#This Row],[location]],splitchar,"ML2*CR*MC3*STATUS*")</f>
        <v>*SOCKET0**COMPUTE0**CPU**CORE12__ML2*CR*MC3*STATUS*</v>
      </c>
      <c r="T15">
        <f>COUNTIFS(core_mc[TestName],misc[[#This Row],[CORE_MCA_String]],core_mc[VisualId],MC_Check!$H$2)</f>
        <v>0</v>
      </c>
      <c r="U15">
        <f>misc[[#This Row],[Core_ML2_Count]]+misc[[#This Row],[Core_IFU_Count]]+misc[[#This Row],[Core_DCU_Count]]+misc[[#This Row],[Core_DTLB_Count]]</f>
        <v>0</v>
      </c>
      <c r="V15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5" t="str">
        <f>_xlfn.TEXTJOIN("",,"*SOCKET0**COMPUTE",misc[[#This Row],[Compute]],"**UNCORE**SCF**SCF*LLC**SCF*LLC",misc[[#This Row],[location]],splitchar,"MCI*STATUS*")</f>
        <v>*SOCKET0**COMPUTE0**UNCORE**SCF**SCF*LLC**SCF*LLC12__MCI*STATUS*</v>
      </c>
      <c r="X15">
        <f>COUNTIFS(cha_mc[TestName],misc[[#This Row],[LLC_MCA_String]],cha_mc[VisualId],MC_Check!$H$2)</f>
        <v>0</v>
      </c>
      <c r="AA15" s="65"/>
      <c r="AB15" s="65"/>
      <c r="AC15" s="66"/>
      <c r="AD15" s="66"/>
      <c r="AE15" s="66"/>
      <c r="AF15" s="66"/>
    </row>
    <row r="16" spans="1:42" x14ac:dyDescent="0.35">
      <c r="F16">
        <v>0</v>
      </c>
      <c r="G16">
        <v>13</v>
      </c>
      <c r="H16" s="5" t="b">
        <f>misc[[#This Row],[Core_Hitter_Count]]&gt;0</f>
        <v>0</v>
      </c>
      <c r="I16" t="b">
        <f>misc[[#This Row],[LLC_Hitter_Count]]&gt;0</f>
        <v>0</v>
      </c>
      <c r="J16" t="b">
        <f>misc[[#This Row],[CHA_Hitter_Count]]&gt;0</f>
        <v>0</v>
      </c>
      <c r="K16" t="str">
        <f>_xlfn.TEXTJOIN("",,"*SOCKET0**COMPUTE",misc[[#This Row],[Compute]],"**UNCORE**CHA**CHA",misc[[#This Row],[location]],splitchar,"UTIL**MC*STATUS*")</f>
        <v>*SOCKET0**COMPUTE0**UNCORE**CHA**CHA13__UTIL**MC*STATUS*</v>
      </c>
      <c r="L16">
        <f>COUNTIFS(cha_mc[TestName],misc[[#This Row],[CHA_MCA_String]],cha_mc[VisualId],MC_Check!$H$2)</f>
        <v>0</v>
      </c>
      <c r="M16" t="str">
        <f>_xlfn.TEXTJOIN("",,"*SOCKET0**COMPUTE",misc[[#This Row],[Compute]],"**CPU**CORE",misc[[#This Row],[location]],splitchar,"THREAD"&amp;"*",splitchar,"DCU*CR*MC1*STATUS**")</f>
        <v>*SOCKET0**COMPUTE0**CPU**CORE13__THREAD*__DCU*CR*MC1*STATUS**</v>
      </c>
      <c r="N16">
        <f>COUNTIFS(core_mc[TestName],misc[[#This Row],[DCU_MCA_String]],core_mc[VisualId],MC_Check!$H$2)</f>
        <v>0</v>
      </c>
      <c r="O16" t="str">
        <f>_xlfn.TEXTJOIN("",,"*SOCKET0**COMPUTE",misc[[#This Row],[Compute]],"**CPU**CORE",misc[[#This Row],[location]],splitchar,"DTLB*CR*MC2*STATUS**")</f>
        <v>*SOCKET0**COMPUTE0**CPU**CORE13__DTLB*CR*MC2*STATUS**</v>
      </c>
      <c r="P16">
        <f>COUNTIFS(core_mc[TestName],misc[[#This Row],[DTLB_MCA_String]],core_mc[VisualId],MC_Check!$H$2)</f>
        <v>0</v>
      </c>
      <c r="Q16" t="str">
        <f>_xlfn.TEXTJOIN("",,"*SOCKET0**COMPUTE",misc[[#This Row],[Compute]],"**CPU**CORE",misc[[#This Row],[location]],splitchar,"THREAD"&amp;"*",splitchar,"IFU*CR*MC0*STATUS**")</f>
        <v>*SOCKET0**COMPUTE0**CPU**CORE13__THREAD*__IFU*CR*MC0*STATUS**</v>
      </c>
      <c r="R16">
        <f>COUNTIFS(core_mc[TestName],misc[[#This Row],[IFU_MCA_String]],core_mc[VisualId],MC_Check!$H$2)</f>
        <v>0</v>
      </c>
      <c r="S16" t="str">
        <f>_xlfn.TEXTJOIN("",,"*SOCKET0**COMPUTE",misc[[#This Row],[Compute]],"**CPU**CORE",misc[[#This Row],[location]],splitchar,"ML2*CR*MC3*STATUS*")</f>
        <v>*SOCKET0**COMPUTE0**CPU**CORE13__ML2*CR*MC3*STATUS*</v>
      </c>
      <c r="T16">
        <f>COUNTIFS(core_mc[TestName],misc[[#This Row],[CORE_MCA_String]],core_mc[VisualId],MC_Check!$H$2)</f>
        <v>0</v>
      </c>
      <c r="U16">
        <f>misc[[#This Row],[Core_ML2_Count]]+misc[[#This Row],[Core_IFU_Count]]+misc[[#This Row],[Core_DCU_Count]]+misc[[#This Row],[Core_DTLB_Count]]</f>
        <v>0</v>
      </c>
      <c r="V16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6" t="str">
        <f>_xlfn.TEXTJOIN("",,"*SOCKET0**COMPUTE",misc[[#This Row],[Compute]],"**UNCORE**SCF**SCF*LLC**SCF*LLC",misc[[#This Row],[location]],splitchar,"MCI*STATUS*")</f>
        <v>*SOCKET0**COMPUTE0**UNCORE**SCF**SCF*LLC**SCF*LLC13__MCI*STATUS*</v>
      </c>
      <c r="X16">
        <f>COUNTIFS(cha_mc[TestName],misc[[#This Row],[LLC_MCA_String]],cha_mc[VisualId],MC_Check!$H$2)</f>
        <v>0</v>
      </c>
    </row>
    <row r="17" spans="6:24" x14ac:dyDescent="0.35">
      <c r="F17">
        <v>0</v>
      </c>
      <c r="G17">
        <v>14</v>
      </c>
      <c r="H17" s="5" t="b">
        <f>misc[[#This Row],[Core_Hitter_Count]]&gt;0</f>
        <v>0</v>
      </c>
      <c r="I17" t="b">
        <f>misc[[#This Row],[LLC_Hitter_Count]]&gt;0</f>
        <v>0</v>
      </c>
      <c r="J17" t="b">
        <f>misc[[#This Row],[CHA_Hitter_Count]]&gt;0</f>
        <v>0</v>
      </c>
      <c r="K17" t="str">
        <f>_xlfn.TEXTJOIN("",,"*SOCKET0**COMPUTE",misc[[#This Row],[Compute]],"**UNCORE**CHA**CHA",misc[[#This Row],[location]],splitchar,"UTIL**MC*STATUS*")</f>
        <v>*SOCKET0**COMPUTE0**UNCORE**CHA**CHA14__UTIL**MC*STATUS*</v>
      </c>
      <c r="L17">
        <f>COUNTIFS(cha_mc[TestName],misc[[#This Row],[CHA_MCA_String]],cha_mc[VisualId],MC_Check!$H$2)</f>
        <v>0</v>
      </c>
      <c r="M17" t="str">
        <f>_xlfn.TEXTJOIN("",,"*SOCKET0**COMPUTE",misc[[#This Row],[Compute]],"**CPU**CORE",misc[[#This Row],[location]],splitchar,"THREAD"&amp;"*",splitchar,"DCU*CR*MC1*STATUS**")</f>
        <v>*SOCKET0**COMPUTE0**CPU**CORE14__THREAD*__DCU*CR*MC1*STATUS**</v>
      </c>
      <c r="N17">
        <f>COUNTIFS(core_mc[TestName],misc[[#This Row],[DCU_MCA_String]],core_mc[VisualId],MC_Check!$H$2)</f>
        <v>0</v>
      </c>
      <c r="O17" t="str">
        <f>_xlfn.TEXTJOIN("",,"*SOCKET0**COMPUTE",misc[[#This Row],[Compute]],"**CPU**CORE",misc[[#This Row],[location]],splitchar,"DTLB*CR*MC2*STATUS**")</f>
        <v>*SOCKET0**COMPUTE0**CPU**CORE14__DTLB*CR*MC2*STATUS**</v>
      </c>
      <c r="P17">
        <f>COUNTIFS(core_mc[TestName],misc[[#This Row],[DTLB_MCA_String]],core_mc[VisualId],MC_Check!$H$2)</f>
        <v>0</v>
      </c>
      <c r="Q17" t="str">
        <f>_xlfn.TEXTJOIN("",,"*SOCKET0**COMPUTE",misc[[#This Row],[Compute]],"**CPU**CORE",misc[[#This Row],[location]],splitchar,"THREAD"&amp;"*",splitchar,"IFU*CR*MC0*STATUS**")</f>
        <v>*SOCKET0**COMPUTE0**CPU**CORE14__THREAD*__IFU*CR*MC0*STATUS**</v>
      </c>
      <c r="R17">
        <f>COUNTIFS(core_mc[TestName],misc[[#This Row],[IFU_MCA_String]],core_mc[VisualId],MC_Check!$H$2)</f>
        <v>0</v>
      </c>
      <c r="S17" t="str">
        <f>_xlfn.TEXTJOIN("",,"*SOCKET0**COMPUTE",misc[[#This Row],[Compute]],"**CPU**CORE",misc[[#This Row],[location]],splitchar,"ML2*CR*MC3*STATUS*")</f>
        <v>*SOCKET0**COMPUTE0**CPU**CORE14__ML2*CR*MC3*STATUS*</v>
      </c>
      <c r="T17">
        <f>COUNTIFS(core_mc[TestName],misc[[#This Row],[CORE_MCA_String]],core_mc[VisualId],MC_Check!$H$2)</f>
        <v>0</v>
      </c>
      <c r="U17">
        <f>misc[[#This Row],[Core_ML2_Count]]+misc[[#This Row],[Core_IFU_Count]]+misc[[#This Row],[Core_DCU_Count]]+misc[[#This Row],[Core_DTLB_Count]]</f>
        <v>0</v>
      </c>
      <c r="V17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7" t="str">
        <f>_xlfn.TEXTJOIN("",,"*SOCKET0**COMPUTE",misc[[#This Row],[Compute]],"**UNCORE**SCF**SCF*LLC**SCF*LLC",misc[[#This Row],[location]],splitchar,"MCI*STATUS*")</f>
        <v>*SOCKET0**COMPUTE0**UNCORE**SCF**SCF*LLC**SCF*LLC14__MCI*STATUS*</v>
      </c>
      <c r="X17">
        <f>COUNTIFS(cha_mc[TestName],misc[[#This Row],[LLC_MCA_String]],cha_mc[VisualId],MC_Check!$H$2)</f>
        <v>0</v>
      </c>
    </row>
    <row r="18" spans="6:24" x14ac:dyDescent="0.35">
      <c r="F18">
        <v>0</v>
      </c>
      <c r="G18">
        <v>15</v>
      </c>
      <c r="H18" s="5" t="b">
        <f>misc[[#This Row],[Core_Hitter_Count]]&gt;0</f>
        <v>0</v>
      </c>
      <c r="I18" t="b">
        <f>misc[[#This Row],[LLC_Hitter_Count]]&gt;0</f>
        <v>0</v>
      </c>
      <c r="J18" t="b">
        <f>misc[[#This Row],[CHA_Hitter_Count]]&gt;0</f>
        <v>0</v>
      </c>
      <c r="K18" t="str">
        <f>_xlfn.TEXTJOIN("",,"*SOCKET0**COMPUTE",misc[[#This Row],[Compute]],"**UNCORE**CHA**CHA",misc[[#This Row],[location]],splitchar,"UTIL**MC*STATUS*")</f>
        <v>*SOCKET0**COMPUTE0**UNCORE**CHA**CHA15__UTIL**MC*STATUS*</v>
      </c>
      <c r="L18">
        <f>COUNTIFS(cha_mc[TestName],misc[[#This Row],[CHA_MCA_String]],cha_mc[VisualId],MC_Check!$H$2)</f>
        <v>0</v>
      </c>
      <c r="M18" t="str">
        <f>_xlfn.TEXTJOIN("",,"*SOCKET0**COMPUTE",misc[[#This Row],[Compute]],"**CPU**CORE",misc[[#This Row],[location]],splitchar,"THREAD"&amp;"*",splitchar,"DCU*CR*MC1*STATUS**")</f>
        <v>*SOCKET0**COMPUTE0**CPU**CORE15__THREAD*__DCU*CR*MC1*STATUS**</v>
      </c>
      <c r="N18">
        <f>COUNTIFS(core_mc[TestName],misc[[#This Row],[DCU_MCA_String]],core_mc[VisualId],MC_Check!$H$2)</f>
        <v>0</v>
      </c>
      <c r="O18" t="str">
        <f>_xlfn.TEXTJOIN("",,"*SOCKET0**COMPUTE",misc[[#This Row],[Compute]],"**CPU**CORE",misc[[#This Row],[location]],splitchar,"DTLB*CR*MC2*STATUS**")</f>
        <v>*SOCKET0**COMPUTE0**CPU**CORE15__DTLB*CR*MC2*STATUS**</v>
      </c>
      <c r="P18">
        <f>COUNTIFS(core_mc[TestName],misc[[#This Row],[DTLB_MCA_String]],core_mc[VisualId],MC_Check!$H$2)</f>
        <v>0</v>
      </c>
      <c r="Q18" t="str">
        <f>_xlfn.TEXTJOIN("",,"*SOCKET0**COMPUTE",misc[[#This Row],[Compute]],"**CPU**CORE",misc[[#This Row],[location]],splitchar,"THREAD"&amp;"*",splitchar,"IFU*CR*MC0*STATUS**")</f>
        <v>*SOCKET0**COMPUTE0**CPU**CORE15__THREAD*__IFU*CR*MC0*STATUS**</v>
      </c>
      <c r="R18">
        <f>COUNTIFS(core_mc[TestName],misc[[#This Row],[IFU_MCA_String]],core_mc[VisualId],MC_Check!$H$2)</f>
        <v>0</v>
      </c>
      <c r="S18" t="str">
        <f>_xlfn.TEXTJOIN("",,"*SOCKET0**COMPUTE",misc[[#This Row],[Compute]],"**CPU**CORE",misc[[#This Row],[location]],splitchar,"ML2*CR*MC3*STATUS*")</f>
        <v>*SOCKET0**COMPUTE0**CPU**CORE15__ML2*CR*MC3*STATUS*</v>
      </c>
      <c r="T18">
        <f>COUNTIFS(core_mc[TestName],misc[[#This Row],[CORE_MCA_String]],core_mc[VisualId],MC_Check!$H$2)</f>
        <v>0</v>
      </c>
      <c r="U18">
        <f>misc[[#This Row],[Core_ML2_Count]]+misc[[#This Row],[Core_IFU_Count]]+misc[[#This Row],[Core_DCU_Count]]+misc[[#This Row],[Core_DTLB_Count]]</f>
        <v>0</v>
      </c>
      <c r="V18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8" t="str">
        <f>_xlfn.TEXTJOIN("",,"*SOCKET0**COMPUTE",misc[[#This Row],[Compute]],"**UNCORE**SCF**SCF*LLC**SCF*LLC",misc[[#This Row],[location]],splitchar,"MCI*STATUS*")</f>
        <v>*SOCKET0**COMPUTE0**UNCORE**SCF**SCF*LLC**SCF*LLC15__MCI*STATUS*</v>
      </c>
      <c r="X18">
        <f>COUNTIFS(cha_mc[TestName],misc[[#This Row],[LLC_MCA_String]],cha_mc[VisualId],MC_Check!$H$2)</f>
        <v>0</v>
      </c>
    </row>
    <row r="19" spans="6:24" x14ac:dyDescent="0.35">
      <c r="F19">
        <v>0</v>
      </c>
      <c r="G19">
        <v>16</v>
      </c>
      <c r="H19" s="5" t="b">
        <f>misc[[#This Row],[Core_Hitter_Count]]&gt;0</f>
        <v>0</v>
      </c>
      <c r="I19" t="b">
        <f>misc[[#This Row],[LLC_Hitter_Count]]&gt;0</f>
        <v>0</v>
      </c>
      <c r="J19" t="b">
        <f>misc[[#This Row],[CHA_Hitter_Count]]&gt;0</f>
        <v>0</v>
      </c>
      <c r="K19" t="str">
        <f>_xlfn.TEXTJOIN("",,"*SOCKET0**COMPUTE",misc[[#This Row],[Compute]],"**UNCORE**CHA**CHA",misc[[#This Row],[location]],splitchar,"UTIL**MC*STATUS*")</f>
        <v>*SOCKET0**COMPUTE0**UNCORE**CHA**CHA16__UTIL**MC*STATUS*</v>
      </c>
      <c r="L19">
        <f>COUNTIFS(cha_mc[TestName],misc[[#This Row],[CHA_MCA_String]],cha_mc[VisualId],MC_Check!$H$2)</f>
        <v>0</v>
      </c>
      <c r="M19" t="str">
        <f>_xlfn.TEXTJOIN("",,"*SOCKET0**COMPUTE",misc[[#This Row],[Compute]],"**CPU**CORE",misc[[#This Row],[location]],splitchar,"THREAD"&amp;"*",splitchar,"DCU*CR*MC1*STATUS**")</f>
        <v>*SOCKET0**COMPUTE0**CPU**CORE16__THREAD*__DCU*CR*MC1*STATUS**</v>
      </c>
      <c r="N19">
        <f>COUNTIFS(core_mc[TestName],misc[[#This Row],[DCU_MCA_String]],core_mc[VisualId],MC_Check!$H$2)</f>
        <v>0</v>
      </c>
      <c r="O19" t="str">
        <f>_xlfn.TEXTJOIN("",,"*SOCKET0**COMPUTE",misc[[#This Row],[Compute]],"**CPU**CORE",misc[[#This Row],[location]],splitchar,"DTLB*CR*MC2*STATUS**")</f>
        <v>*SOCKET0**COMPUTE0**CPU**CORE16__DTLB*CR*MC2*STATUS**</v>
      </c>
      <c r="P19">
        <f>COUNTIFS(core_mc[TestName],misc[[#This Row],[DTLB_MCA_String]],core_mc[VisualId],MC_Check!$H$2)</f>
        <v>0</v>
      </c>
      <c r="Q19" t="str">
        <f>_xlfn.TEXTJOIN("",,"*SOCKET0**COMPUTE",misc[[#This Row],[Compute]],"**CPU**CORE",misc[[#This Row],[location]],splitchar,"THREAD"&amp;"*",splitchar,"IFU*CR*MC0*STATUS**")</f>
        <v>*SOCKET0**COMPUTE0**CPU**CORE16__THREAD*__IFU*CR*MC0*STATUS**</v>
      </c>
      <c r="R19">
        <f>COUNTIFS(core_mc[TestName],misc[[#This Row],[IFU_MCA_String]],core_mc[VisualId],MC_Check!$H$2)</f>
        <v>0</v>
      </c>
      <c r="S19" t="str">
        <f>_xlfn.TEXTJOIN("",,"*SOCKET0**COMPUTE",misc[[#This Row],[Compute]],"**CPU**CORE",misc[[#This Row],[location]],splitchar,"ML2*CR*MC3*STATUS*")</f>
        <v>*SOCKET0**COMPUTE0**CPU**CORE16__ML2*CR*MC3*STATUS*</v>
      </c>
      <c r="T19">
        <f>COUNTIFS(core_mc[TestName],misc[[#This Row],[CORE_MCA_String]],core_mc[VisualId],MC_Check!$H$2)</f>
        <v>0</v>
      </c>
      <c r="U19">
        <f>misc[[#This Row],[Core_ML2_Count]]+misc[[#This Row],[Core_IFU_Count]]+misc[[#This Row],[Core_DCU_Count]]+misc[[#This Row],[Core_DTLB_Count]]</f>
        <v>0</v>
      </c>
      <c r="V19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9" t="str">
        <f>_xlfn.TEXTJOIN("",,"*SOCKET0**COMPUTE",misc[[#This Row],[Compute]],"**UNCORE**SCF**SCF*LLC**SCF*LLC",misc[[#This Row],[location]],splitchar,"MCI*STATUS*")</f>
        <v>*SOCKET0**COMPUTE0**UNCORE**SCF**SCF*LLC**SCF*LLC16__MCI*STATUS*</v>
      </c>
      <c r="X19">
        <f>COUNTIFS(cha_mc[TestName],misc[[#This Row],[LLC_MCA_String]],cha_mc[VisualId],MC_Check!$H$2)</f>
        <v>0</v>
      </c>
    </row>
    <row r="20" spans="6:24" x14ac:dyDescent="0.35">
      <c r="F20">
        <v>0</v>
      </c>
      <c r="G20">
        <v>17</v>
      </c>
      <c r="H20" s="5" t="b">
        <f>misc[[#This Row],[Core_Hitter_Count]]&gt;0</f>
        <v>0</v>
      </c>
      <c r="I20" t="b">
        <f>misc[[#This Row],[LLC_Hitter_Count]]&gt;0</f>
        <v>0</v>
      </c>
      <c r="J20" t="b">
        <f>misc[[#This Row],[CHA_Hitter_Count]]&gt;0</f>
        <v>0</v>
      </c>
      <c r="K20" t="str">
        <f>_xlfn.TEXTJOIN("",,"*SOCKET0**COMPUTE",misc[[#This Row],[Compute]],"**UNCORE**CHA**CHA",misc[[#This Row],[location]],splitchar,"UTIL**MC*STATUS*")</f>
        <v>*SOCKET0**COMPUTE0**UNCORE**CHA**CHA17__UTIL**MC*STATUS*</v>
      </c>
      <c r="L20">
        <f>COUNTIFS(cha_mc[TestName],misc[[#This Row],[CHA_MCA_String]],cha_mc[VisualId],MC_Check!$H$2)</f>
        <v>0</v>
      </c>
      <c r="M20" t="str">
        <f>_xlfn.TEXTJOIN("",,"*SOCKET0**COMPUTE",misc[[#This Row],[Compute]],"**CPU**CORE",misc[[#This Row],[location]],splitchar,"THREAD"&amp;"*",splitchar,"DCU*CR*MC1*STATUS**")</f>
        <v>*SOCKET0**COMPUTE0**CPU**CORE17__THREAD*__DCU*CR*MC1*STATUS**</v>
      </c>
      <c r="N20">
        <f>COUNTIFS(core_mc[TestName],misc[[#This Row],[DCU_MCA_String]],core_mc[VisualId],MC_Check!$H$2)</f>
        <v>0</v>
      </c>
      <c r="O20" t="str">
        <f>_xlfn.TEXTJOIN("",,"*SOCKET0**COMPUTE",misc[[#This Row],[Compute]],"**CPU**CORE",misc[[#This Row],[location]],splitchar,"DTLB*CR*MC2*STATUS**")</f>
        <v>*SOCKET0**COMPUTE0**CPU**CORE17__DTLB*CR*MC2*STATUS**</v>
      </c>
      <c r="P20">
        <f>COUNTIFS(core_mc[TestName],misc[[#This Row],[DTLB_MCA_String]],core_mc[VisualId],MC_Check!$H$2)</f>
        <v>0</v>
      </c>
      <c r="Q20" t="str">
        <f>_xlfn.TEXTJOIN("",,"*SOCKET0**COMPUTE",misc[[#This Row],[Compute]],"**CPU**CORE",misc[[#This Row],[location]],splitchar,"THREAD"&amp;"*",splitchar,"IFU*CR*MC0*STATUS**")</f>
        <v>*SOCKET0**COMPUTE0**CPU**CORE17__THREAD*__IFU*CR*MC0*STATUS**</v>
      </c>
      <c r="R20">
        <f>COUNTIFS(core_mc[TestName],misc[[#This Row],[IFU_MCA_String]],core_mc[VisualId],MC_Check!$H$2)</f>
        <v>0</v>
      </c>
      <c r="S20" t="str">
        <f>_xlfn.TEXTJOIN("",,"*SOCKET0**COMPUTE",misc[[#This Row],[Compute]],"**CPU**CORE",misc[[#This Row],[location]],splitchar,"ML2*CR*MC3*STATUS*")</f>
        <v>*SOCKET0**COMPUTE0**CPU**CORE17__ML2*CR*MC3*STATUS*</v>
      </c>
      <c r="T20">
        <f>COUNTIFS(core_mc[TestName],misc[[#This Row],[CORE_MCA_String]],core_mc[VisualId],MC_Check!$H$2)</f>
        <v>0</v>
      </c>
      <c r="U20">
        <f>misc[[#This Row],[Core_ML2_Count]]+misc[[#This Row],[Core_IFU_Count]]+misc[[#This Row],[Core_DCU_Count]]+misc[[#This Row],[Core_DTLB_Count]]</f>
        <v>0</v>
      </c>
      <c r="V20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20" t="str">
        <f>_xlfn.TEXTJOIN("",,"*SOCKET0**COMPUTE",misc[[#This Row],[Compute]],"**UNCORE**SCF**SCF*LLC**SCF*LLC",misc[[#This Row],[location]],splitchar,"MCI*STATUS*")</f>
        <v>*SOCKET0**COMPUTE0**UNCORE**SCF**SCF*LLC**SCF*LLC17__MCI*STATUS*</v>
      </c>
      <c r="X20">
        <f>COUNTIFS(cha_mc[TestName],misc[[#This Row],[LLC_MCA_String]],cha_mc[VisualId],MC_Check!$H$2)</f>
        <v>0</v>
      </c>
    </row>
    <row r="21" spans="6:24" x14ac:dyDescent="0.35">
      <c r="F21">
        <v>0</v>
      </c>
      <c r="G21">
        <v>18</v>
      </c>
      <c r="H21" s="5" t="b">
        <f>misc[[#This Row],[Core_Hitter_Count]]&gt;0</f>
        <v>0</v>
      </c>
      <c r="I21" t="b">
        <f>misc[[#This Row],[LLC_Hitter_Count]]&gt;0</f>
        <v>0</v>
      </c>
      <c r="J21" t="b">
        <f>misc[[#This Row],[CHA_Hitter_Count]]&gt;0</f>
        <v>0</v>
      </c>
      <c r="K21" t="str">
        <f>_xlfn.TEXTJOIN("",,"*SOCKET0**COMPUTE",misc[[#This Row],[Compute]],"**UNCORE**CHA**CHA",misc[[#This Row],[location]],splitchar,"UTIL**MC*STATUS*")</f>
        <v>*SOCKET0**COMPUTE0**UNCORE**CHA**CHA18__UTIL**MC*STATUS*</v>
      </c>
      <c r="L21">
        <f>COUNTIFS(cha_mc[TestName],misc[[#This Row],[CHA_MCA_String]],cha_mc[VisualId],MC_Check!$H$2)</f>
        <v>0</v>
      </c>
      <c r="M21" t="str">
        <f>_xlfn.TEXTJOIN("",,"*SOCKET0**COMPUTE",misc[[#This Row],[Compute]],"**CPU**CORE",misc[[#This Row],[location]],splitchar,"THREAD"&amp;"*",splitchar,"DCU*CR*MC1*STATUS**")</f>
        <v>*SOCKET0**COMPUTE0**CPU**CORE18__THREAD*__DCU*CR*MC1*STATUS**</v>
      </c>
      <c r="N21">
        <f>COUNTIFS(core_mc[TestName],misc[[#This Row],[DCU_MCA_String]],core_mc[VisualId],MC_Check!$H$2)</f>
        <v>0</v>
      </c>
      <c r="O21" t="str">
        <f>_xlfn.TEXTJOIN("",,"*SOCKET0**COMPUTE",misc[[#This Row],[Compute]],"**CPU**CORE",misc[[#This Row],[location]],splitchar,"DTLB*CR*MC2*STATUS**")</f>
        <v>*SOCKET0**COMPUTE0**CPU**CORE18__DTLB*CR*MC2*STATUS**</v>
      </c>
      <c r="P21">
        <f>COUNTIFS(core_mc[TestName],misc[[#This Row],[DTLB_MCA_String]],core_mc[VisualId],MC_Check!$H$2)</f>
        <v>0</v>
      </c>
      <c r="Q21" t="str">
        <f>_xlfn.TEXTJOIN("",,"*SOCKET0**COMPUTE",misc[[#This Row],[Compute]],"**CPU**CORE",misc[[#This Row],[location]],splitchar,"THREAD"&amp;"*",splitchar,"IFU*CR*MC0*STATUS**")</f>
        <v>*SOCKET0**COMPUTE0**CPU**CORE18__THREAD*__IFU*CR*MC0*STATUS**</v>
      </c>
      <c r="R21">
        <f>COUNTIFS(core_mc[TestName],misc[[#This Row],[IFU_MCA_String]],core_mc[VisualId],MC_Check!$H$2)</f>
        <v>0</v>
      </c>
      <c r="S21" t="str">
        <f>_xlfn.TEXTJOIN("",,"*SOCKET0**COMPUTE",misc[[#This Row],[Compute]],"**CPU**CORE",misc[[#This Row],[location]],splitchar,"ML2*CR*MC3*STATUS*")</f>
        <v>*SOCKET0**COMPUTE0**CPU**CORE18__ML2*CR*MC3*STATUS*</v>
      </c>
      <c r="T21">
        <f>COUNTIFS(core_mc[TestName],misc[[#This Row],[CORE_MCA_String]],core_mc[VisualId],MC_Check!$H$2)</f>
        <v>0</v>
      </c>
      <c r="U21">
        <f>misc[[#This Row],[Core_ML2_Count]]+misc[[#This Row],[Core_IFU_Count]]+misc[[#This Row],[Core_DCU_Count]]+misc[[#This Row],[Core_DTLB_Count]]</f>
        <v>0</v>
      </c>
      <c r="V21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21" t="str">
        <f>_xlfn.TEXTJOIN("",,"*SOCKET0**COMPUTE",misc[[#This Row],[Compute]],"**UNCORE**SCF**SCF*LLC**SCF*LLC",misc[[#This Row],[location]],splitchar,"MCI*STATUS*")</f>
        <v>*SOCKET0**COMPUTE0**UNCORE**SCF**SCF*LLC**SCF*LLC18__MCI*STATUS*</v>
      </c>
      <c r="X21">
        <f>COUNTIFS(cha_mc[TestName],misc[[#This Row],[LLC_MCA_String]],cha_mc[VisualId],MC_Check!$H$2)</f>
        <v>0</v>
      </c>
    </row>
    <row r="22" spans="6:24" x14ac:dyDescent="0.35">
      <c r="F22">
        <v>0</v>
      </c>
      <c r="G22">
        <v>19</v>
      </c>
      <c r="H22" s="5" t="b">
        <f>misc[[#This Row],[Core_Hitter_Count]]&gt;0</f>
        <v>0</v>
      </c>
      <c r="I22" t="b">
        <f>misc[[#This Row],[LLC_Hitter_Count]]&gt;0</f>
        <v>0</v>
      </c>
      <c r="J22" t="b">
        <f>misc[[#This Row],[CHA_Hitter_Count]]&gt;0</f>
        <v>0</v>
      </c>
      <c r="K22" t="str">
        <f>_xlfn.TEXTJOIN("",,"*SOCKET0**COMPUTE",misc[[#This Row],[Compute]],"**UNCORE**CHA**CHA",misc[[#This Row],[location]],splitchar,"UTIL**MC*STATUS*")</f>
        <v>*SOCKET0**COMPUTE0**UNCORE**CHA**CHA19__UTIL**MC*STATUS*</v>
      </c>
      <c r="L22">
        <f>COUNTIFS(cha_mc[TestName],misc[[#This Row],[CHA_MCA_String]],cha_mc[VisualId],MC_Check!$H$2)</f>
        <v>0</v>
      </c>
      <c r="M22" t="str">
        <f>_xlfn.TEXTJOIN("",,"*SOCKET0**COMPUTE",misc[[#This Row],[Compute]],"**CPU**CORE",misc[[#This Row],[location]],splitchar,"THREAD"&amp;"*",splitchar,"DCU*CR*MC1*STATUS**")</f>
        <v>*SOCKET0**COMPUTE0**CPU**CORE19__THREAD*__DCU*CR*MC1*STATUS**</v>
      </c>
      <c r="N22">
        <f>COUNTIFS(core_mc[TestName],misc[[#This Row],[DCU_MCA_String]],core_mc[VisualId],MC_Check!$H$2)</f>
        <v>0</v>
      </c>
      <c r="O22" t="str">
        <f>_xlfn.TEXTJOIN("",,"*SOCKET0**COMPUTE",misc[[#This Row],[Compute]],"**CPU**CORE",misc[[#This Row],[location]],splitchar,"DTLB*CR*MC2*STATUS**")</f>
        <v>*SOCKET0**COMPUTE0**CPU**CORE19__DTLB*CR*MC2*STATUS**</v>
      </c>
      <c r="P22">
        <f>COUNTIFS(core_mc[TestName],misc[[#This Row],[DTLB_MCA_String]],core_mc[VisualId],MC_Check!$H$2)</f>
        <v>0</v>
      </c>
      <c r="Q22" t="str">
        <f>_xlfn.TEXTJOIN("",,"*SOCKET0**COMPUTE",misc[[#This Row],[Compute]],"**CPU**CORE",misc[[#This Row],[location]],splitchar,"THREAD"&amp;"*",splitchar,"IFU*CR*MC0*STATUS**")</f>
        <v>*SOCKET0**COMPUTE0**CPU**CORE19__THREAD*__IFU*CR*MC0*STATUS**</v>
      </c>
      <c r="R22">
        <f>COUNTIFS(core_mc[TestName],misc[[#This Row],[IFU_MCA_String]],core_mc[VisualId],MC_Check!$H$2)</f>
        <v>0</v>
      </c>
      <c r="S22" t="str">
        <f>_xlfn.TEXTJOIN("",,"*SOCKET0**COMPUTE",misc[[#This Row],[Compute]],"**CPU**CORE",misc[[#This Row],[location]],splitchar,"ML2*CR*MC3*STATUS*")</f>
        <v>*SOCKET0**COMPUTE0**CPU**CORE19__ML2*CR*MC3*STATUS*</v>
      </c>
      <c r="T22">
        <f>COUNTIFS(core_mc[TestName],misc[[#This Row],[CORE_MCA_String]],core_mc[VisualId],MC_Check!$H$2)</f>
        <v>0</v>
      </c>
      <c r="U22">
        <f>misc[[#This Row],[Core_ML2_Count]]+misc[[#This Row],[Core_IFU_Count]]+misc[[#This Row],[Core_DCU_Count]]+misc[[#This Row],[Core_DTLB_Count]]</f>
        <v>0</v>
      </c>
      <c r="V22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22" t="str">
        <f>_xlfn.TEXTJOIN("",,"*SOCKET0**COMPUTE",misc[[#This Row],[Compute]],"**UNCORE**SCF**SCF*LLC**SCF*LLC",misc[[#This Row],[location]],splitchar,"MCI*STATUS*")</f>
        <v>*SOCKET0**COMPUTE0**UNCORE**SCF**SCF*LLC**SCF*LLC19__MCI*STATUS*</v>
      </c>
      <c r="X22">
        <f>COUNTIFS(cha_mc[TestName],misc[[#This Row],[LLC_MCA_String]],cha_mc[VisualId],MC_Check!$H$2)</f>
        <v>0</v>
      </c>
    </row>
    <row r="23" spans="6:24" x14ac:dyDescent="0.35">
      <c r="F23">
        <v>0</v>
      </c>
      <c r="G23">
        <v>20</v>
      </c>
      <c r="H23" s="5" t="b">
        <f>misc[[#This Row],[Core_Hitter_Count]]&gt;0</f>
        <v>0</v>
      </c>
      <c r="I23" t="b">
        <f>misc[[#This Row],[LLC_Hitter_Count]]&gt;0</f>
        <v>0</v>
      </c>
      <c r="J23" t="b">
        <f>misc[[#This Row],[CHA_Hitter_Count]]&gt;0</f>
        <v>0</v>
      </c>
      <c r="K23" t="str">
        <f>_xlfn.TEXTJOIN("",,"*SOCKET0**COMPUTE",misc[[#This Row],[Compute]],"**UNCORE**CHA**CHA",misc[[#This Row],[location]],splitchar,"UTIL**MC*STATUS*")</f>
        <v>*SOCKET0**COMPUTE0**UNCORE**CHA**CHA20__UTIL**MC*STATUS*</v>
      </c>
      <c r="L23">
        <f>COUNTIFS(cha_mc[TestName],misc[[#This Row],[CHA_MCA_String]],cha_mc[VisualId],MC_Check!$H$2)</f>
        <v>0</v>
      </c>
      <c r="M23" t="str">
        <f>_xlfn.TEXTJOIN("",,"*SOCKET0**COMPUTE",misc[[#This Row],[Compute]],"**CPU**CORE",misc[[#This Row],[location]],splitchar,"THREAD"&amp;"*",splitchar,"DCU*CR*MC1*STATUS**")</f>
        <v>*SOCKET0**COMPUTE0**CPU**CORE20__THREAD*__DCU*CR*MC1*STATUS**</v>
      </c>
      <c r="N23">
        <f>COUNTIFS(core_mc[TestName],misc[[#This Row],[DCU_MCA_String]],core_mc[VisualId],MC_Check!$H$2)</f>
        <v>0</v>
      </c>
      <c r="O23" t="str">
        <f>_xlfn.TEXTJOIN("",,"*SOCKET0**COMPUTE",misc[[#This Row],[Compute]],"**CPU**CORE",misc[[#This Row],[location]],splitchar,"DTLB*CR*MC2*STATUS**")</f>
        <v>*SOCKET0**COMPUTE0**CPU**CORE20__DTLB*CR*MC2*STATUS**</v>
      </c>
      <c r="P23">
        <f>COUNTIFS(core_mc[TestName],misc[[#This Row],[DTLB_MCA_String]],core_mc[VisualId],MC_Check!$H$2)</f>
        <v>0</v>
      </c>
      <c r="Q23" t="str">
        <f>_xlfn.TEXTJOIN("",,"*SOCKET0**COMPUTE",misc[[#This Row],[Compute]],"**CPU**CORE",misc[[#This Row],[location]],splitchar,"THREAD"&amp;"*",splitchar,"IFU*CR*MC0*STATUS**")</f>
        <v>*SOCKET0**COMPUTE0**CPU**CORE20__THREAD*__IFU*CR*MC0*STATUS**</v>
      </c>
      <c r="R23">
        <f>COUNTIFS(core_mc[TestName],misc[[#This Row],[IFU_MCA_String]],core_mc[VisualId],MC_Check!$H$2)</f>
        <v>0</v>
      </c>
      <c r="S23" t="str">
        <f>_xlfn.TEXTJOIN("",,"*SOCKET0**COMPUTE",misc[[#This Row],[Compute]],"**CPU**CORE",misc[[#This Row],[location]],splitchar,"ML2*CR*MC3*STATUS*")</f>
        <v>*SOCKET0**COMPUTE0**CPU**CORE20__ML2*CR*MC3*STATUS*</v>
      </c>
      <c r="T23">
        <f>COUNTIFS(core_mc[TestName],misc[[#This Row],[CORE_MCA_String]],core_mc[VisualId],MC_Check!$H$2)</f>
        <v>0</v>
      </c>
      <c r="U23">
        <f>misc[[#This Row],[Core_ML2_Count]]+misc[[#This Row],[Core_IFU_Count]]+misc[[#This Row],[Core_DCU_Count]]+misc[[#This Row],[Core_DTLB_Count]]</f>
        <v>0</v>
      </c>
      <c r="V23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23" t="str">
        <f>_xlfn.TEXTJOIN("",,"*SOCKET0**COMPUTE",misc[[#This Row],[Compute]],"**UNCORE**SCF**SCF*LLC**SCF*LLC",misc[[#This Row],[location]],splitchar,"MCI*STATUS*")</f>
        <v>*SOCKET0**COMPUTE0**UNCORE**SCF**SCF*LLC**SCF*LLC20__MCI*STATUS*</v>
      </c>
      <c r="X23">
        <f>COUNTIFS(cha_mc[TestName],misc[[#This Row],[LLC_MCA_String]],cha_mc[VisualId],MC_Check!$H$2)</f>
        <v>0</v>
      </c>
    </row>
    <row r="24" spans="6:24" x14ac:dyDescent="0.35">
      <c r="F24">
        <v>0</v>
      </c>
      <c r="G24">
        <v>21</v>
      </c>
      <c r="H24" s="5" t="b">
        <f>misc[[#This Row],[Core_Hitter_Count]]&gt;0</f>
        <v>0</v>
      </c>
      <c r="I24" t="b">
        <f>misc[[#This Row],[LLC_Hitter_Count]]&gt;0</f>
        <v>0</v>
      </c>
      <c r="J24" t="b">
        <f>misc[[#This Row],[CHA_Hitter_Count]]&gt;0</f>
        <v>0</v>
      </c>
      <c r="K24" t="str">
        <f>_xlfn.TEXTJOIN("",,"*SOCKET0**COMPUTE",misc[[#This Row],[Compute]],"**UNCORE**CHA**CHA",misc[[#This Row],[location]],splitchar,"UTIL**MC*STATUS*")</f>
        <v>*SOCKET0**COMPUTE0**UNCORE**CHA**CHA21__UTIL**MC*STATUS*</v>
      </c>
      <c r="L24">
        <f>COUNTIFS(cha_mc[TestName],misc[[#This Row],[CHA_MCA_String]],cha_mc[VisualId],MC_Check!$H$2)</f>
        <v>0</v>
      </c>
      <c r="M24" t="str">
        <f>_xlfn.TEXTJOIN("",,"*SOCKET0**COMPUTE",misc[[#This Row],[Compute]],"**CPU**CORE",misc[[#This Row],[location]],splitchar,"THREAD"&amp;"*",splitchar,"DCU*CR*MC1*STATUS**")</f>
        <v>*SOCKET0**COMPUTE0**CPU**CORE21__THREAD*__DCU*CR*MC1*STATUS**</v>
      </c>
      <c r="N24">
        <f>COUNTIFS(core_mc[TestName],misc[[#This Row],[DCU_MCA_String]],core_mc[VisualId],MC_Check!$H$2)</f>
        <v>0</v>
      </c>
      <c r="O24" t="str">
        <f>_xlfn.TEXTJOIN("",,"*SOCKET0**COMPUTE",misc[[#This Row],[Compute]],"**CPU**CORE",misc[[#This Row],[location]],splitchar,"DTLB*CR*MC2*STATUS**")</f>
        <v>*SOCKET0**COMPUTE0**CPU**CORE21__DTLB*CR*MC2*STATUS**</v>
      </c>
      <c r="P24">
        <f>COUNTIFS(core_mc[TestName],misc[[#This Row],[DTLB_MCA_String]],core_mc[VisualId],MC_Check!$H$2)</f>
        <v>0</v>
      </c>
      <c r="Q24" t="str">
        <f>_xlfn.TEXTJOIN("",,"*SOCKET0**COMPUTE",misc[[#This Row],[Compute]],"**CPU**CORE",misc[[#This Row],[location]],splitchar,"THREAD"&amp;"*",splitchar,"IFU*CR*MC0*STATUS**")</f>
        <v>*SOCKET0**COMPUTE0**CPU**CORE21__THREAD*__IFU*CR*MC0*STATUS**</v>
      </c>
      <c r="R24">
        <f>COUNTIFS(core_mc[TestName],misc[[#This Row],[IFU_MCA_String]],core_mc[VisualId],MC_Check!$H$2)</f>
        <v>0</v>
      </c>
      <c r="S24" t="str">
        <f>_xlfn.TEXTJOIN("",,"*SOCKET0**COMPUTE",misc[[#This Row],[Compute]],"**CPU**CORE",misc[[#This Row],[location]],splitchar,"ML2*CR*MC3*STATUS*")</f>
        <v>*SOCKET0**COMPUTE0**CPU**CORE21__ML2*CR*MC3*STATUS*</v>
      </c>
      <c r="T24">
        <f>COUNTIFS(core_mc[TestName],misc[[#This Row],[CORE_MCA_String]],core_mc[VisualId],MC_Check!$H$2)</f>
        <v>0</v>
      </c>
      <c r="U24">
        <f>misc[[#This Row],[Core_ML2_Count]]+misc[[#This Row],[Core_IFU_Count]]+misc[[#This Row],[Core_DCU_Count]]+misc[[#This Row],[Core_DTLB_Count]]</f>
        <v>0</v>
      </c>
      <c r="V24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24" t="str">
        <f>_xlfn.TEXTJOIN("",,"*SOCKET0**COMPUTE",misc[[#This Row],[Compute]],"**UNCORE**SCF**SCF*LLC**SCF*LLC",misc[[#This Row],[location]],splitchar,"MCI*STATUS*")</f>
        <v>*SOCKET0**COMPUTE0**UNCORE**SCF**SCF*LLC**SCF*LLC21__MCI*STATUS*</v>
      </c>
      <c r="X24">
        <f>COUNTIFS(cha_mc[TestName],misc[[#This Row],[LLC_MCA_String]],cha_mc[VisualId],MC_Check!$H$2)</f>
        <v>0</v>
      </c>
    </row>
    <row r="25" spans="6:24" x14ac:dyDescent="0.35">
      <c r="F25">
        <v>0</v>
      </c>
      <c r="G25">
        <v>22</v>
      </c>
      <c r="H25" s="5" t="b">
        <f>misc[[#This Row],[Core_Hitter_Count]]&gt;0</f>
        <v>0</v>
      </c>
      <c r="I25" t="b">
        <f>misc[[#This Row],[LLC_Hitter_Count]]&gt;0</f>
        <v>0</v>
      </c>
      <c r="J25" t="b">
        <f>misc[[#This Row],[CHA_Hitter_Count]]&gt;0</f>
        <v>0</v>
      </c>
      <c r="K25" t="str">
        <f>_xlfn.TEXTJOIN("",,"*SOCKET0**COMPUTE",misc[[#This Row],[Compute]],"**UNCORE**CHA**CHA",misc[[#This Row],[location]],splitchar,"UTIL**MC*STATUS*")</f>
        <v>*SOCKET0**COMPUTE0**UNCORE**CHA**CHA22__UTIL**MC*STATUS*</v>
      </c>
      <c r="L25">
        <f>COUNTIFS(cha_mc[TestName],misc[[#This Row],[CHA_MCA_String]],cha_mc[VisualId],MC_Check!$H$2)</f>
        <v>0</v>
      </c>
      <c r="M25" t="str">
        <f>_xlfn.TEXTJOIN("",,"*SOCKET0**COMPUTE",misc[[#This Row],[Compute]],"**CPU**CORE",misc[[#This Row],[location]],splitchar,"THREAD"&amp;"*",splitchar,"DCU*CR*MC1*STATUS**")</f>
        <v>*SOCKET0**COMPUTE0**CPU**CORE22__THREAD*__DCU*CR*MC1*STATUS**</v>
      </c>
      <c r="N25">
        <f>COUNTIFS(core_mc[TestName],misc[[#This Row],[DCU_MCA_String]],core_mc[VisualId],MC_Check!$H$2)</f>
        <v>0</v>
      </c>
      <c r="O25" t="str">
        <f>_xlfn.TEXTJOIN("",,"*SOCKET0**COMPUTE",misc[[#This Row],[Compute]],"**CPU**CORE",misc[[#This Row],[location]],splitchar,"DTLB*CR*MC2*STATUS**")</f>
        <v>*SOCKET0**COMPUTE0**CPU**CORE22__DTLB*CR*MC2*STATUS**</v>
      </c>
      <c r="P25">
        <f>COUNTIFS(core_mc[TestName],misc[[#This Row],[DTLB_MCA_String]],core_mc[VisualId],MC_Check!$H$2)</f>
        <v>0</v>
      </c>
      <c r="Q25" t="str">
        <f>_xlfn.TEXTJOIN("",,"*SOCKET0**COMPUTE",misc[[#This Row],[Compute]],"**CPU**CORE",misc[[#This Row],[location]],splitchar,"THREAD"&amp;"*",splitchar,"IFU*CR*MC0*STATUS**")</f>
        <v>*SOCKET0**COMPUTE0**CPU**CORE22__THREAD*__IFU*CR*MC0*STATUS**</v>
      </c>
      <c r="R25">
        <f>COUNTIFS(core_mc[TestName],misc[[#This Row],[IFU_MCA_String]],core_mc[VisualId],MC_Check!$H$2)</f>
        <v>0</v>
      </c>
      <c r="S25" t="str">
        <f>_xlfn.TEXTJOIN("",,"*SOCKET0**COMPUTE",misc[[#This Row],[Compute]],"**CPU**CORE",misc[[#This Row],[location]],splitchar,"ML2*CR*MC3*STATUS*")</f>
        <v>*SOCKET0**COMPUTE0**CPU**CORE22__ML2*CR*MC3*STATUS*</v>
      </c>
      <c r="T25">
        <f>COUNTIFS(core_mc[TestName],misc[[#This Row],[CORE_MCA_String]],core_mc[VisualId],MC_Check!$H$2)</f>
        <v>0</v>
      </c>
      <c r="U25">
        <f>misc[[#This Row],[Core_ML2_Count]]+misc[[#This Row],[Core_IFU_Count]]+misc[[#This Row],[Core_DCU_Count]]+misc[[#This Row],[Core_DTLB_Count]]</f>
        <v>0</v>
      </c>
      <c r="V25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25" t="str">
        <f>_xlfn.TEXTJOIN("",,"*SOCKET0**COMPUTE",misc[[#This Row],[Compute]],"**UNCORE**SCF**SCF*LLC**SCF*LLC",misc[[#This Row],[location]],splitchar,"MCI*STATUS*")</f>
        <v>*SOCKET0**COMPUTE0**UNCORE**SCF**SCF*LLC**SCF*LLC22__MCI*STATUS*</v>
      </c>
      <c r="X25">
        <f>COUNTIFS(cha_mc[TestName],misc[[#This Row],[LLC_MCA_String]],cha_mc[VisualId],MC_Check!$H$2)</f>
        <v>0</v>
      </c>
    </row>
    <row r="26" spans="6:24" x14ac:dyDescent="0.35">
      <c r="F26">
        <v>0</v>
      </c>
      <c r="G26">
        <v>23</v>
      </c>
      <c r="H26" s="5" t="b">
        <f>misc[[#This Row],[Core_Hitter_Count]]&gt;0</f>
        <v>0</v>
      </c>
      <c r="I26" t="b">
        <f>misc[[#This Row],[LLC_Hitter_Count]]&gt;0</f>
        <v>0</v>
      </c>
      <c r="J26" t="b">
        <f>misc[[#This Row],[CHA_Hitter_Count]]&gt;0</f>
        <v>0</v>
      </c>
      <c r="K26" t="str">
        <f>_xlfn.TEXTJOIN("",,"*SOCKET0**COMPUTE",misc[[#This Row],[Compute]],"**UNCORE**CHA**CHA",misc[[#This Row],[location]],splitchar,"UTIL**MC*STATUS*")</f>
        <v>*SOCKET0**COMPUTE0**UNCORE**CHA**CHA23__UTIL**MC*STATUS*</v>
      </c>
      <c r="L26">
        <f>COUNTIFS(cha_mc[TestName],misc[[#This Row],[CHA_MCA_String]],cha_mc[VisualId],MC_Check!$H$2)</f>
        <v>0</v>
      </c>
      <c r="M26" t="str">
        <f>_xlfn.TEXTJOIN("",,"*SOCKET0**COMPUTE",misc[[#This Row],[Compute]],"**CPU**CORE",misc[[#This Row],[location]],splitchar,"THREAD"&amp;"*",splitchar,"DCU*CR*MC1*STATUS**")</f>
        <v>*SOCKET0**COMPUTE0**CPU**CORE23__THREAD*__DCU*CR*MC1*STATUS**</v>
      </c>
      <c r="N26">
        <f>COUNTIFS(core_mc[TestName],misc[[#This Row],[DCU_MCA_String]],core_mc[VisualId],MC_Check!$H$2)</f>
        <v>0</v>
      </c>
      <c r="O26" t="str">
        <f>_xlfn.TEXTJOIN("",,"*SOCKET0**COMPUTE",misc[[#This Row],[Compute]],"**CPU**CORE",misc[[#This Row],[location]],splitchar,"DTLB*CR*MC2*STATUS**")</f>
        <v>*SOCKET0**COMPUTE0**CPU**CORE23__DTLB*CR*MC2*STATUS**</v>
      </c>
      <c r="P26">
        <f>COUNTIFS(core_mc[TestName],misc[[#This Row],[DTLB_MCA_String]],core_mc[VisualId],MC_Check!$H$2)</f>
        <v>0</v>
      </c>
      <c r="Q26" t="str">
        <f>_xlfn.TEXTJOIN("",,"*SOCKET0**COMPUTE",misc[[#This Row],[Compute]],"**CPU**CORE",misc[[#This Row],[location]],splitchar,"THREAD"&amp;"*",splitchar,"IFU*CR*MC0*STATUS**")</f>
        <v>*SOCKET0**COMPUTE0**CPU**CORE23__THREAD*__IFU*CR*MC0*STATUS**</v>
      </c>
      <c r="R26">
        <f>COUNTIFS(core_mc[TestName],misc[[#This Row],[IFU_MCA_String]],core_mc[VisualId],MC_Check!$H$2)</f>
        <v>0</v>
      </c>
      <c r="S26" t="str">
        <f>_xlfn.TEXTJOIN("",,"*SOCKET0**COMPUTE",misc[[#This Row],[Compute]],"**CPU**CORE",misc[[#This Row],[location]],splitchar,"ML2*CR*MC3*STATUS*")</f>
        <v>*SOCKET0**COMPUTE0**CPU**CORE23__ML2*CR*MC3*STATUS*</v>
      </c>
      <c r="T26">
        <f>COUNTIFS(core_mc[TestName],misc[[#This Row],[CORE_MCA_String]],core_mc[VisualId],MC_Check!$H$2)</f>
        <v>0</v>
      </c>
      <c r="U26">
        <f>misc[[#This Row],[Core_ML2_Count]]+misc[[#This Row],[Core_IFU_Count]]+misc[[#This Row],[Core_DCU_Count]]+misc[[#This Row],[Core_DTLB_Count]]</f>
        <v>0</v>
      </c>
      <c r="V26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26" t="str">
        <f>_xlfn.TEXTJOIN("",,"*SOCKET0**COMPUTE",misc[[#This Row],[Compute]],"**UNCORE**SCF**SCF*LLC**SCF*LLC",misc[[#This Row],[location]],splitchar,"MCI*STATUS*")</f>
        <v>*SOCKET0**COMPUTE0**UNCORE**SCF**SCF*LLC**SCF*LLC23__MCI*STATUS*</v>
      </c>
      <c r="X26">
        <f>COUNTIFS(cha_mc[TestName],misc[[#This Row],[LLC_MCA_String]],cha_mc[VisualId],MC_Check!$H$2)</f>
        <v>0</v>
      </c>
    </row>
    <row r="27" spans="6:24" x14ac:dyDescent="0.35">
      <c r="F27">
        <v>0</v>
      </c>
      <c r="G27">
        <v>24</v>
      </c>
      <c r="H27" s="5" t="b">
        <f>misc[[#This Row],[Core_Hitter_Count]]&gt;0</f>
        <v>0</v>
      </c>
      <c r="I27" t="b">
        <f>misc[[#This Row],[LLC_Hitter_Count]]&gt;0</f>
        <v>0</v>
      </c>
      <c r="J27" t="b">
        <f>misc[[#This Row],[CHA_Hitter_Count]]&gt;0</f>
        <v>0</v>
      </c>
      <c r="K27" t="str">
        <f>_xlfn.TEXTJOIN("",,"*SOCKET0**COMPUTE",misc[[#This Row],[Compute]],"**UNCORE**CHA**CHA",misc[[#This Row],[location]],splitchar,"UTIL**MC*STATUS*")</f>
        <v>*SOCKET0**COMPUTE0**UNCORE**CHA**CHA24__UTIL**MC*STATUS*</v>
      </c>
      <c r="L27">
        <f>COUNTIFS(cha_mc[TestName],misc[[#This Row],[CHA_MCA_String]],cha_mc[VisualId],MC_Check!$H$2)</f>
        <v>0</v>
      </c>
      <c r="M27" t="str">
        <f>_xlfn.TEXTJOIN("",,"*SOCKET0**COMPUTE",misc[[#This Row],[Compute]],"**CPU**CORE",misc[[#This Row],[location]],splitchar,"THREAD"&amp;"*",splitchar,"DCU*CR*MC1*STATUS**")</f>
        <v>*SOCKET0**COMPUTE0**CPU**CORE24__THREAD*__DCU*CR*MC1*STATUS**</v>
      </c>
      <c r="N27">
        <f>COUNTIFS(core_mc[TestName],misc[[#This Row],[DCU_MCA_String]],core_mc[VisualId],MC_Check!$H$2)</f>
        <v>0</v>
      </c>
      <c r="O27" t="str">
        <f>_xlfn.TEXTJOIN("",,"*SOCKET0**COMPUTE",misc[[#This Row],[Compute]],"**CPU**CORE",misc[[#This Row],[location]],splitchar,"DTLB*CR*MC2*STATUS**")</f>
        <v>*SOCKET0**COMPUTE0**CPU**CORE24__DTLB*CR*MC2*STATUS**</v>
      </c>
      <c r="P27">
        <f>COUNTIFS(core_mc[TestName],misc[[#This Row],[DTLB_MCA_String]],core_mc[VisualId],MC_Check!$H$2)</f>
        <v>0</v>
      </c>
      <c r="Q27" t="str">
        <f>_xlfn.TEXTJOIN("",,"*SOCKET0**COMPUTE",misc[[#This Row],[Compute]],"**CPU**CORE",misc[[#This Row],[location]],splitchar,"THREAD"&amp;"*",splitchar,"IFU*CR*MC0*STATUS**")</f>
        <v>*SOCKET0**COMPUTE0**CPU**CORE24__THREAD*__IFU*CR*MC0*STATUS**</v>
      </c>
      <c r="R27">
        <f>COUNTIFS(core_mc[TestName],misc[[#This Row],[IFU_MCA_String]],core_mc[VisualId],MC_Check!$H$2)</f>
        <v>0</v>
      </c>
      <c r="S27" t="str">
        <f>_xlfn.TEXTJOIN("",,"*SOCKET0**COMPUTE",misc[[#This Row],[Compute]],"**CPU**CORE",misc[[#This Row],[location]],splitchar,"ML2*CR*MC3*STATUS*")</f>
        <v>*SOCKET0**COMPUTE0**CPU**CORE24__ML2*CR*MC3*STATUS*</v>
      </c>
      <c r="T27">
        <f>COUNTIFS(core_mc[TestName],misc[[#This Row],[CORE_MCA_String]],core_mc[VisualId],MC_Check!$H$2)</f>
        <v>0</v>
      </c>
      <c r="U27">
        <f>misc[[#This Row],[Core_ML2_Count]]+misc[[#This Row],[Core_IFU_Count]]+misc[[#This Row],[Core_DCU_Count]]+misc[[#This Row],[Core_DTLB_Count]]</f>
        <v>0</v>
      </c>
      <c r="V27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27" t="str">
        <f>_xlfn.TEXTJOIN("",,"*SOCKET0**COMPUTE",misc[[#This Row],[Compute]],"**UNCORE**SCF**SCF*LLC**SCF*LLC",misc[[#This Row],[location]],splitchar,"MCI*STATUS*")</f>
        <v>*SOCKET0**COMPUTE0**UNCORE**SCF**SCF*LLC**SCF*LLC24__MCI*STATUS*</v>
      </c>
      <c r="X27">
        <f>COUNTIFS(cha_mc[TestName],misc[[#This Row],[LLC_MCA_String]],cha_mc[VisualId],MC_Check!$H$2)</f>
        <v>0</v>
      </c>
    </row>
    <row r="28" spans="6:24" x14ac:dyDescent="0.35">
      <c r="F28">
        <v>0</v>
      </c>
      <c r="G28">
        <v>25</v>
      </c>
      <c r="H28" s="5" t="b">
        <f>misc[[#This Row],[Core_Hitter_Count]]&gt;0</f>
        <v>0</v>
      </c>
      <c r="I28" t="b">
        <f>misc[[#This Row],[LLC_Hitter_Count]]&gt;0</f>
        <v>0</v>
      </c>
      <c r="J28" t="b">
        <f>misc[[#This Row],[CHA_Hitter_Count]]&gt;0</f>
        <v>0</v>
      </c>
      <c r="K28" t="str">
        <f>_xlfn.TEXTJOIN("",,"*SOCKET0**COMPUTE",misc[[#This Row],[Compute]],"**UNCORE**CHA**CHA",misc[[#This Row],[location]],splitchar,"UTIL**MC*STATUS*")</f>
        <v>*SOCKET0**COMPUTE0**UNCORE**CHA**CHA25__UTIL**MC*STATUS*</v>
      </c>
      <c r="L28">
        <f>COUNTIFS(cha_mc[TestName],misc[[#This Row],[CHA_MCA_String]],cha_mc[VisualId],MC_Check!$H$2)</f>
        <v>0</v>
      </c>
      <c r="M28" t="str">
        <f>_xlfn.TEXTJOIN("",,"*SOCKET0**COMPUTE",misc[[#This Row],[Compute]],"**CPU**CORE",misc[[#This Row],[location]],splitchar,"THREAD"&amp;"*",splitchar,"DCU*CR*MC1*STATUS**")</f>
        <v>*SOCKET0**COMPUTE0**CPU**CORE25__THREAD*__DCU*CR*MC1*STATUS**</v>
      </c>
      <c r="N28">
        <f>COUNTIFS(core_mc[TestName],misc[[#This Row],[DCU_MCA_String]],core_mc[VisualId],MC_Check!$H$2)</f>
        <v>0</v>
      </c>
      <c r="O28" t="str">
        <f>_xlfn.TEXTJOIN("",,"*SOCKET0**COMPUTE",misc[[#This Row],[Compute]],"**CPU**CORE",misc[[#This Row],[location]],splitchar,"DTLB*CR*MC2*STATUS**")</f>
        <v>*SOCKET0**COMPUTE0**CPU**CORE25__DTLB*CR*MC2*STATUS**</v>
      </c>
      <c r="P28">
        <f>COUNTIFS(core_mc[TestName],misc[[#This Row],[DTLB_MCA_String]],core_mc[VisualId],MC_Check!$H$2)</f>
        <v>0</v>
      </c>
      <c r="Q28" t="str">
        <f>_xlfn.TEXTJOIN("",,"*SOCKET0**COMPUTE",misc[[#This Row],[Compute]],"**CPU**CORE",misc[[#This Row],[location]],splitchar,"THREAD"&amp;"*",splitchar,"IFU*CR*MC0*STATUS**")</f>
        <v>*SOCKET0**COMPUTE0**CPU**CORE25__THREAD*__IFU*CR*MC0*STATUS**</v>
      </c>
      <c r="R28">
        <f>COUNTIFS(core_mc[TestName],misc[[#This Row],[IFU_MCA_String]],core_mc[VisualId],MC_Check!$H$2)</f>
        <v>0</v>
      </c>
      <c r="S28" t="str">
        <f>_xlfn.TEXTJOIN("",,"*SOCKET0**COMPUTE",misc[[#This Row],[Compute]],"**CPU**CORE",misc[[#This Row],[location]],splitchar,"ML2*CR*MC3*STATUS*")</f>
        <v>*SOCKET0**COMPUTE0**CPU**CORE25__ML2*CR*MC3*STATUS*</v>
      </c>
      <c r="T28">
        <f>COUNTIFS(core_mc[TestName],misc[[#This Row],[CORE_MCA_String]],core_mc[VisualId],MC_Check!$H$2)</f>
        <v>0</v>
      </c>
      <c r="U28">
        <f>misc[[#This Row],[Core_ML2_Count]]+misc[[#This Row],[Core_IFU_Count]]+misc[[#This Row],[Core_DCU_Count]]+misc[[#This Row],[Core_DTLB_Count]]</f>
        <v>0</v>
      </c>
      <c r="V28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28" t="str">
        <f>_xlfn.TEXTJOIN("",,"*SOCKET0**COMPUTE",misc[[#This Row],[Compute]],"**UNCORE**SCF**SCF*LLC**SCF*LLC",misc[[#This Row],[location]],splitchar,"MCI*STATUS*")</f>
        <v>*SOCKET0**COMPUTE0**UNCORE**SCF**SCF*LLC**SCF*LLC25__MCI*STATUS*</v>
      </c>
      <c r="X28">
        <f>COUNTIFS(cha_mc[TestName],misc[[#This Row],[LLC_MCA_String]],cha_mc[VisualId],MC_Check!$H$2)</f>
        <v>0</v>
      </c>
    </row>
    <row r="29" spans="6:24" x14ac:dyDescent="0.35">
      <c r="F29">
        <v>0</v>
      </c>
      <c r="G29">
        <v>26</v>
      </c>
      <c r="H29" s="5" t="b">
        <f>misc[[#This Row],[Core_Hitter_Count]]&gt;0</f>
        <v>0</v>
      </c>
      <c r="I29" t="b">
        <f>misc[[#This Row],[LLC_Hitter_Count]]&gt;0</f>
        <v>0</v>
      </c>
      <c r="J29" t="b">
        <f>misc[[#This Row],[CHA_Hitter_Count]]&gt;0</f>
        <v>0</v>
      </c>
      <c r="K29" t="str">
        <f>_xlfn.TEXTJOIN("",,"*SOCKET0**COMPUTE",misc[[#This Row],[Compute]],"**UNCORE**CHA**CHA",misc[[#This Row],[location]],splitchar,"UTIL**MC*STATUS*")</f>
        <v>*SOCKET0**COMPUTE0**UNCORE**CHA**CHA26__UTIL**MC*STATUS*</v>
      </c>
      <c r="L29">
        <f>COUNTIFS(cha_mc[TestName],misc[[#This Row],[CHA_MCA_String]],cha_mc[VisualId],MC_Check!$H$2)</f>
        <v>0</v>
      </c>
      <c r="M29" t="str">
        <f>_xlfn.TEXTJOIN("",,"*SOCKET0**COMPUTE",misc[[#This Row],[Compute]],"**CPU**CORE",misc[[#This Row],[location]],splitchar,"THREAD"&amp;"*",splitchar,"DCU*CR*MC1*STATUS**")</f>
        <v>*SOCKET0**COMPUTE0**CPU**CORE26__THREAD*__DCU*CR*MC1*STATUS**</v>
      </c>
      <c r="N29">
        <f>COUNTIFS(core_mc[TestName],misc[[#This Row],[DCU_MCA_String]],core_mc[VisualId],MC_Check!$H$2)</f>
        <v>0</v>
      </c>
      <c r="O29" t="str">
        <f>_xlfn.TEXTJOIN("",,"*SOCKET0**COMPUTE",misc[[#This Row],[Compute]],"**CPU**CORE",misc[[#This Row],[location]],splitchar,"DTLB*CR*MC2*STATUS**")</f>
        <v>*SOCKET0**COMPUTE0**CPU**CORE26__DTLB*CR*MC2*STATUS**</v>
      </c>
      <c r="P29">
        <f>COUNTIFS(core_mc[TestName],misc[[#This Row],[DTLB_MCA_String]],core_mc[VisualId],MC_Check!$H$2)</f>
        <v>0</v>
      </c>
      <c r="Q29" t="str">
        <f>_xlfn.TEXTJOIN("",,"*SOCKET0**COMPUTE",misc[[#This Row],[Compute]],"**CPU**CORE",misc[[#This Row],[location]],splitchar,"THREAD"&amp;"*",splitchar,"IFU*CR*MC0*STATUS**")</f>
        <v>*SOCKET0**COMPUTE0**CPU**CORE26__THREAD*__IFU*CR*MC0*STATUS**</v>
      </c>
      <c r="R29">
        <f>COUNTIFS(core_mc[TestName],misc[[#This Row],[IFU_MCA_String]],core_mc[VisualId],MC_Check!$H$2)</f>
        <v>0</v>
      </c>
      <c r="S29" t="str">
        <f>_xlfn.TEXTJOIN("",,"*SOCKET0**COMPUTE",misc[[#This Row],[Compute]],"**CPU**CORE",misc[[#This Row],[location]],splitchar,"ML2*CR*MC3*STATUS*")</f>
        <v>*SOCKET0**COMPUTE0**CPU**CORE26__ML2*CR*MC3*STATUS*</v>
      </c>
      <c r="T29">
        <f>COUNTIFS(core_mc[TestName],misc[[#This Row],[CORE_MCA_String]],core_mc[VisualId],MC_Check!$H$2)</f>
        <v>0</v>
      </c>
      <c r="U29">
        <f>misc[[#This Row],[Core_ML2_Count]]+misc[[#This Row],[Core_IFU_Count]]+misc[[#This Row],[Core_DCU_Count]]+misc[[#This Row],[Core_DTLB_Count]]</f>
        <v>0</v>
      </c>
      <c r="V29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29" t="str">
        <f>_xlfn.TEXTJOIN("",,"*SOCKET0**COMPUTE",misc[[#This Row],[Compute]],"**UNCORE**SCF**SCF*LLC**SCF*LLC",misc[[#This Row],[location]],splitchar,"MCI*STATUS*")</f>
        <v>*SOCKET0**COMPUTE0**UNCORE**SCF**SCF*LLC**SCF*LLC26__MCI*STATUS*</v>
      </c>
      <c r="X29">
        <f>COUNTIFS(cha_mc[TestName],misc[[#This Row],[LLC_MCA_String]],cha_mc[VisualId],MC_Check!$H$2)</f>
        <v>0</v>
      </c>
    </row>
    <row r="30" spans="6:24" x14ac:dyDescent="0.35">
      <c r="F30">
        <v>0</v>
      </c>
      <c r="G30">
        <v>27</v>
      </c>
      <c r="H30" s="5" t="b">
        <f>misc[[#This Row],[Core_Hitter_Count]]&gt;0</f>
        <v>0</v>
      </c>
      <c r="I30" t="b">
        <f>misc[[#This Row],[LLC_Hitter_Count]]&gt;0</f>
        <v>0</v>
      </c>
      <c r="J30" t="b">
        <f>misc[[#This Row],[CHA_Hitter_Count]]&gt;0</f>
        <v>0</v>
      </c>
      <c r="K30" t="str">
        <f>_xlfn.TEXTJOIN("",,"*SOCKET0**COMPUTE",misc[[#This Row],[Compute]],"**UNCORE**CHA**CHA",misc[[#This Row],[location]],splitchar,"UTIL**MC*STATUS*")</f>
        <v>*SOCKET0**COMPUTE0**UNCORE**CHA**CHA27__UTIL**MC*STATUS*</v>
      </c>
      <c r="L30">
        <f>COUNTIFS(cha_mc[TestName],misc[[#This Row],[CHA_MCA_String]],cha_mc[VisualId],MC_Check!$H$2)</f>
        <v>0</v>
      </c>
      <c r="M30" t="str">
        <f>_xlfn.TEXTJOIN("",,"*SOCKET0**COMPUTE",misc[[#This Row],[Compute]],"**CPU**CORE",misc[[#This Row],[location]],splitchar,"THREAD"&amp;"*",splitchar,"DCU*CR*MC1*STATUS**")</f>
        <v>*SOCKET0**COMPUTE0**CPU**CORE27__THREAD*__DCU*CR*MC1*STATUS**</v>
      </c>
      <c r="N30">
        <f>COUNTIFS(core_mc[TestName],misc[[#This Row],[DCU_MCA_String]],core_mc[VisualId],MC_Check!$H$2)</f>
        <v>0</v>
      </c>
      <c r="O30" t="str">
        <f>_xlfn.TEXTJOIN("",,"*SOCKET0**COMPUTE",misc[[#This Row],[Compute]],"**CPU**CORE",misc[[#This Row],[location]],splitchar,"DTLB*CR*MC2*STATUS**")</f>
        <v>*SOCKET0**COMPUTE0**CPU**CORE27__DTLB*CR*MC2*STATUS**</v>
      </c>
      <c r="P30">
        <f>COUNTIFS(core_mc[TestName],misc[[#This Row],[DTLB_MCA_String]],core_mc[VisualId],MC_Check!$H$2)</f>
        <v>0</v>
      </c>
      <c r="Q30" t="str">
        <f>_xlfn.TEXTJOIN("",,"*SOCKET0**COMPUTE",misc[[#This Row],[Compute]],"**CPU**CORE",misc[[#This Row],[location]],splitchar,"THREAD"&amp;"*",splitchar,"IFU*CR*MC0*STATUS**")</f>
        <v>*SOCKET0**COMPUTE0**CPU**CORE27__THREAD*__IFU*CR*MC0*STATUS**</v>
      </c>
      <c r="R30">
        <f>COUNTIFS(core_mc[TestName],misc[[#This Row],[IFU_MCA_String]],core_mc[VisualId],MC_Check!$H$2)</f>
        <v>0</v>
      </c>
      <c r="S30" t="str">
        <f>_xlfn.TEXTJOIN("",,"*SOCKET0**COMPUTE",misc[[#This Row],[Compute]],"**CPU**CORE",misc[[#This Row],[location]],splitchar,"ML2*CR*MC3*STATUS*")</f>
        <v>*SOCKET0**COMPUTE0**CPU**CORE27__ML2*CR*MC3*STATUS*</v>
      </c>
      <c r="T30">
        <f>COUNTIFS(core_mc[TestName],misc[[#This Row],[CORE_MCA_String]],core_mc[VisualId],MC_Check!$H$2)</f>
        <v>0</v>
      </c>
      <c r="U30">
        <f>misc[[#This Row],[Core_ML2_Count]]+misc[[#This Row],[Core_IFU_Count]]+misc[[#This Row],[Core_DCU_Count]]+misc[[#This Row],[Core_DTLB_Count]]</f>
        <v>0</v>
      </c>
      <c r="V30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30" t="str">
        <f>_xlfn.TEXTJOIN("",,"*SOCKET0**COMPUTE",misc[[#This Row],[Compute]],"**UNCORE**SCF**SCF*LLC**SCF*LLC",misc[[#This Row],[location]],splitchar,"MCI*STATUS*")</f>
        <v>*SOCKET0**COMPUTE0**UNCORE**SCF**SCF*LLC**SCF*LLC27__MCI*STATUS*</v>
      </c>
      <c r="X30">
        <f>COUNTIFS(cha_mc[TestName],misc[[#This Row],[LLC_MCA_String]],cha_mc[VisualId],MC_Check!$H$2)</f>
        <v>0</v>
      </c>
    </row>
    <row r="31" spans="6:24" x14ac:dyDescent="0.35">
      <c r="F31">
        <v>0</v>
      </c>
      <c r="G31">
        <v>28</v>
      </c>
      <c r="H31" s="5" t="b">
        <f>misc[[#This Row],[Core_Hitter_Count]]&gt;0</f>
        <v>0</v>
      </c>
      <c r="I31" t="b">
        <f>misc[[#This Row],[LLC_Hitter_Count]]&gt;0</f>
        <v>0</v>
      </c>
      <c r="J31" t="b">
        <f>misc[[#This Row],[CHA_Hitter_Count]]&gt;0</f>
        <v>0</v>
      </c>
      <c r="K31" t="str">
        <f>_xlfn.TEXTJOIN("",,"*SOCKET0**COMPUTE",misc[[#This Row],[Compute]],"**UNCORE**CHA**CHA",misc[[#This Row],[location]],splitchar,"UTIL**MC*STATUS*")</f>
        <v>*SOCKET0**COMPUTE0**UNCORE**CHA**CHA28__UTIL**MC*STATUS*</v>
      </c>
      <c r="L31">
        <f>COUNTIFS(cha_mc[TestName],misc[[#This Row],[CHA_MCA_String]],cha_mc[VisualId],MC_Check!$H$2)</f>
        <v>0</v>
      </c>
      <c r="M31" t="str">
        <f>_xlfn.TEXTJOIN("",,"*SOCKET0**COMPUTE",misc[[#This Row],[Compute]],"**CPU**CORE",misc[[#This Row],[location]],splitchar,"THREAD"&amp;"*",splitchar,"DCU*CR*MC1*STATUS**")</f>
        <v>*SOCKET0**COMPUTE0**CPU**CORE28__THREAD*__DCU*CR*MC1*STATUS**</v>
      </c>
      <c r="N31">
        <f>COUNTIFS(core_mc[TestName],misc[[#This Row],[DCU_MCA_String]],core_mc[VisualId],MC_Check!$H$2)</f>
        <v>0</v>
      </c>
      <c r="O31" t="str">
        <f>_xlfn.TEXTJOIN("",,"*SOCKET0**COMPUTE",misc[[#This Row],[Compute]],"**CPU**CORE",misc[[#This Row],[location]],splitchar,"DTLB*CR*MC2*STATUS**")</f>
        <v>*SOCKET0**COMPUTE0**CPU**CORE28__DTLB*CR*MC2*STATUS**</v>
      </c>
      <c r="P31">
        <f>COUNTIFS(core_mc[TestName],misc[[#This Row],[DTLB_MCA_String]],core_mc[VisualId],MC_Check!$H$2)</f>
        <v>0</v>
      </c>
      <c r="Q31" t="str">
        <f>_xlfn.TEXTJOIN("",,"*SOCKET0**COMPUTE",misc[[#This Row],[Compute]],"**CPU**CORE",misc[[#This Row],[location]],splitchar,"THREAD"&amp;"*",splitchar,"IFU*CR*MC0*STATUS**")</f>
        <v>*SOCKET0**COMPUTE0**CPU**CORE28__THREAD*__IFU*CR*MC0*STATUS**</v>
      </c>
      <c r="R31">
        <f>COUNTIFS(core_mc[TestName],misc[[#This Row],[IFU_MCA_String]],core_mc[VisualId],MC_Check!$H$2)</f>
        <v>0</v>
      </c>
      <c r="S31" t="str">
        <f>_xlfn.TEXTJOIN("",,"*SOCKET0**COMPUTE",misc[[#This Row],[Compute]],"**CPU**CORE",misc[[#This Row],[location]],splitchar,"ML2*CR*MC3*STATUS*")</f>
        <v>*SOCKET0**COMPUTE0**CPU**CORE28__ML2*CR*MC3*STATUS*</v>
      </c>
      <c r="T31">
        <f>COUNTIFS(core_mc[TestName],misc[[#This Row],[CORE_MCA_String]],core_mc[VisualId],MC_Check!$H$2)</f>
        <v>0</v>
      </c>
      <c r="U31">
        <f>misc[[#This Row],[Core_ML2_Count]]+misc[[#This Row],[Core_IFU_Count]]+misc[[#This Row],[Core_DCU_Count]]+misc[[#This Row],[Core_DTLB_Count]]</f>
        <v>0</v>
      </c>
      <c r="V31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31" t="str">
        <f>_xlfn.TEXTJOIN("",,"*SOCKET0**COMPUTE",misc[[#This Row],[Compute]],"**UNCORE**SCF**SCF*LLC**SCF*LLC",misc[[#This Row],[location]],splitchar,"MCI*STATUS*")</f>
        <v>*SOCKET0**COMPUTE0**UNCORE**SCF**SCF*LLC**SCF*LLC28__MCI*STATUS*</v>
      </c>
      <c r="X31">
        <f>COUNTIFS(cha_mc[TestName],misc[[#This Row],[LLC_MCA_String]],cha_mc[VisualId],MC_Check!$H$2)</f>
        <v>0</v>
      </c>
    </row>
    <row r="32" spans="6:24" x14ac:dyDescent="0.35">
      <c r="F32">
        <v>0</v>
      </c>
      <c r="G32">
        <v>29</v>
      </c>
      <c r="H32" s="5" t="b">
        <f>misc[[#This Row],[Core_Hitter_Count]]&gt;0</f>
        <v>0</v>
      </c>
      <c r="I32" t="b">
        <f>misc[[#This Row],[LLC_Hitter_Count]]&gt;0</f>
        <v>0</v>
      </c>
      <c r="J32" t="b">
        <f>misc[[#This Row],[CHA_Hitter_Count]]&gt;0</f>
        <v>0</v>
      </c>
      <c r="K32" t="str">
        <f>_xlfn.TEXTJOIN("",,"*SOCKET0**COMPUTE",misc[[#This Row],[Compute]],"**UNCORE**CHA**CHA",misc[[#This Row],[location]],splitchar,"UTIL**MC*STATUS*")</f>
        <v>*SOCKET0**COMPUTE0**UNCORE**CHA**CHA29__UTIL**MC*STATUS*</v>
      </c>
      <c r="L32">
        <f>COUNTIFS(cha_mc[TestName],misc[[#This Row],[CHA_MCA_String]],cha_mc[VisualId],MC_Check!$H$2)</f>
        <v>0</v>
      </c>
      <c r="M32" t="str">
        <f>_xlfn.TEXTJOIN("",,"*SOCKET0**COMPUTE",misc[[#This Row],[Compute]],"**CPU**CORE",misc[[#This Row],[location]],splitchar,"THREAD"&amp;"*",splitchar,"DCU*CR*MC1*STATUS**")</f>
        <v>*SOCKET0**COMPUTE0**CPU**CORE29__THREAD*__DCU*CR*MC1*STATUS**</v>
      </c>
      <c r="N32">
        <f>COUNTIFS(core_mc[TestName],misc[[#This Row],[DCU_MCA_String]],core_mc[VisualId],MC_Check!$H$2)</f>
        <v>0</v>
      </c>
      <c r="O32" t="str">
        <f>_xlfn.TEXTJOIN("",,"*SOCKET0**COMPUTE",misc[[#This Row],[Compute]],"**CPU**CORE",misc[[#This Row],[location]],splitchar,"DTLB*CR*MC2*STATUS**")</f>
        <v>*SOCKET0**COMPUTE0**CPU**CORE29__DTLB*CR*MC2*STATUS**</v>
      </c>
      <c r="P32">
        <f>COUNTIFS(core_mc[TestName],misc[[#This Row],[DTLB_MCA_String]],core_mc[VisualId],MC_Check!$H$2)</f>
        <v>0</v>
      </c>
      <c r="Q32" t="str">
        <f>_xlfn.TEXTJOIN("",,"*SOCKET0**COMPUTE",misc[[#This Row],[Compute]],"**CPU**CORE",misc[[#This Row],[location]],splitchar,"THREAD"&amp;"*",splitchar,"IFU*CR*MC0*STATUS**")</f>
        <v>*SOCKET0**COMPUTE0**CPU**CORE29__THREAD*__IFU*CR*MC0*STATUS**</v>
      </c>
      <c r="R32">
        <f>COUNTIFS(core_mc[TestName],misc[[#This Row],[IFU_MCA_String]],core_mc[VisualId],MC_Check!$H$2)</f>
        <v>0</v>
      </c>
      <c r="S32" t="str">
        <f>_xlfn.TEXTJOIN("",,"*SOCKET0**COMPUTE",misc[[#This Row],[Compute]],"**CPU**CORE",misc[[#This Row],[location]],splitchar,"ML2*CR*MC3*STATUS*")</f>
        <v>*SOCKET0**COMPUTE0**CPU**CORE29__ML2*CR*MC3*STATUS*</v>
      </c>
      <c r="T32">
        <f>COUNTIFS(core_mc[TestName],misc[[#This Row],[CORE_MCA_String]],core_mc[VisualId],MC_Check!$H$2)</f>
        <v>0</v>
      </c>
      <c r="U32">
        <f>misc[[#This Row],[Core_ML2_Count]]+misc[[#This Row],[Core_IFU_Count]]+misc[[#This Row],[Core_DCU_Count]]+misc[[#This Row],[Core_DTLB_Count]]</f>
        <v>0</v>
      </c>
      <c r="V32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32" t="str">
        <f>_xlfn.TEXTJOIN("",,"*SOCKET0**COMPUTE",misc[[#This Row],[Compute]],"**UNCORE**SCF**SCF*LLC**SCF*LLC",misc[[#This Row],[location]],splitchar,"MCI*STATUS*")</f>
        <v>*SOCKET0**COMPUTE0**UNCORE**SCF**SCF*LLC**SCF*LLC29__MCI*STATUS*</v>
      </c>
      <c r="X32">
        <f>COUNTIFS(cha_mc[TestName],misc[[#This Row],[LLC_MCA_String]],cha_mc[VisualId],MC_Check!$H$2)</f>
        <v>0</v>
      </c>
    </row>
    <row r="33" spans="6:24" x14ac:dyDescent="0.35">
      <c r="F33">
        <v>0</v>
      </c>
      <c r="G33">
        <v>30</v>
      </c>
      <c r="H33" s="5" t="b">
        <f>misc[[#This Row],[Core_Hitter_Count]]&gt;0</f>
        <v>0</v>
      </c>
      <c r="I33" t="b">
        <f>misc[[#This Row],[LLC_Hitter_Count]]&gt;0</f>
        <v>0</v>
      </c>
      <c r="J33" t="b">
        <f>misc[[#This Row],[CHA_Hitter_Count]]&gt;0</f>
        <v>0</v>
      </c>
      <c r="K33" t="str">
        <f>_xlfn.TEXTJOIN("",,"*SOCKET0**COMPUTE",misc[[#This Row],[Compute]],"**UNCORE**CHA**CHA",misc[[#This Row],[location]],splitchar,"UTIL**MC*STATUS*")</f>
        <v>*SOCKET0**COMPUTE0**UNCORE**CHA**CHA30__UTIL**MC*STATUS*</v>
      </c>
      <c r="L33">
        <f>COUNTIFS(cha_mc[TestName],misc[[#This Row],[CHA_MCA_String]],cha_mc[VisualId],MC_Check!$H$2)</f>
        <v>0</v>
      </c>
      <c r="M33" t="str">
        <f>_xlfn.TEXTJOIN("",,"*SOCKET0**COMPUTE",misc[[#This Row],[Compute]],"**CPU**CORE",misc[[#This Row],[location]],splitchar,"THREAD"&amp;"*",splitchar,"DCU*CR*MC1*STATUS**")</f>
        <v>*SOCKET0**COMPUTE0**CPU**CORE30__THREAD*__DCU*CR*MC1*STATUS**</v>
      </c>
      <c r="N33">
        <f>COUNTIFS(core_mc[TestName],misc[[#This Row],[DCU_MCA_String]],core_mc[VisualId],MC_Check!$H$2)</f>
        <v>0</v>
      </c>
      <c r="O33" t="str">
        <f>_xlfn.TEXTJOIN("",,"*SOCKET0**COMPUTE",misc[[#This Row],[Compute]],"**CPU**CORE",misc[[#This Row],[location]],splitchar,"DTLB*CR*MC2*STATUS**")</f>
        <v>*SOCKET0**COMPUTE0**CPU**CORE30__DTLB*CR*MC2*STATUS**</v>
      </c>
      <c r="P33">
        <f>COUNTIFS(core_mc[TestName],misc[[#This Row],[DTLB_MCA_String]],core_mc[VisualId],MC_Check!$H$2)</f>
        <v>0</v>
      </c>
      <c r="Q33" t="str">
        <f>_xlfn.TEXTJOIN("",,"*SOCKET0**COMPUTE",misc[[#This Row],[Compute]],"**CPU**CORE",misc[[#This Row],[location]],splitchar,"THREAD"&amp;"*",splitchar,"IFU*CR*MC0*STATUS**")</f>
        <v>*SOCKET0**COMPUTE0**CPU**CORE30__THREAD*__IFU*CR*MC0*STATUS**</v>
      </c>
      <c r="R33">
        <f>COUNTIFS(core_mc[TestName],misc[[#This Row],[IFU_MCA_String]],core_mc[VisualId],MC_Check!$H$2)</f>
        <v>0</v>
      </c>
      <c r="S33" t="str">
        <f>_xlfn.TEXTJOIN("",,"*SOCKET0**COMPUTE",misc[[#This Row],[Compute]],"**CPU**CORE",misc[[#This Row],[location]],splitchar,"ML2*CR*MC3*STATUS*")</f>
        <v>*SOCKET0**COMPUTE0**CPU**CORE30__ML2*CR*MC3*STATUS*</v>
      </c>
      <c r="T33">
        <f>COUNTIFS(core_mc[TestName],misc[[#This Row],[CORE_MCA_String]],core_mc[VisualId],MC_Check!$H$2)</f>
        <v>0</v>
      </c>
      <c r="U33">
        <f>misc[[#This Row],[Core_ML2_Count]]+misc[[#This Row],[Core_IFU_Count]]+misc[[#This Row],[Core_DCU_Count]]+misc[[#This Row],[Core_DTLB_Count]]</f>
        <v>0</v>
      </c>
      <c r="V33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33" t="str">
        <f>_xlfn.TEXTJOIN("",,"*SOCKET0**COMPUTE",misc[[#This Row],[Compute]],"**UNCORE**SCF**SCF*LLC**SCF*LLC",misc[[#This Row],[location]],splitchar,"MCI*STATUS*")</f>
        <v>*SOCKET0**COMPUTE0**UNCORE**SCF**SCF*LLC**SCF*LLC30__MCI*STATUS*</v>
      </c>
      <c r="X33">
        <f>COUNTIFS(cha_mc[TestName],misc[[#This Row],[LLC_MCA_String]],cha_mc[VisualId],MC_Check!$H$2)</f>
        <v>0</v>
      </c>
    </row>
    <row r="34" spans="6:24" x14ac:dyDescent="0.35">
      <c r="F34">
        <v>0</v>
      </c>
      <c r="G34">
        <v>31</v>
      </c>
      <c r="H34" s="5" t="b">
        <f>misc[[#This Row],[Core_Hitter_Count]]&gt;0</f>
        <v>0</v>
      </c>
      <c r="I34" t="b">
        <f>misc[[#This Row],[LLC_Hitter_Count]]&gt;0</f>
        <v>0</v>
      </c>
      <c r="J34" t="b">
        <f>misc[[#This Row],[CHA_Hitter_Count]]&gt;0</f>
        <v>0</v>
      </c>
      <c r="K34" t="str">
        <f>_xlfn.TEXTJOIN("",,"*SOCKET0**COMPUTE",misc[[#This Row],[Compute]],"**UNCORE**CHA**CHA",misc[[#This Row],[location]],splitchar,"UTIL**MC*STATUS*")</f>
        <v>*SOCKET0**COMPUTE0**UNCORE**CHA**CHA31__UTIL**MC*STATUS*</v>
      </c>
      <c r="L34">
        <f>COUNTIFS(cha_mc[TestName],misc[[#This Row],[CHA_MCA_String]],cha_mc[VisualId],MC_Check!$H$2)</f>
        <v>0</v>
      </c>
      <c r="M34" t="str">
        <f>_xlfn.TEXTJOIN("",,"*SOCKET0**COMPUTE",misc[[#This Row],[Compute]],"**CPU**CORE",misc[[#This Row],[location]],splitchar,"THREAD"&amp;"*",splitchar,"DCU*CR*MC1*STATUS**")</f>
        <v>*SOCKET0**COMPUTE0**CPU**CORE31__THREAD*__DCU*CR*MC1*STATUS**</v>
      </c>
      <c r="N34">
        <f>COUNTIFS(core_mc[TestName],misc[[#This Row],[DCU_MCA_String]],core_mc[VisualId],MC_Check!$H$2)</f>
        <v>0</v>
      </c>
      <c r="O34" t="str">
        <f>_xlfn.TEXTJOIN("",,"*SOCKET0**COMPUTE",misc[[#This Row],[Compute]],"**CPU**CORE",misc[[#This Row],[location]],splitchar,"DTLB*CR*MC2*STATUS**")</f>
        <v>*SOCKET0**COMPUTE0**CPU**CORE31__DTLB*CR*MC2*STATUS**</v>
      </c>
      <c r="P34">
        <f>COUNTIFS(core_mc[TestName],misc[[#This Row],[DTLB_MCA_String]],core_mc[VisualId],MC_Check!$H$2)</f>
        <v>0</v>
      </c>
      <c r="Q34" t="str">
        <f>_xlfn.TEXTJOIN("",,"*SOCKET0**COMPUTE",misc[[#This Row],[Compute]],"**CPU**CORE",misc[[#This Row],[location]],splitchar,"THREAD"&amp;"*",splitchar,"IFU*CR*MC0*STATUS**")</f>
        <v>*SOCKET0**COMPUTE0**CPU**CORE31__THREAD*__IFU*CR*MC0*STATUS**</v>
      </c>
      <c r="R34">
        <f>COUNTIFS(core_mc[TestName],misc[[#This Row],[IFU_MCA_String]],core_mc[VisualId],MC_Check!$H$2)</f>
        <v>0</v>
      </c>
      <c r="S34" t="str">
        <f>_xlfn.TEXTJOIN("",,"*SOCKET0**COMPUTE",misc[[#This Row],[Compute]],"**CPU**CORE",misc[[#This Row],[location]],splitchar,"ML2*CR*MC3*STATUS*")</f>
        <v>*SOCKET0**COMPUTE0**CPU**CORE31__ML2*CR*MC3*STATUS*</v>
      </c>
      <c r="T34">
        <f>COUNTIFS(core_mc[TestName],misc[[#This Row],[CORE_MCA_String]],core_mc[VisualId],MC_Check!$H$2)</f>
        <v>0</v>
      </c>
      <c r="U34">
        <f>misc[[#This Row],[Core_ML2_Count]]+misc[[#This Row],[Core_IFU_Count]]+misc[[#This Row],[Core_DCU_Count]]+misc[[#This Row],[Core_DTLB_Count]]</f>
        <v>0</v>
      </c>
      <c r="V34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34" t="str">
        <f>_xlfn.TEXTJOIN("",,"*SOCKET0**COMPUTE",misc[[#This Row],[Compute]],"**UNCORE**SCF**SCF*LLC**SCF*LLC",misc[[#This Row],[location]],splitchar,"MCI*STATUS*")</f>
        <v>*SOCKET0**COMPUTE0**UNCORE**SCF**SCF*LLC**SCF*LLC31__MCI*STATUS*</v>
      </c>
      <c r="X34">
        <f>COUNTIFS(cha_mc[TestName],misc[[#This Row],[LLC_MCA_String]],cha_mc[VisualId],MC_Check!$H$2)</f>
        <v>0</v>
      </c>
    </row>
    <row r="35" spans="6:24" x14ac:dyDescent="0.35">
      <c r="F35">
        <v>0</v>
      </c>
      <c r="G35">
        <v>32</v>
      </c>
      <c r="H35" s="5" t="b">
        <f>misc[[#This Row],[Core_Hitter_Count]]&gt;0</f>
        <v>0</v>
      </c>
      <c r="I35" t="b">
        <f>misc[[#This Row],[LLC_Hitter_Count]]&gt;0</f>
        <v>0</v>
      </c>
      <c r="J35" t="b">
        <f>misc[[#This Row],[CHA_Hitter_Count]]&gt;0</f>
        <v>0</v>
      </c>
      <c r="K35" t="str">
        <f>_xlfn.TEXTJOIN("",,"*SOCKET0**COMPUTE",misc[[#This Row],[Compute]],"**UNCORE**CHA**CHA",misc[[#This Row],[location]],splitchar,"UTIL**MC*STATUS*")</f>
        <v>*SOCKET0**COMPUTE0**UNCORE**CHA**CHA32__UTIL**MC*STATUS*</v>
      </c>
      <c r="L35">
        <f>COUNTIFS(cha_mc[TestName],misc[[#This Row],[CHA_MCA_String]],cha_mc[VisualId],MC_Check!$H$2)</f>
        <v>0</v>
      </c>
      <c r="M35" t="str">
        <f>_xlfn.TEXTJOIN("",,"*SOCKET0**COMPUTE",misc[[#This Row],[Compute]],"**CPU**CORE",misc[[#This Row],[location]],splitchar,"THREAD"&amp;"*",splitchar,"DCU*CR*MC1*STATUS**")</f>
        <v>*SOCKET0**COMPUTE0**CPU**CORE32__THREAD*__DCU*CR*MC1*STATUS**</v>
      </c>
      <c r="N35">
        <f>COUNTIFS(core_mc[TestName],misc[[#This Row],[DCU_MCA_String]],core_mc[VisualId],MC_Check!$H$2)</f>
        <v>0</v>
      </c>
      <c r="O35" t="str">
        <f>_xlfn.TEXTJOIN("",,"*SOCKET0**COMPUTE",misc[[#This Row],[Compute]],"**CPU**CORE",misc[[#This Row],[location]],splitchar,"DTLB*CR*MC2*STATUS**")</f>
        <v>*SOCKET0**COMPUTE0**CPU**CORE32__DTLB*CR*MC2*STATUS**</v>
      </c>
      <c r="P35">
        <f>COUNTIFS(core_mc[TestName],misc[[#This Row],[DTLB_MCA_String]],core_mc[VisualId],MC_Check!$H$2)</f>
        <v>0</v>
      </c>
      <c r="Q35" t="str">
        <f>_xlfn.TEXTJOIN("",,"*SOCKET0**COMPUTE",misc[[#This Row],[Compute]],"**CPU**CORE",misc[[#This Row],[location]],splitchar,"THREAD"&amp;"*",splitchar,"IFU*CR*MC0*STATUS**")</f>
        <v>*SOCKET0**COMPUTE0**CPU**CORE32__THREAD*__IFU*CR*MC0*STATUS**</v>
      </c>
      <c r="R35">
        <f>COUNTIFS(core_mc[TestName],misc[[#This Row],[IFU_MCA_String]],core_mc[VisualId],MC_Check!$H$2)</f>
        <v>0</v>
      </c>
      <c r="S35" t="str">
        <f>_xlfn.TEXTJOIN("",,"*SOCKET0**COMPUTE",misc[[#This Row],[Compute]],"**CPU**CORE",misc[[#This Row],[location]],splitchar,"ML2*CR*MC3*STATUS*")</f>
        <v>*SOCKET0**COMPUTE0**CPU**CORE32__ML2*CR*MC3*STATUS*</v>
      </c>
      <c r="T35">
        <f>COUNTIFS(core_mc[TestName],misc[[#This Row],[CORE_MCA_String]],core_mc[VisualId],MC_Check!$H$2)</f>
        <v>0</v>
      </c>
      <c r="U35">
        <f>misc[[#This Row],[Core_ML2_Count]]+misc[[#This Row],[Core_IFU_Count]]+misc[[#This Row],[Core_DCU_Count]]+misc[[#This Row],[Core_DTLB_Count]]</f>
        <v>0</v>
      </c>
      <c r="V35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35" t="str">
        <f>_xlfn.TEXTJOIN("",,"*SOCKET0**COMPUTE",misc[[#This Row],[Compute]],"**UNCORE**SCF**SCF*LLC**SCF*LLC",misc[[#This Row],[location]],splitchar,"MCI*STATUS*")</f>
        <v>*SOCKET0**COMPUTE0**UNCORE**SCF**SCF*LLC**SCF*LLC32__MCI*STATUS*</v>
      </c>
      <c r="X35">
        <f>COUNTIFS(cha_mc[TestName],misc[[#This Row],[LLC_MCA_String]],cha_mc[VisualId],MC_Check!$H$2)</f>
        <v>0</v>
      </c>
    </row>
    <row r="36" spans="6:24" x14ac:dyDescent="0.35">
      <c r="F36">
        <v>0</v>
      </c>
      <c r="G36">
        <v>33</v>
      </c>
      <c r="H36" s="5" t="b">
        <f>misc[[#This Row],[Core_Hitter_Count]]&gt;0</f>
        <v>0</v>
      </c>
      <c r="I36" t="b">
        <f>misc[[#This Row],[LLC_Hitter_Count]]&gt;0</f>
        <v>0</v>
      </c>
      <c r="J36" t="b">
        <f>misc[[#This Row],[CHA_Hitter_Count]]&gt;0</f>
        <v>0</v>
      </c>
      <c r="K36" t="str">
        <f>_xlfn.TEXTJOIN("",,"*SOCKET0**COMPUTE",misc[[#This Row],[Compute]],"**UNCORE**CHA**CHA",misc[[#This Row],[location]],splitchar,"UTIL**MC*STATUS*")</f>
        <v>*SOCKET0**COMPUTE0**UNCORE**CHA**CHA33__UTIL**MC*STATUS*</v>
      </c>
      <c r="L36">
        <f>COUNTIFS(cha_mc[TestName],misc[[#This Row],[CHA_MCA_String]],cha_mc[VisualId],MC_Check!$H$2)</f>
        <v>0</v>
      </c>
      <c r="M36" t="str">
        <f>_xlfn.TEXTJOIN("",,"*SOCKET0**COMPUTE",misc[[#This Row],[Compute]],"**CPU**CORE",misc[[#This Row],[location]],splitchar,"THREAD"&amp;"*",splitchar,"DCU*CR*MC1*STATUS**")</f>
        <v>*SOCKET0**COMPUTE0**CPU**CORE33__THREAD*__DCU*CR*MC1*STATUS**</v>
      </c>
      <c r="N36">
        <f>COUNTIFS(core_mc[TestName],misc[[#This Row],[DCU_MCA_String]],core_mc[VisualId],MC_Check!$H$2)</f>
        <v>0</v>
      </c>
      <c r="O36" t="str">
        <f>_xlfn.TEXTJOIN("",,"*SOCKET0**COMPUTE",misc[[#This Row],[Compute]],"**CPU**CORE",misc[[#This Row],[location]],splitchar,"DTLB*CR*MC2*STATUS**")</f>
        <v>*SOCKET0**COMPUTE0**CPU**CORE33__DTLB*CR*MC2*STATUS**</v>
      </c>
      <c r="P36">
        <f>COUNTIFS(core_mc[TestName],misc[[#This Row],[DTLB_MCA_String]],core_mc[VisualId],MC_Check!$H$2)</f>
        <v>0</v>
      </c>
      <c r="Q36" t="str">
        <f>_xlfn.TEXTJOIN("",,"*SOCKET0**COMPUTE",misc[[#This Row],[Compute]],"**CPU**CORE",misc[[#This Row],[location]],splitchar,"THREAD"&amp;"*",splitchar,"IFU*CR*MC0*STATUS**")</f>
        <v>*SOCKET0**COMPUTE0**CPU**CORE33__THREAD*__IFU*CR*MC0*STATUS**</v>
      </c>
      <c r="R36">
        <f>COUNTIFS(core_mc[TestName],misc[[#This Row],[IFU_MCA_String]],core_mc[VisualId],MC_Check!$H$2)</f>
        <v>0</v>
      </c>
      <c r="S36" t="str">
        <f>_xlfn.TEXTJOIN("",,"*SOCKET0**COMPUTE",misc[[#This Row],[Compute]],"**CPU**CORE",misc[[#This Row],[location]],splitchar,"ML2*CR*MC3*STATUS*")</f>
        <v>*SOCKET0**COMPUTE0**CPU**CORE33__ML2*CR*MC3*STATUS*</v>
      </c>
      <c r="T36">
        <f>COUNTIFS(core_mc[TestName],misc[[#This Row],[CORE_MCA_String]],core_mc[VisualId],MC_Check!$H$2)</f>
        <v>0</v>
      </c>
      <c r="U36">
        <f>misc[[#This Row],[Core_ML2_Count]]+misc[[#This Row],[Core_IFU_Count]]+misc[[#This Row],[Core_DCU_Count]]+misc[[#This Row],[Core_DTLB_Count]]</f>
        <v>0</v>
      </c>
      <c r="V36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36" t="str">
        <f>_xlfn.TEXTJOIN("",,"*SOCKET0**COMPUTE",misc[[#This Row],[Compute]],"**UNCORE**SCF**SCF*LLC**SCF*LLC",misc[[#This Row],[location]],splitchar,"MCI*STATUS*")</f>
        <v>*SOCKET0**COMPUTE0**UNCORE**SCF**SCF*LLC**SCF*LLC33__MCI*STATUS*</v>
      </c>
      <c r="X36">
        <f>COUNTIFS(cha_mc[TestName],misc[[#This Row],[LLC_MCA_String]],cha_mc[VisualId],MC_Check!$H$2)</f>
        <v>0</v>
      </c>
    </row>
    <row r="37" spans="6:24" x14ac:dyDescent="0.35">
      <c r="F37">
        <v>0</v>
      </c>
      <c r="G37">
        <v>34</v>
      </c>
      <c r="H37" s="5" t="b">
        <f>misc[[#This Row],[Core_Hitter_Count]]&gt;0</f>
        <v>0</v>
      </c>
      <c r="I37" t="b">
        <f>misc[[#This Row],[LLC_Hitter_Count]]&gt;0</f>
        <v>0</v>
      </c>
      <c r="J37" t="b">
        <f>misc[[#This Row],[CHA_Hitter_Count]]&gt;0</f>
        <v>0</v>
      </c>
      <c r="K37" t="str">
        <f>_xlfn.TEXTJOIN("",,"*SOCKET0**COMPUTE",misc[[#This Row],[Compute]],"**UNCORE**CHA**CHA",misc[[#This Row],[location]],splitchar,"UTIL**MC*STATUS*")</f>
        <v>*SOCKET0**COMPUTE0**UNCORE**CHA**CHA34__UTIL**MC*STATUS*</v>
      </c>
      <c r="L37">
        <f>COUNTIFS(cha_mc[TestName],misc[[#This Row],[CHA_MCA_String]],cha_mc[VisualId],MC_Check!$H$2)</f>
        <v>0</v>
      </c>
      <c r="M37" t="str">
        <f>_xlfn.TEXTJOIN("",,"*SOCKET0**COMPUTE",misc[[#This Row],[Compute]],"**CPU**CORE",misc[[#This Row],[location]],splitchar,"THREAD"&amp;"*",splitchar,"DCU*CR*MC1*STATUS**")</f>
        <v>*SOCKET0**COMPUTE0**CPU**CORE34__THREAD*__DCU*CR*MC1*STATUS**</v>
      </c>
      <c r="N37">
        <f>COUNTIFS(core_mc[TestName],misc[[#This Row],[DCU_MCA_String]],core_mc[VisualId],MC_Check!$H$2)</f>
        <v>0</v>
      </c>
      <c r="O37" t="str">
        <f>_xlfn.TEXTJOIN("",,"*SOCKET0**COMPUTE",misc[[#This Row],[Compute]],"**CPU**CORE",misc[[#This Row],[location]],splitchar,"DTLB*CR*MC2*STATUS**")</f>
        <v>*SOCKET0**COMPUTE0**CPU**CORE34__DTLB*CR*MC2*STATUS**</v>
      </c>
      <c r="P37">
        <f>COUNTIFS(core_mc[TestName],misc[[#This Row],[DTLB_MCA_String]],core_mc[VisualId],MC_Check!$H$2)</f>
        <v>0</v>
      </c>
      <c r="Q37" t="str">
        <f>_xlfn.TEXTJOIN("",,"*SOCKET0**COMPUTE",misc[[#This Row],[Compute]],"**CPU**CORE",misc[[#This Row],[location]],splitchar,"THREAD"&amp;"*",splitchar,"IFU*CR*MC0*STATUS**")</f>
        <v>*SOCKET0**COMPUTE0**CPU**CORE34__THREAD*__IFU*CR*MC0*STATUS**</v>
      </c>
      <c r="R37">
        <f>COUNTIFS(core_mc[TestName],misc[[#This Row],[IFU_MCA_String]],core_mc[VisualId],MC_Check!$H$2)</f>
        <v>0</v>
      </c>
      <c r="S37" t="str">
        <f>_xlfn.TEXTJOIN("",,"*SOCKET0**COMPUTE",misc[[#This Row],[Compute]],"**CPU**CORE",misc[[#This Row],[location]],splitchar,"ML2*CR*MC3*STATUS*")</f>
        <v>*SOCKET0**COMPUTE0**CPU**CORE34__ML2*CR*MC3*STATUS*</v>
      </c>
      <c r="T37">
        <f>COUNTIFS(core_mc[TestName],misc[[#This Row],[CORE_MCA_String]],core_mc[VisualId],MC_Check!$H$2)</f>
        <v>0</v>
      </c>
      <c r="U37">
        <f>misc[[#This Row],[Core_ML2_Count]]+misc[[#This Row],[Core_IFU_Count]]+misc[[#This Row],[Core_DCU_Count]]+misc[[#This Row],[Core_DTLB_Count]]</f>
        <v>0</v>
      </c>
      <c r="V37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37" t="str">
        <f>_xlfn.TEXTJOIN("",,"*SOCKET0**COMPUTE",misc[[#This Row],[Compute]],"**UNCORE**SCF**SCF*LLC**SCF*LLC",misc[[#This Row],[location]],splitchar,"MCI*STATUS*")</f>
        <v>*SOCKET0**COMPUTE0**UNCORE**SCF**SCF*LLC**SCF*LLC34__MCI*STATUS*</v>
      </c>
      <c r="X37">
        <f>COUNTIFS(cha_mc[TestName],misc[[#This Row],[LLC_MCA_String]],cha_mc[VisualId],MC_Check!$H$2)</f>
        <v>0</v>
      </c>
    </row>
    <row r="38" spans="6:24" x14ac:dyDescent="0.35">
      <c r="F38">
        <v>0</v>
      </c>
      <c r="G38">
        <v>35</v>
      </c>
      <c r="H38" s="5" t="b">
        <f>misc[[#This Row],[Core_Hitter_Count]]&gt;0</f>
        <v>0</v>
      </c>
      <c r="I38" t="b">
        <f>misc[[#This Row],[LLC_Hitter_Count]]&gt;0</f>
        <v>0</v>
      </c>
      <c r="J38" t="b">
        <f>misc[[#This Row],[CHA_Hitter_Count]]&gt;0</f>
        <v>0</v>
      </c>
      <c r="K38" t="str">
        <f>_xlfn.TEXTJOIN("",,"*SOCKET0**COMPUTE",misc[[#This Row],[Compute]],"**UNCORE**CHA**CHA",misc[[#This Row],[location]],splitchar,"UTIL**MC*STATUS*")</f>
        <v>*SOCKET0**COMPUTE0**UNCORE**CHA**CHA35__UTIL**MC*STATUS*</v>
      </c>
      <c r="L38">
        <f>COUNTIFS(cha_mc[TestName],misc[[#This Row],[CHA_MCA_String]],cha_mc[VisualId],MC_Check!$H$2)</f>
        <v>0</v>
      </c>
      <c r="M38" t="str">
        <f>_xlfn.TEXTJOIN("",,"*SOCKET0**COMPUTE",misc[[#This Row],[Compute]],"**CPU**CORE",misc[[#This Row],[location]],splitchar,"THREAD"&amp;"*",splitchar,"DCU*CR*MC1*STATUS**")</f>
        <v>*SOCKET0**COMPUTE0**CPU**CORE35__THREAD*__DCU*CR*MC1*STATUS**</v>
      </c>
      <c r="N38">
        <f>COUNTIFS(core_mc[TestName],misc[[#This Row],[DCU_MCA_String]],core_mc[VisualId],MC_Check!$H$2)</f>
        <v>0</v>
      </c>
      <c r="O38" t="str">
        <f>_xlfn.TEXTJOIN("",,"*SOCKET0**COMPUTE",misc[[#This Row],[Compute]],"**CPU**CORE",misc[[#This Row],[location]],splitchar,"DTLB*CR*MC2*STATUS**")</f>
        <v>*SOCKET0**COMPUTE0**CPU**CORE35__DTLB*CR*MC2*STATUS**</v>
      </c>
      <c r="P38">
        <f>COUNTIFS(core_mc[TestName],misc[[#This Row],[DTLB_MCA_String]],core_mc[VisualId],MC_Check!$H$2)</f>
        <v>0</v>
      </c>
      <c r="Q38" t="str">
        <f>_xlfn.TEXTJOIN("",,"*SOCKET0**COMPUTE",misc[[#This Row],[Compute]],"**CPU**CORE",misc[[#This Row],[location]],splitchar,"THREAD"&amp;"*",splitchar,"IFU*CR*MC0*STATUS**")</f>
        <v>*SOCKET0**COMPUTE0**CPU**CORE35__THREAD*__IFU*CR*MC0*STATUS**</v>
      </c>
      <c r="R38">
        <f>COUNTIFS(core_mc[TestName],misc[[#This Row],[IFU_MCA_String]],core_mc[VisualId],MC_Check!$H$2)</f>
        <v>0</v>
      </c>
      <c r="S38" t="str">
        <f>_xlfn.TEXTJOIN("",,"*SOCKET0**COMPUTE",misc[[#This Row],[Compute]],"**CPU**CORE",misc[[#This Row],[location]],splitchar,"ML2*CR*MC3*STATUS*")</f>
        <v>*SOCKET0**COMPUTE0**CPU**CORE35__ML2*CR*MC3*STATUS*</v>
      </c>
      <c r="T38">
        <f>COUNTIFS(core_mc[TestName],misc[[#This Row],[CORE_MCA_String]],core_mc[VisualId],MC_Check!$H$2)</f>
        <v>0</v>
      </c>
      <c r="U38">
        <f>misc[[#This Row],[Core_ML2_Count]]+misc[[#This Row],[Core_IFU_Count]]+misc[[#This Row],[Core_DCU_Count]]+misc[[#This Row],[Core_DTLB_Count]]</f>
        <v>0</v>
      </c>
      <c r="V38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38" t="str">
        <f>_xlfn.TEXTJOIN("",,"*SOCKET0**COMPUTE",misc[[#This Row],[Compute]],"**UNCORE**SCF**SCF*LLC**SCF*LLC",misc[[#This Row],[location]],splitchar,"MCI*STATUS*")</f>
        <v>*SOCKET0**COMPUTE0**UNCORE**SCF**SCF*LLC**SCF*LLC35__MCI*STATUS*</v>
      </c>
      <c r="X38">
        <f>COUNTIFS(cha_mc[TestName],misc[[#This Row],[LLC_MCA_String]],cha_mc[VisualId],MC_Check!$H$2)</f>
        <v>0</v>
      </c>
    </row>
    <row r="39" spans="6:24" x14ac:dyDescent="0.35">
      <c r="F39">
        <v>0</v>
      </c>
      <c r="G39">
        <v>36</v>
      </c>
      <c r="H39" s="5" t="b">
        <f>misc[[#This Row],[Core_Hitter_Count]]&gt;0</f>
        <v>0</v>
      </c>
      <c r="I39" t="b">
        <f>misc[[#This Row],[LLC_Hitter_Count]]&gt;0</f>
        <v>0</v>
      </c>
      <c r="J39" t="b">
        <f>misc[[#This Row],[CHA_Hitter_Count]]&gt;0</f>
        <v>0</v>
      </c>
      <c r="K39" t="str">
        <f>_xlfn.TEXTJOIN("",,"*SOCKET0**COMPUTE",misc[[#This Row],[Compute]],"**UNCORE**CHA**CHA",misc[[#This Row],[location]],splitchar,"UTIL**MC*STATUS*")</f>
        <v>*SOCKET0**COMPUTE0**UNCORE**CHA**CHA36__UTIL**MC*STATUS*</v>
      </c>
      <c r="L39">
        <f>COUNTIFS(cha_mc[TestName],misc[[#This Row],[CHA_MCA_String]],cha_mc[VisualId],MC_Check!$H$2)</f>
        <v>0</v>
      </c>
      <c r="M39" t="str">
        <f>_xlfn.TEXTJOIN("",,"*SOCKET0**COMPUTE",misc[[#This Row],[Compute]],"**CPU**CORE",misc[[#This Row],[location]],splitchar,"THREAD"&amp;"*",splitchar,"DCU*CR*MC1*STATUS**")</f>
        <v>*SOCKET0**COMPUTE0**CPU**CORE36__THREAD*__DCU*CR*MC1*STATUS**</v>
      </c>
      <c r="N39">
        <f>COUNTIFS(core_mc[TestName],misc[[#This Row],[DCU_MCA_String]],core_mc[VisualId],MC_Check!$H$2)</f>
        <v>0</v>
      </c>
      <c r="O39" t="str">
        <f>_xlfn.TEXTJOIN("",,"*SOCKET0**COMPUTE",misc[[#This Row],[Compute]],"**CPU**CORE",misc[[#This Row],[location]],splitchar,"DTLB*CR*MC2*STATUS**")</f>
        <v>*SOCKET0**COMPUTE0**CPU**CORE36__DTLB*CR*MC2*STATUS**</v>
      </c>
      <c r="P39">
        <f>COUNTIFS(core_mc[TestName],misc[[#This Row],[DTLB_MCA_String]],core_mc[VisualId],MC_Check!$H$2)</f>
        <v>0</v>
      </c>
      <c r="Q39" t="str">
        <f>_xlfn.TEXTJOIN("",,"*SOCKET0**COMPUTE",misc[[#This Row],[Compute]],"**CPU**CORE",misc[[#This Row],[location]],splitchar,"THREAD"&amp;"*",splitchar,"IFU*CR*MC0*STATUS**")</f>
        <v>*SOCKET0**COMPUTE0**CPU**CORE36__THREAD*__IFU*CR*MC0*STATUS**</v>
      </c>
      <c r="R39">
        <f>COUNTIFS(core_mc[TestName],misc[[#This Row],[IFU_MCA_String]],core_mc[VisualId],MC_Check!$H$2)</f>
        <v>0</v>
      </c>
      <c r="S39" t="str">
        <f>_xlfn.TEXTJOIN("",,"*SOCKET0**COMPUTE",misc[[#This Row],[Compute]],"**CPU**CORE",misc[[#This Row],[location]],splitchar,"ML2*CR*MC3*STATUS*")</f>
        <v>*SOCKET0**COMPUTE0**CPU**CORE36__ML2*CR*MC3*STATUS*</v>
      </c>
      <c r="T39">
        <f>COUNTIFS(core_mc[TestName],misc[[#This Row],[CORE_MCA_String]],core_mc[VisualId],MC_Check!$H$2)</f>
        <v>0</v>
      </c>
      <c r="U39">
        <f>misc[[#This Row],[Core_ML2_Count]]+misc[[#This Row],[Core_IFU_Count]]+misc[[#This Row],[Core_DCU_Count]]+misc[[#This Row],[Core_DTLB_Count]]</f>
        <v>0</v>
      </c>
      <c r="V39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39" t="str">
        <f>_xlfn.TEXTJOIN("",,"*SOCKET0**COMPUTE",misc[[#This Row],[Compute]],"**UNCORE**SCF**SCF*LLC**SCF*LLC",misc[[#This Row],[location]],splitchar,"MCI*STATUS*")</f>
        <v>*SOCKET0**COMPUTE0**UNCORE**SCF**SCF*LLC**SCF*LLC36__MCI*STATUS*</v>
      </c>
      <c r="X39">
        <f>COUNTIFS(cha_mc[TestName],misc[[#This Row],[LLC_MCA_String]],cha_mc[VisualId],MC_Check!$H$2)</f>
        <v>0</v>
      </c>
    </row>
    <row r="40" spans="6:24" x14ac:dyDescent="0.35">
      <c r="F40">
        <v>0</v>
      </c>
      <c r="G40">
        <v>37</v>
      </c>
      <c r="H40" s="5" t="b">
        <f>misc[[#This Row],[Core_Hitter_Count]]&gt;0</f>
        <v>0</v>
      </c>
      <c r="I40" t="b">
        <f>misc[[#This Row],[LLC_Hitter_Count]]&gt;0</f>
        <v>0</v>
      </c>
      <c r="J40" t="b">
        <f>misc[[#This Row],[CHA_Hitter_Count]]&gt;0</f>
        <v>0</v>
      </c>
      <c r="K40" t="str">
        <f>_xlfn.TEXTJOIN("",,"*SOCKET0**COMPUTE",misc[[#This Row],[Compute]],"**UNCORE**CHA**CHA",misc[[#This Row],[location]],splitchar,"UTIL**MC*STATUS*")</f>
        <v>*SOCKET0**COMPUTE0**UNCORE**CHA**CHA37__UTIL**MC*STATUS*</v>
      </c>
      <c r="L40">
        <f>COUNTIFS(cha_mc[TestName],misc[[#This Row],[CHA_MCA_String]],cha_mc[VisualId],MC_Check!$H$2)</f>
        <v>0</v>
      </c>
      <c r="M40" t="str">
        <f>_xlfn.TEXTJOIN("",,"*SOCKET0**COMPUTE",misc[[#This Row],[Compute]],"**CPU**CORE",misc[[#This Row],[location]],splitchar,"THREAD"&amp;"*",splitchar,"DCU*CR*MC1*STATUS**")</f>
        <v>*SOCKET0**COMPUTE0**CPU**CORE37__THREAD*__DCU*CR*MC1*STATUS**</v>
      </c>
      <c r="N40">
        <f>COUNTIFS(core_mc[TestName],misc[[#This Row],[DCU_MCA_String]],core_mc[VisualId],MC_Check!$H$2)</f>
        <v>0</v>
      </c>
      <c r="O40" t="str">
        <f>_xlfn.TEXTJOIN("",,"*SOCKET0**COMPUTE",misc[[#This Row],[Compute]],"**CPU**CORE",misc[[#This Row],[location]],splitchar,"DTLB*CR*MC2*STATUS**")</f>
        <v>*SOCKET0**COMPUTE0**CPU**CORE37__DTLB*CR*MC2*STATUS**</v>
      </c>
      <c r="P40">
        <f>COUNTIFS(core_mc[TestName],misc[[#This Row],[DTLB_MCA_String]],core_mc[VisualId],MC_Check!$H$2)</f>
        <v>0</v>
      </c>
      <c r="Q40" t="str">
        <f>_xlfn.TEXTJOIN("",,"*SOCKET0**COMPUTE",misc[[#This Row],[Compute]],"**CPU**CORE",misc[[#This Row],[location]],splitchar,"THREAD"&amp;"*",splitchar,"IFU*CR*MC0*STATUS**")</f>
        <v>*SOCKET0**COMPUTE0**CPU**CORE37__THREAD*__IFU*CR*MC0*STATUS**</v>
      </c>
      <c r="R40">
        <f>COUNTIFS(core_mc[TestName],misc[[#This Row],[IFU_MCA_String]],core_mc[VisualId],MC_Check!$H$2)</f>
        <v>0</v>
      </c>
      <c r="S40" t="str">
        <f>_xlfn.TEXTJOIN("",,"*SOCKET0**COMPUTE",misc[[#This Row],[Compute]],"**CPU**CORE",misc[[#This Row],[location]],splitchar,"ML2*CR*MC3*STATUS*")</f>
        <v>*SOCKET0**COMPUTE0**CPU**CORE37__ML2*CR*MC3*STATUS*</v>
      </c>
      <c r="T40">
        <f>COUNTIFS(core_mc[TestName],misc[[#This Row],[CORE_MCA_String]],core_mc[VisualId],MC_Check!$H$2)</f>
        <v>0</v>
      </c>
      <c r="U40">
        <f>misc[[#This Row],[Core_ML2_Count]]+misc[[#This Row],[Core_IFU_Count]]+misc[[#This Row],[Core_DCU_Count]]+misc[[#This Row],[Core_DTLB_Count]]</f>
        <v>0</v>
      </c>
      <c r="V40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40" t="str">
        <f>_xlfn.TEXTJOIN("",,"*SOCKET0**COMPUTE",misc[[#This Row],[Compute]],"**UNCORE**SCF**SCF*LLC**SCF*LLC",misc[[#This Row],[location]],splitchar,"MCI*STATUS*")</f>
        <v>*SOCKET0**COMPUTE0**UNCORE**SCF**SCF*LLC**SCF*LLC37__MCI*STATUS*</v>
      </c>
      <c r="X40">
        <f>COUNTIFS(cha_mc[TestName],misc[[#This Row],[LLC_MCA_String]],cha_mc[VisualId],MC_Check!$H$2)</f>
        <v>0</v>
      </c>
    </row>
    <row r="41" spans="6:24" x14ac:dyDescent="0.35">
      <c r="F41">
        <v>0</v>
      </c>
      <c r="G41">
        <v>38</v>
      </c>
      <c r="H41" s="5" t="b">
        <f>misc[[#This Row],[Core_Hitter_Count]]&gt;0</f>
        <v>0</v>
      </c>
      <c r="I41" t="b">
        <f>misc[[#This Row],[LLC_Hitter_Count]]&gt;0</f>
        <v>0</v>
      </c>
      <c r="J41" t="b">
        <f>misc[[#This Row],[CHA_Hitter_Count]]&gt;0</f>
        <v>0</v>
      </c>
      <c r="K41" t="str">
        <f>_xlfn.TEXTJOIN("",,"*SOCKET0**COMPUTE",misc[[#This Row],[Compute]],"**UNCORE**CHA**CHA",misc[[#This Row],[location]],splitchar,"UTIL**MC*STATUS*")</f>
        <v>*SOCKET0**COMPUTE0**UNCORE**CHA**CHA38__UTIL**MC*STATUS*</v>
      </c>
      <c r="L41">
        <f>COUNTIFS(cha_mc[TestName],misc[[#This Row],[CHA_MCA_String]],cha_mc[VisualId],MC_Check!$H$2)</f>
        <v>0</v>
      </c>
      <c r="M41" t="str">
        <f>_xlfn.TEXTJOIN("",,"*SOCKET0**COMPUTE",misc[[#This Row],[Compute]],"**CPU**CORE",misc[[#This Row],[location]],splitchar,"THREAD"&amp;"*",splitchar,"DCU*CR*MC1*STATUS**")</f>
        <v>*SOCKET0**COMPUTE0**CPU**CORE38__THREAD*__DCU*CR*MC1*STATUS**</v>
      </c>
      <c r="N41">
        <f>COUNTIFS(core_mc[TestName],misc[[#This Row],[DCU_MCA_String]],core_mc[VisualId],MC_Check!$H$2)</f>
        <v>0</v>
      </c>
      <c r="O41" t="str">
        <f>_xlfn.TEXTJOIN("",,"*SOCKET0**COMPUTE",misc[[#This Row],[Compute]],"**CPU**CORE",misc[[#This Row],[location]],splitchar,"DTLB*CR*MC2*STATUS**")</f>
        <v>*SOCKET0**COMPUTE0**CPU**CORE38__DTLB*CR*MC2*STATUS**</v>
      </c>
      <c r="P41">
        <f>COUNTIFS(core_mc[TestName],misc[[#This Row],[DTLB_MCA_String]],core_mc[VisualId],MC_Check!$H$2)</f>
        <v>0</v>
      </c>
      <c r="Q41" t="str">
        <f>_xlfn.TEXTJOIN("",,"*SOCKET0**COMPUTE",misc[[#This Row],[Compute]],"**CPU**CORE",misc[[#This Row],[location]],splitchar,"THREAD"&amp;"*",splitchar,"IFU*CR*MC0*STATUS**")</f>
        <v>*SOCKET0**COMPUTE0**CPU**CORE38__THREAD*__IFU*CR*MC0*STATUS**</v>
      </c>
      <c r="R41">
        <f>COUNTIFS(core_mc[TestName],misc[[#This Row],[IFU_MCA_String]],core_mc[VisualId],MC_Check!$H$2)</f>
        <v>0</v>
      </c>
      <c r="S41" t="str">
        <f>_xlfn.TEXTJOIN("",,"*SOCKET0**COMPUTE",misc[[#This Row],[Compute]],"**CPU**CORE",misc[[#This Row],[location]],splitchar,"ML2*CR*MC3*STATUS*")</f>
        <v>*SOCKET0**COMPUTE0**CPU**CORE38__ML2*CR*MC3*STATUS*</v>
      </c>
      <c r="T41">
        <f>COUNTIFS(core_mc[TestName],misc[[#This Row],[CORE_MCA_String]],core_mc[VisualId],MC_Check!$H$2)</f>
        <v>0</v>
      </c>
      <c r="U41">
        <f>misc[[#This Row],[Core_ML2_Count]]+misc[[#This Row],[Core_IFU_Count]]+misc[[#This Row],[Core_DCU_Count]]+misc[[#This Row],[Core_DTLB_Count]]</f>
        <v>0</v>
      </c>
      <c r="V41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41" t="str">
        <f>_xlfn.TEXTJOIN("",,"*SOCKET0**COMPUTE",misc[[#This Row],[Compute]],"**UNCORE**SCF**SCF*LLC**SCF*LLC",misc[[#This Row],[location]],splitchar,"MCI*STATUS*")</f>
        <v>*SOCKET0**COMPUTE0**UNCORE**SCF**SCF*LLC**SCF*LLC38__MCI*STATUS*</v>
      </c>
      <c r="X41">
        <f>COUNTIFS(cha_mc[TestName],misc[[#This Row],[LLC_MCA_String]],cha_mc[VisualId],MC_Check!$H$2)</f>
        <v>0</v>
      </c>
    </row>
    <row r="42" spans="6:24" x14ac:dyDescent="0.35">
      <c r="F42">
        <v>0</v>
      </c>
      <c r="G42">
        <v>39</v>
      </c>
      <c r="H42" s="5" t="b">
        <f>misc[[#This Row],[Core_Hitter_Count]]&gt;0</f>
        <v>0</v>
      </c>
      <c r="I42" t="b">
        <f>misc[[#This Row],[LLC_Hitter_Count]]&gt;0</f>
        <v>0</v>
      </c>
      <c r="J42" t="b">
        <f>misc[[#This Row],[CHA_Hitter_Count]]&gt;0</f>
        <v>0</v>
      </c>
      <c r="K42" t="str">
        <f>_xlfn.TEXTJOIN("",,"*SOCKET0**COMPUTE",misc[[#This Row],[Compute]],"**UNCORE**CHA**CHA",misc[[#This Row],[location]],splitchar,"UTIL**MC*STATUS*")</f>
        <v>*SOCKET0**COMPUTE0**UNCORE**CHA**CHA39__UTIL**MC*STATUS*</v>
      </c>
      <c r="L42">
        <f>COUNTIFS(cha_mc[TestName],misc[[#This Row],[CHA_MCA_String]],cha_mc[VisualId],MC_Check!$H$2)</f>
        <v>0</v>
      </c>
      <c r="M42" t="str">
        <f>_xlfn.TEXTJOIN("",,"*SOCKET0**COMPUTE",misc[[#This Row],[Compute]],"**CPU**CORE",misc[[#This Row],[location]],splitchar,"THREAD"&amp;"*",splitchar,"DCU*CR*MC1*STATUS**")</f>
        <v>*SOCKET0**COMPUTE0**CPU**CORE39__THREAD*__DCU*CR*MC1*STATUS**</v>
      </c>
      <c r="N42">
        <f>COUNTIFS(core_mc[TestName],misc[[#This Row],[DCU_MCA_String]],core_mc[VisualId],MC_Check!$H$2)</f>
        <v>0</v>
      </c>
      <c r="O42" t="str">
        <f>_xlfn.TEXTJOIN("",,"*SOCKET0**COMPUTE",misc[[#This Row],[Compute]],"**CPU**CORE",misc[[#This Row],[location]],splitchar,"DTLB*CR*MC2*STATUS**")</f>
        <v>*SOCKET0**COMPUTE0**CPU**CORE39__DTLB*CR*MC2*STATUS**</v>
      </c>
      <c r="P42">
        <f>COUNTIFS(core_mc[TestName],misc[[#This Row],[DTLB_MCA_String]],core_mc[VisualId],MC_Check!$H$2)</f>
        <v>0</v>
      </c>
      <c r="Q42" t="str">
        <f>_xlfn.TEXTJOIN("",,"*SOCKET0**COMPUTE",misc[[#This Row],[Compute]],"**CPU**CORE",misc[[#This Row],[location]],splitchar,"THREAD"&amp;"*",splitchar,"IFU*CR*MC0*STATUS**")</f>
        <v>*SOCKET0**COMPUTE0**CPU**CORE39__THREAD*__IFU*CR*MC0*STATUS**</v>
      </c>
      <c r="R42">
        <f>COUNTIFS(core_mc[TestName],misc[[#This Row],[IFU_MCA_String]],core_mc[VisualId],MC_Check!$H$2)</f>
        <v>0</v>
      </c>
      <c r="S42" t="str">
        <f>_xlfn.TEXTJOIN("",,"*SOCKET0**COMPUTE",misc[[#This Row],[Compute]],"**CPU**CORE",misc[[#This Row],[location]],splitchar,"ML2*CR*MC3*STATUS*")</f>
        <v>*SOCKET0**COMPUTE0**CPU**CORE39__ML2*CR*MC3*STATUS*</v>
      </c>
      <c r="T42">
        <f>COUNTIFS(core_mc[TestName],misc[[#This Row],[CORE_MCA_String]],core_mc[VisualId],MC_Check!$H$2)</f>
        <v>0</v>
      </c>
      <c r="U42">
        <f>misc[[#This Row],[Core_ML2_Count]]+misc[[#This Row],[Core_IFU_Count]]+misc[[#This Row],[Core_DCU_Count]]+misc[[#This Row],[Core_DTLB_Count]]</f>
        <v>0</v>
      </c>
      <c r="V42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42" t="str">
        <f>_xlfn.TEXTJOIN("",,"*SOCKET0**COMPUTE",misc[[#This Row],[Compute]],"**UNCORE**SCF**SCF*LLC**SCF*LLC",misc[[#This Row],[location]],splitchar,"MCI*STATUS*")</f>
        <v>*SOCKET0**COMPUTE0**UNCORE**SCF**SCF*LLC**SCF*LLC39__MCI*STATUS*</v>
      </c>
      <c r="X42">
        <f>COUNTIFS(cha_mc[TestName],misc[[#This Row],[LLC_MCA_String]],cha_mc[VisualId],MC_Check!$H$2)</f>
        <v>0</v>
      </c>
    </row>
    <row r="43" spans="6:24" x14ac:dyDescent="0.35">
      <c r="F43">
        <v>0</v>
      </c>
      <c r="G43">
        <v>40</v>
      </c>
      <c r="H43" s="5" t="b">
        <f>misc[[#This Row],[Core_Hitter_Count]]&gt;0</f>
        <v>0</v>
      </c>
      <c r="I43" t="b">
        <f>misc[[#This Row],[LLC_Hitter_Count]]&gt;0</f>
        <v>0</v>
      </c>
      <c r="J43" t="b">
        <f>misc[[#This Row],[CHA_Hitter_Count]]&gt;0</f>
        <v>0</v>
      </c>
      <c r="K43" t="str">
        <f>_xlfn.TEXTJOIN("",,"*SOCKET0**COMPUTE",misc[[#This Row],[Compute]],"**UNCORE**CHA**CHA",misc[[#This Row],[location]],splitchar,"UTIL**MC*STATUS*")</f>
        <v>*SOCKET0**COMPUTE0**UNCORE**CHA**CHA40__UTIL**MC*STATUS*</v>
      </c>
      <c r="L43">
        <f>COUNTIFS(cha_mc[TestName],misc[[#This Row],[CHA_MCA_String]],cha_mc[VisualId],MC_Check!$H$2)</f>
        <v>0</v>
      </c>
      <c r="M43" t="str">
        <f>_xlfn.TEXTJOIN("",,"*SOCKET0**COMPUTE",misc[[#This Row],[Compute]],"**CPU**CORE",misc[[#This Row],[location]],splitchar,"THREAD"&amp;"*",splitchar,"DCU*CR*MC1*STATUS**")</f>
        <v>*SOCKET0**COMPUTE0**CPU**CORE40__THREAD*__DCU*CR*MC1*STATUS**</v>
      </c>
      <c r="N43">
        <f>COUNTIFS(core_mc[TestName],misc[[#This Row],[DCU_MCA_String]],core_mc[VisualId],MC_Check!$H$2)</f>
        <v>0</v>
      </c>
      <c r="O43" t="str">
        <f>_xlfn.TEXTJOIN("",,"*SOCKET0**COMPUTE",misc[[#This Row],[Compute]],"**CPU**CORE",misc[[#This Row],[location]],splitchar,"DTLB*CR*MC2*STATUS**")</f>
        <v>*SOCKET0**COMPUTE0**CPU**CORE40__DTLB*CR*MC2*STATUS**</v>
      </c>
      <c r="P43">
        <f>COUNTIFS(core_mc[TestName],misc[[#This Row],[DTLB_MCA_String]],core_mc[VisualId],MC_Check!$H$2)</f>
        <v>0</v>
      </c>
      <c r="Q43" t="str">
        <f>_xlfn.TEXTJOIN("",,"*SOCKET0**COMPUTE",misc[[#This Row],[Compute]],"**CPU**CORE",misc[[#This Row],[location]],splitchar,"THREAD"&amp;"*",splitchar,"IFU*CR*MC0*STATUS**")</f>
        <v>*SOCKET0**COMPUTE0**CPU**CORE40__THREAD*__IFU*CR*MC0*STATUS**</v>
      </c>
      <c r="R43">
        <f>COUNTIFS(core_mc[TestName],misc[[#This Row],[IFU_MCA_String]],core_mc[VisualId],MC_Check!$H$2)</f>
        <v>0</v>
      </c>
      <c r="S43" t="str">
        <f>_xlfn.TEXTJOIN("",,"*SOCKET0**COMPUTE",misc[[#This Row],[Compute]],"**CPU**CORE",misc[[#This Row],[location]],splitchar,"ML2*CR*MC3*STATUS*")</f>
        <v>*SOCKET0**COMPUTE0**CPU**CORE40__ML2*CR*MC3*STATUS*</v>
      </c>
      <c r="T43">
        <f>COUNTIFS(core_mc[TestName],misc[[#This Row],[CORE_MCA_String]],core_mc[VisualId],MC_Check!$H$2)</f>
        <v>0</v>
      </c>
      <c r="U43">
        <f>misc[[#This Row],[Core_ML2_Count]]+misc[[#This Row],[Core_IFU_Count]]+misc[[#This Row],[Core_DCU_Count]]+misc[[#This Row],[Core_DTLB_Count]]</f>
        <v>0</v>
      </c>
      <c r="V43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43" t="str">
        <f>_xlfn.TEXTJOIN("",,"*SOCKET0**COMPUTE",misc[[#This Row],[Compute]],"**UNCORE**SCF**SCF*LLC**SCF*LLC",misc[[#This Row],[location]],splitchar,"MCI*STATUS*")</f>
        <v>*SOCKET0**COMPUTE0**UNCORE**SCF**SCF*LLC**SCF*LLC40__MCI*STATUS*</v>
      </c>
      <c r="X43">
        <f>COUNTIFS(cha_mc[TestName],misc[[#This Row],[LLC_MCA_String]],cha_mc[VisualId],MC_Check!$H$2)</f>
        <v>0</v>
      </c>
    </row>
    <row r="44" spans="6:24" x14ac:dyDescent="0.35">
      <c r="F44">
        <v>0</v>
      </c>
      <c r="G44">
        <v>41</v>
      </c>
      <c r="H44" s="5" t="b">
        <f>misc[[#This Row],[Core_Hitter_Count]]&gt;0</f>
        <v>0</v>
      </c>
      <c r="I44" t="b">
        <f>misc[[#This Row],[LLC_Hitter_Count]]&gt;0</f>
        <v>0</v>
      </c>
      <c r="J44" t="b">
        <f>misc[[#This Row],[CHA_Hitter_Count]]&gt;0</f>
        <v>0</v>
      </c>
      <c r="K44" t="str">
        <f>_xlfn.TEXTJOIN("",,"*SOCKET0**COMPUTE",misc[[#This Row],[Compute]],"**UNCORE**CHA**CHA",misc[[#This Row],[location]],splitchar,"UTIL**MC*STATUS*")</f>
        <v>*SOCKET0**COMPUTE0**UNCORE**CHA**CHA41__UTIL**MC*STATUS*</v>
      </c>
      <c r="L44">
        <f>COUNTIFS(cha_mc[TestName],misc[[#This Row],[CHA_MCA_String]],cha_mc[VisualId],MC_Check!$H$2)</f>
        <v>0</v>
      </c>
      <c r="M44" t="str">
        <f>_xlfn.TEXTJOIN("",,"*SOCKET0**COMPUTE",misc[[#This Row],[Compute]],"**CPU**CORE",misc[[#This Row],[location]],splitchar,"THREAD"&amp;"*",splitchar,"DCU*CR*MC1*STATUS**")</f>
        <v>*SOCKET0**COMPUTE0**CPU**CORE41__THREAD*__DCU*CR*MC1*STATUS**</v>
      </c>
      <c r="N44">
        <f>COUNTIFS(core_mc[TestName],misc[[#This Row],[DCU_MCA_String]],core_mc[VisualId],MC_Check!$H$2)</f>
        <v>0</v>
      </c>
      <c r="O44" t="str">
        <f>_xlfn.TEXTJOIN("",,"*SOCKET0**COMPUTE",misc[[#This Row],[Compute]],"**CPU**CORE",misc[[#This Row],[location]],splitchar,"DTLB*CR*MC2*STATUS**")</f>
        <v>*SOCKET0**COMPUTE0**CPU**CORE41__DTLB*CR*MC2*STATUS**</v>
      </c>
      <c r="P44">
        <f>COUNTIFS(core_mc[TestName],misc[[#This Row],[DTLB_MCA_String]],core_mc[VisualId],MC_Check!$H$2)</f>
        <v>0</v>
      </c>
      <c r="Q44" t="str">
        <f>_xlfn.TEXTJOIN("",,"*SOCKET0**COMPUTE",misc[[#This Row],[Compute]],"**CPU**CORE",misc[[#This Row],[location]],splitchar,"THREAD"&amp;"*",splitchar,"IFU*CR*MC0*STATUS**")</f>
        <v>*SOCKET0**COMPUTE0**CPU**CORE41__THREAD*__IFU*CR*MC0*STATUS**</v>
      </c>
      <c r="R44">
        <f>COUNTIFS(core_mc[TestName],misc[[#This Row],[IFU_MCA_String]],core_mc[VisualId],MC_Check!$H$2)</f>
        <v>0</v>
      </c>
      <c r="S44" t="str">
        <f>_xlfn.TEXTJOIN("",,"*SOCKET0**COMPUTE",misc[[#This Row],[Compute]],"**CPU**CORE",misc[[#This Row],[location]],splitchar,"ML2*CR*MC3*STATUS*")</f>
        <v>*SOCKET0**COMPUTE0**CPU**CORE41__ML2*CR*MC3*STATUS*</v>
      </c>
      <c r="T44">
        <f>COUNTIFS(core_mc[TestName],misc[[#This Row],[CORE_MCA_String]],core_mc[VisualId],MC_Check!$H$2)</f>
        <v>0</v>
      </c>
      <c r="U44">
        <f>misc[[#This Row],[Core_ML2_Count]]+misc[[#This Row],[Core_IFU_Count]]+misc[[#This Row],[Core_DCU_Count]]+misc[[#This Row],[Core_DTLB_Count]]</f>
        <v>0</v>
      </c>
      <c r="V44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44" t="str">
        <f>_xlfn.TEXTJOIN("",,"*SOCKET0**COMPUTE",misc[[#This Row],[Compute]],"**UNCORE**SCF**SCF*LLC**SCF*LLC",misc[[#This Row],[location]],splitchar,"MCI*STATUS*")</f>
        <v>*SOCKET0**COMPUTE0**UNCORE**SCF**SCF*LLC**SCF*LLC41__MCI*STATUS*</v>
      </c>
      <c r="X44">
        <f>COUNTIFS(cha_mc[TestName],misc[[#This Row],[LLC_MCA_String]],cha_mc[VisualId],MC_Check!$H$2)</f>
        <v>0</v>
      </c>
    </row>
    <row r="45" spans="6:24" x14ac:dyDescent="0.35">
      <c r="F45">
        <v>0</v>
      </c>
      <c r="G45">
        <v>42</v>
      </c>
      <c r="H45" s="5" t="b">
        <f>misc[[#This Row],[Core_Hitter_Count]]&gt;0</f>
        <v>0</v>
      </c>
      <c r="I45" t="b">
        <f>misc[[#This Row],[LLC_Hitter_Count]]&gt;0</f>
        <v>0</v>
      </c>
      <c r="J45" t="b">
        <f>misc[[#This Row],[CHA_Hitter_Count]]&gt;0</f>
        <v>0</v>
      </c>
      <c r="K45" t="str">
        <f>_xlfn.TEXTJOIN("",,"*SOCKET0**COMPUTE",misc[[#This Row],[Compute]],"**UNCORE**CHA**CHA",misc[[#This Row],[location]],splitchar,"UTIL**MC*STATUS*")</f>
        <v>*SOCKET0**COMPUTE0**UNCORE**CHA**CHA42__UTIL**MC*STATUS*</v>
      </c>
      <c r="L45">
        <f>COUNTIFS(cha_mc[TestName],misc[[#This Row],[CHA_MCA_String]],cha_mc[VisualId],MC_Check!$H$2)</f>
        <v>0</v>
      </c>
      <c r="M45" t="str">
        <f>_xlfn.TEXTJOIN("",,"*SOCKET0**COMPUTE",misc[[#This Row],[Compute]],"**CPU**CORE",misc[[#This Row],[location]],splitchar,"THREAD"&amp;"*",splitchar,"DCU*CR*MC1*STATUS**")</f>
        <v>*SOCKET0**COMPUTE0**CPU**CORE42__THREAD*__DCU*CR*MC1*STATUS**</v>
      </c>
      <c r="N45">
        <f>COUNTIFS(core_mc[TestName],misc[[#This Row],[DCU_MCA_String]],core_mc[VisualId],MC_Check!$H$2)</f>
        <v>0</v>
      </c>
      <c r="O45" t="str">
        <f>_xlfn.TEXTJOIN("",,"*SOCKET0**COMPUTE",misc[[#This Row],[Compute]],"**CPU**CORE",misc[[#This Row],[location]],splitchar,"DTLB*CR*MC2*STATUS**")</f>
        <v>*SOCKET0**COMPUTE0**CPU**CORE42__DTLB*CR*MC2*STATUS**</v>
      </c>
      <c r="P45">
        <f>COUNTIFS(core_mc[TestName],misc[[#This Row],[DTLB_MCA_String]],core_mc[VisualId],MC_Check!$H$2)</f>
        <v>0</v>
      </c>
      <c r="Q45" t="str">
        <f>_xlfn.TEXTJOIN("",,"*SOCKET0**COMPUTE",misc[[#This Row],[Compute]],"**CPU**CORE",misc[[#This Row],[location]],splitchar,"THREAD"&amp;"*",splitchar,"IFU*CR*MC0*STATUS**")</f>
        <v>*SOCKET0**COMPUTE0**CPU**CORE42__THREAD*__IFU*CR*MC0*STATUS**</v>
      </c>
      <c r="R45">
        <f>COUNTIFS(core_mc[TestName],misc[[#This Row],[IFU_MCA_String]],core_mc[VisualId],MC_Check!$H$2)</f>
        <v>0</v>
      </c>
      <c r="S45" t="str">
        <f>_xlfn.TEXTJOIN("",,"*SOCKET0**COMPUTE",misc[[#This Row],[Compute]],"**CPU**CORE",misc[[#This Row],[location]],splitchar,"ML2*CR*MC3*STATUS*")</f>
        <v>*SOCKET0**COMPUTE0**CPU**CORE42__ML2*CR*MC3*STATUS*</v>
      </c>
      <c r="T45">
        <f>COUNTIFS(core_mc[TestName],misc[[#This Row],[CORE_MCA_String]],core_mc[VisualId],MC_Check!$H$2)</f>
        <v>0</v>
      </c>
      <c r="U45">
        <f>misc[[#This Row],[Core_ML2_Count]]+misc[[#This Row],[Core_IFU_Count]]+misc[[#This Row],[Core_DCU_Count]]+misc[[#This Row],[Core_DTLB_Count]]</f>
        <v>0</v>
      </c>
      <c r="V45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45" t="str">
        <f>_xlfn.TEXTJOIN("",,"*SOCKET0**COMPUTE",misc[[#This Row],[Compute]],"**UNCORE**SCF**SCF*LLC**SCF*LLC",misc[[#This Row],[location]],splitchar,"MCI*STATUS*")</f>
        <v>*SOCKET0**COMPUTE0**UNCORE**SCF**SCF*LLC**SCF*LLC42__MCI*STATUS*</v>
      </c>
      <c r="X45">
        <f>COUNTIFS(cha_mc[TestName],misc[[#This Row],[LLC_MCA_String]],cha_mc[VisualId],MC_Check!$H$2)</f>
        <v>0</v>
      </c>
    </row>
    <row r="46" spans="6:24" x14ac:dyDescent="0.35">
      <c r="F46">
        <v>0</v>
      </c>
      <c r="G46">
        <v>43</v>
      </c>
      <c r="H46" s="5" t="b">
        <f>misc[[#This Row],[Core_Hitter_Count]]&gt;0</f>
        <v>0</v>
      </c>
      <c r="I46" t="b">
        <f>misc[[#This Row],[LLC_Hitter_Count]]&gt;0</f>
        <v>0</v>
      </c>
      <c r="J46" t="b">
        <f>misc[[#This Row],[CHA_Hitter_Count]]&gt;0</f>
        <v>0</v>
      </c>
      <c r="K46" t="str">
        <f>_xlfn.TEXTJOIN("",,"*SOCKET0**COMPUTE",misc[[#This Row],[Compute]],"**UNCORE**CHA**CHA",misc[[#This Row],[location]],splitchar,"UTIL**MC*STATUS*")</f>
        <v>*SOCKET0**COMPUTE0**UNCORE**CHA**CHA43__UTIL**MC*STATUS*</v>
      </c>
      <c r="L46">
        <f>COUNTIFS(cha_mc[TestName],misc[[#This Row],[CHA_MCA_String]],cha_mc[VisualId],MC_Check!$H$2)</f>
        <v>0</v>
      </c>
      <c r="M46" t="str">
        <f>_xlfn.TEXTJOIN("",,"*SOCKET0**COMPUTE",misc[[#This Row],[Compute]],"**CPU**CORE",misc[[#This Row],[location]],splitchar,"THREAD"&amp;"*",splitchar,"DCU*CR*MC1*STATUS**")</f>
        <v>*SOCKET0**COMPUTE0**CPU**CORE43__THREAD*__DCU*CR*MC1*STATUS**</v>
      </c>
      <c r="N46">
        <f>COUNTIFS(core_mc[TestName],misc[[#This Row],[DCU_MCA_String]],core_mc[VisualId],MC_Check!$H$2)</f>
        <v>0</v>
      </c>
      <c r="O46" t="str">
        <f>_xlfn.TEXTJOIN("",,"*SOCKET0**COMPUTE",misc[[#This Row],[Compute]],"**CPU**CORE",misc[[#This Row],[location]],splitchar,"DTLB*CR*MC2*STATUS**")</f>
        <v>*SOCKET0**COMPUTE0**CPU**CORE43__DTLB*CR*MC2*STATUS**</v>
      </c>
      <c r="P46">
        <f>COUNTIFS(core_mc[TestName],misc[[#This Row],[DTLB_MCA_String]],core_mc[VisualId],MC_Check!$H$2)</f>
        <v>0</v>
      </c>
      <c r="Q46" t="str">
        <f>_xlfn.TEXTJOIN("",,"*SOCKET0**COMPUTE",misc[[#This Row],[Compute]],"**CPU**CORE",misc[[#This Row],[location]],splitchar,"THREAD"&amp;"*",splitchar,"IFU*CR*MC0*STATUS**")</f>
        <v>*SOCKET0**COMPUTE0**CPU**CORE43__THREAD*__IFU*CR*MC0*STATUS**</v>
      </c>
      <c r="R46">
        <f>COUNTIFS(core_mc[TestName],misc[[#This Row],[IFU_MCA_String]],core_mc[VisualId],MC_Check!$H$2)</f>
        <v>0</v>
      </c>
      <c r="S46" t="str">
        <f>_xlfn.TEXTJOIN("",,"*SOCKET0**COMPUTE",misc[[#This Row],[Compute]],"**CPU**CORE",misc[[#This Row],[location]],splitchar,"ML2*CR*MC3*STATUS*")</f>
        <v>*SOCKET0**COMPUTE0**CPU**CORE43__ML2*CR*MC3*STATUS*</v>
      </c>
      <c r="T46">
        <f>COUNTIFS(core_mc[TestName],misc[[#This Row],[CORE_MCA_String]],core_mc[VisualId],MC_Check!$H$2)</f>
        <v>0</v>
      </c>
      <c r="U46">
        <f>misc[[#This Row],[Core_ML2_Count]]+misc[[#This Row],[Core_IFU_Count]]+misc[[#This Row],[Core_DCU_Count]]+misc[[#This Row],[Core_DTLB_Count]]</f>
        <v>0</v>
      </c>
      <c r="V46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46" t="str">
        <f>_xlfn.TEXTJOIN("",,"*SOCKET0**COMPUTE",misc[[#This Row],[Compute]],"**UNCORE**SCF**SCF*LLC**SCF*LLC",misc[[#This Row],[location]],splitchar,"MCI*STATUS*")</f>
        <v>*SOCKET0**COMPUTE0**UNCORE**SCF**SCF*LLC**SCF*LLC43__MCI*STATUS*</v>
      </c>
      <c r="X46">
        <f>COUNTIFS(cha_mc[TestName],misc[[#This Row],[LLC_MCA_String]],cha_mc[VisualId],MC_Check!$H$2)</f>
        <v>0</v>
      </c>
    </row>
    <row r="47" spans="6:24" x14ac:dyDescent="0.35">
      <c r="F47">
        <v>0</v>
      </c>
      <c r="G47">
        <v>44</v>
      </c>
      <c r="H47" s="5" t="b">
        <f>misc[[#This Row],[Core_Hitter_Count]]&gt;0</f>
        <v>0</v>
      </c>
      <c r="I47" t="b">
        <f>misc[[#This Row],[LLC_Hitter_Count]]&gt;0</f>
        <v>0</v>
      </c>
      <c r="J47" t="b">
        <f>misc[[#This Row],[CHA_Hitter_Count]]&gt;0</f>
        <v>0</v>
      </c>
      <c r="K47" t="str">
        <f>_xlfn.TEXTJOIN("",,"*SOCKET0**COMPUTE",misc[[#This Row],[Compute]],"**UNCORE**CHA**CHA",misc[[#This Row],[location]],splitchar,"UTIL**MC*STATUS*")</f>
        <v>*SOCKET0**COMPUTE0**UNCORE**CHA**CHA44__UTIL**MC*STATUS*</v>
      </c>
      <c r="L47">
        <f>COUNTIFS(cha_mc[TestName],misc[[#This Row],[CHA_MCA_String]],cha_mc[VisualId],MC_Check!$H$2)</f>
        <v>0</v>
      </c>
      <c r="M47" t="str">
        <f>_xlfn.TEXTJOIN("",,"*SOCKET0**COMPUTE",misc[[#This Row],[Compute]],"**CPU**CORE",misc[[#This Row],[location]],splitchar,"THREAD"&amp;"*",splitchar,"DCU*CR*MC1*STATUS**")</f>
        <v>*SOCKET0**COMPUTE0**CPU**CORE44__THREAD*__DCU*CR*MC1*STATUS**</v>
      </c>
      <c r="N47">
        <f>COUNTIFS(core_mc[TestName],misc[[#This Row],[DCU_MCA_String]],core_mc[VisualId],MC_Check!$H$2)</f>
        <v>0</v>
      </c>
      <c r="O47" t="str">
        <f>_xlfn.TEXTJOIN("",,"*SOCKET0**COMPUTE",misc[[#This Row],[Compute]],"**CPU**CORE",misc[[#This Row],[location]],splitchar,"DTLB*CR*MC2*STATUS**")</f>
        <v>*SOCKET0**COMPUTE0**CPU**CORE44__DTLB*CR*MC2*STATUS**</v>
      </c>
      <c r="P47">
        <f>COUNTIFS(core_mc[TestName],misc[[#This Row],[DTLB_MCA_String]],core_mc[VisualId],MC_Check!$H$2)</f>
        <v>0</v>
      </c>
      <c r="Q47" t="str">
        <f>_xlfn.TEXTJOIN("",,"*SOCKET0**COMPUTE",misc[[#This Row],[Compute]],"**CPU**CORE",misc[[#This Row],[location]],splitchar,"THREAD"&amp;"*",splitchar,"IFU*CR*MC0*STATUS**")</f>
        <v>*SOCKET0**COMPUTE0**CPU**CORE44__THREAD*__IFU*CR*MC0*STATUS**</v>
      </c>
      <c r="R47">
        <f>COUNTIFS(core_mc[TestName],misc[[#This Row],[IFU_MCA_String]],core_mc[VisualId],MC_Check!$H$2)</f>
        <v>0</v>
      </c>
      <c r="S47" t="str">
        <f>_xlfn.TEXTJOIN("",,"*SOCKET0**COMPUTE",misc[[#This Row],[Compute]],"**CPU**CORE",misc[[#This Row],[location]],splitchar,"ML2*CR*MC3*STATUS*")</f>
        <v>*SOCKET0**COMPUTE0**CPU**CORE44__ML2*CR*MC3*STATUS*</v>
      </c>
      <c r="T47">
        <f>COUNTIFS(core_mc[TestName],misc[[#This Row],[CORE_MCA_String]],core_mc[VisualId],MC_Check!$H$2)</f>
        <v>0</v>
      </c>
      <c r="U47">
        <f>misc[[#This Row],[Core_ML2_Count]]+misc[[#This Row],[Core_IFU_Count]]+misc[[#This Row],[Core_DCU_Count]]+misc[[#This Row],[Core_DTLB_Count]]</f>
        <v>0</v>
      </c>
      <c r="V47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47" t="str">
        <f>_xlfn.TEXTJOIN("",,"*SOCKET0**COMPUTE",misc[[#This Row],[Compute]],"**UNCORE**SCF**SCF*LLC**SCF*LLC",misc[[#This Row],[location]],splitchar,"MCI*STATUS*")</f>
        <v>*SOCKET0**COMPUTE0**UNCORE**SCF**SCF*LLC**SCF*LLC44__MCI*STATUS*</v>
      </c>
      <c r="X47">
        <f>COUNTIFS(cha_mc[TestName],misc[[#This Row],[LLC_MCA_String]],cha_mc[VisualId],MC_Check!$H$2)</f>
        <v>0</v>
      </c>
    </row>
    <row r="48" spans="6:24" x14ac:dyDescent="0.35">
      <c r="F48">
        <v>0</v>
      </c>
      <c r="G48">
        <v>45</v>
      </c>
      <c r="H48" s="5" t="b">
        <f>misc[[#This Row],[Core_Hitter_Count]]&gt;0</f>
        <v>0</v>
      </c>
      <c r="I48" t="b">
        <f>misc[[#This Row],[LLC_Hitter_Count]]&gt;0</f>
        <v>0</v>
      </c>
      <c r="J48" t="b">
        <f>misc[[#This Row],[CHA_Hitter_Count]]&gt;0</f>
        <v>0</v>
      </c>
      <c r="K48" t="str">
        <f>_xlfn.TEXTJOIN("",,"*SOCKET0**COMPUTE",misc[[#This Row],[Compute]],"**UNCORE**CHA**CHA",misc[[#This Row],[location]],splitchar,"UTIL**MC*STATUS*")</f>
        <v>*SOCKET0**COMPUTE0**UNCORE**CHA**CHA45__UTIL**MC*STATUS*</v>
      </c>
      <c r="L48">
        <f>COUNTIFS(cha_mc[TestName],misc[[#This Row],[CHA_MCA_String]],cha_mc[VisualId],MC_Check!$H$2)</f>
        <v>0</v>
      </c>
      <c r="M48" t="str">
        <f>_xlfn.TEXTJOIN("",,"*SOCKET0**COMPUTE",misc[[#This Row],[Compute]],"**CPU**CORE",misc[[#This Row],[location]],splitchar,"THREAD"&amp;"*",splitchar,"DCU*CR*MC1*STATUS**")</f>
        <v>*SOCKET0**COMPUTE0**CPU**CORE45__THREAD*__DCU*CR*MC1*STATUS**</v>
      </c>
      <c r="N48">
        <f>COUNTIFS(core_mc[TestName],misc[[#This Row],[DCU_MCA_String]],core_mc[VisualId],MC_Check!$H$2)</f>
        <v>0</v>
      </c>
      <c r="O48" t="str">
        <f>_xlfn.TEXTJOIN("",,"*SOCKET0**COMPUTE",misc[[#This Row],[Compute]],"**CPU**CORE",misc[[#This Row],[location]],splitchar,"DTLB*CR*MC2*STATUS**")</f>
        <v>*SOCKET0**COMPUTE0**CPU**CORE45__DTLB*CR*MC2*STATUS**</v>
      </c>
      <c r="P48">
        <f>COUNTIFS(core_mc[TestName],misc[[#This Row],[DTLB_MCA_String]],core_mc[VisualId],MC_Check!$H$2)</f>
        <v>0</v>
      </c>
      <c r="Q48" t="str">
        <f>_xlfn.TEXTJOIN("",,"*SOCKET0**COMPUTE",misc[[#This Row],[Compute]],"**CPU**CORE",misc[[#This Row],[location]],splitchar,"THREAD"&amp;"*",splitchar,"IFU*CR*MC0*STATUS**")</f>
        <v>*SOCKET0**COMPUTE0**CPU**CORE45__THREAD*__IFU*CR*MC0*STATUS**</v>
      </c>
      <c r="R48">
        <f>COUNTIFS(core_mc[TestName],misc[[#This Row],[IFU_MCA_String]],core_mc[VisualId],MC_Check!$H$2)</f>
        <v>0</v>
      </c>
      <c r="S48" t="str">
        <f>_xlfn.TEXTJOIN("",,"*SOCKET0**COMPUTE",misc[[#This Row],[Compute]],"**CPU**CORE",misc[[#This Row],[location]],splitchar,"ML2*CR*MC3*STATUS*")</f>
        <v>*SOCKET0**COMPUTE0**CPU**CORE45__ML2*CR*MC3*STATUS*</v>
      </c>
      <c r="T48">
        <f>COUNTIFS(core_mc[TestName],misc[[#This Row],[CORE_MCA_String]],core_mc[VisualId],MC_Check!$H$2)</f>
        <v>0</v>
      </c>
      <c r="U48">
        <f>misc[[#This Row],[Core_ML2_Count]]+misc[[#This Row],[Core_IFU_Count]]+misc[[#This Row],[Core_DCU_Count]]+misc[[#This Row],[Core_DTLB_Count]]</f>
        <v>0</v>
      </c>
      <c r="V48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48" t="str">
        <f>_xlfn.TEXTJOIN("",,"*SOCKET0**COMPUTE",misc[[#This Row],[Compute]],"**UNCORE**SCF**SCF*LLC**SCF*LLC",misc[[#This Row],[location]],splitchar,"MCI*STATUS*")</f>
        <v>*SOCKET0**COMPUTE0**UNCORE**SCF**SCF*LLC**SCF*LLC45__MCI*STATUS*</v>
      </c>
      <c r="X48">
        <f>COUNTIFS(cha_mc[TestName],misc[[#This Row],[LLC_MCA_String]],cha_mc[VisualId],MC_Check!$H$2)</f>
        <v>0</v>
      </c>
    </row>
    <row r="49" spans="6:24" x14ac:dyDescent="0.35">
      <c r="F49">
        <v>0</v>
      </c>
      <c r="G49">
        <v>46</v>
      </c>
      <c r="H49" s="5" t="b">
        <f>misc[[#This Row],[Core_Hitter_Count]]&gt;0</f>
        <v>0</v>
      </c>
      <c r="I49" t="b">
        <f>misc[[#This Row],[LLC_Hitter_Count]]&gt;0</f>
        <v>0</v>
      </c>
      <c r="J49" t="b">
        <f>misc[[#This Row],[CHA_Hitter_Count]]&gt;0</f>
        <v>0</v>
      </c>
      <c r="K49" t="str">
        <f>_xlfn.TEXTJOIN("",,"*SOCKET0**COMPUTE",misc[[#This Row],[Compute]],"**UNCORE**CHA**CHA",misc[[#This Row],[location]],splitchar,"UTIL**MC*STATUS*")</f>
        <v>*SOCKET0**COMPUTE0**UNCORE**CHA**CHA46__UTIL**MC*STATUS*</v>
      </c>
      <c r="L49">
        <f>COUNTIFS(cha_mc[TestName],misc[[#This Row],[CHA_MCA_String]],cha_mc[VisualId],MC_Check!$H$2)</f>
        <v>0</v>
      </c>
      <c r="M49" t="str">
        <f>_xlfn.TEXTJOIN("",,"*SOCKET0**COMPUTE",misc[[#This Row],[Compute]],"**CPU**CORE",misc[[#This Row],[location]],splitchar,"THREAD"&amp;"*",splitchar,"DCU*CR*MC1*STATUS**")</f>
        <v>*SOCKET0**COMPUTE0**CPU**CORE46__THREAD*__DCU*CR*MC1*STATUS**</v>
      </c>
      <c r="N49">
        <f>COUNTIFS(core_mc[TestName],misc[[#This Row],[DCU_MCA_String]],core_mc[VisualId],MC_Check!$H$2)</f>
        <v>0</v>
      </c>
      <c r="O49" t="str">
        <f>_xlfn.TEXTJOIN("",,"*SOCKET0**COMPUTE",misc[[#This Row],[Compute]],"**CPU**CORE",misc[[#This Row],[location]],splitchar,"DTLB*CR*MC2*STATUS**")</f>
        <v>*SOCKET0**COMPUTE0**CPU**CORE46__DTLB*CR*MC2*STATUS**</v>
      </c>
      <c r="P49">
        <f>COUNTIFS(core_mc[TestName],misc[[#This Row],[DTLB_MCA_String]],core_mc[VisualId],MC_Check!$H$2)</f>
        <v>0</v>
      </c>
      <c r="Q49" t="str">
        <f>_xlfn.TEXTJOIN("",,"*SOCKET0**COMPUTE",misc[[#This Row],[Compute]],"**CPU**CORE",misc[[#This Row],[location]],splitchar,"THREAD"&amp;"*",splitchar,"IFU*CR*MC0*STATUS**")</f>
        <v>*SOCKET0**COMPUTE0**CPU**CORE46__THREAD*__IFU*CR*MC0*STATUS**</v>
      </c>
      <c r="R49">
        <f>COUNTIFS(core_mc[TestName],misc[[#This Row],[IFU_MCA_String]],core_mc[VisualId],MC_Check!$H$2)</f>
        <v>0</v>
      </c>
      <c r="S49" t="str">
        <f>_xlfn.TEXTJOIN("",,"*SOCKET0**COMPUTE",misc[[#This Row],[Compute]],"**CPU**CORE",misc[[#This Row],[location]],splitchar,"ML2*CR*MC3*STATUS*")</f>
        <v>*SOCKET0**COMPUTE0**CPU**CORE46__ML2*CR*MC3*STATUS*</v>
      </c>
      <c r="T49">
        <f>COUNTIFS(core_mc[TestName],misc[[#This Row],[CORE_MCA_String]],core_mc[VisualId],MC_Check!$H$2)</f>
        <v>0</v>
      </c>
      <c r="U49">
        <f>misc[[#This Row],[Core_ML2_Count]]+misc[[#This Row],[Core_IFU_Count]]+misc[[#This Row],[Core_DCU_Count]]+misc[[#This Row],[Core_DTLB_Count]]</f>
        <v>0</v>
      </c>
      <c r="V49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49" t="str">
        <f>_xlfn.TEXTJOIN("",,"*SOCKET0**COMPUTE",misc[[#This Row],[Compute]],"**UNCORE**SCF**SCF*LLC**SCF*LLC",misc[[#This Row],[location]],splitchar,"MCI*STATUS*")</f>
        <v>*SOCKET0**COMPUTE0**UNCORE**SCF**SCF*LLC**SCF*LLC46__MCI*STATUS*</v>
      </c>
      <c r="X49">
        <f>COUNTIFS(cha_mc[TestName],misc[[#This Row],[LLC_MCA_String]],cha_mc[VisualId],MC_Check!$H$2)</f>
        <v>0</v>
      </c>
    </row>
    <row r="50" spans="6:24" x14ac:dyDescent="0.35">
      <c r="F50">
        <v>0</v>
      </c>
      <c r="G50">
        <v>47</v>
      </c>
      <c r="H50" s="5" t="b">
        <f>misc[[#This Row],[Core_Hitter_Count]]&gt;0</f>
        <v>0</v>
      </c>
      <c r="I50" t="b">
        <f>misc[[#This Row],[LLC_Hitter_Count]]&gt;0</f>
        <v>0</v>
      </c>
      <c r="J50" t="b">
        <f>misc[[#This Row],[CHA_Hitter_Count]]&gt;0</f>
        <v>0</v>
      </c>
      <c r="K50" t="str">
        <f>_xlfn.TEXTJOIN("",,"*SOCKET0**COMPUTE",misc[[#This Row],[Compute]],"**UNCORE**CHA**CHA",misc[[#This Row],[location]],splitchar,"UTIL**MC*STATUS*")</f>
        <v>*SOCKET0**COMPUTE0**UNCORE**CHA**CHA47__UTIL**MC*STATUS*</v>
      </c>
      <c r="L50">
        <f>COUNTIFS(cha_mc[TestName],misc[[#This Row],[CHA_MCA_String]],cha_mc[VisualId],MC_Check!$H$2)</f>
        <v>0</v>
      </c>
      <c r="M50" t="str">
        <f>_xlfn.TEXTJOIN("",,"*SOCKET0**COMPUTE",misc[[#This Row],[Compute]],"**CPU**CORE",misc[[#This Row],[location]],splitchar,"THREAD"&amp;"*",splitchar,"DCU*CR*MC1*STATUS**")</f>
        <v>*SOCKET0**COMPUTE0**CPU**CORE47__THREAD*__DCU*CR*MC1*STATUS**</v>
      </c>
      <c r="N50">
        <f>COUNTIFS(core_mc[TestName],misc[[#This Row],[DCU_MCA_String]],core_mc[VisualId],MC_Check!$H$2)</f>
        <v>0</v>
      </c>
      <c r="O50" t="str">
        <f>_xlfn.TEXTJOIN("",,"*SOCKET0**COMPUTE",misc[[#This Row],[Compute]],"**CPU**CORE",misc[[#This Row],[location]],splitchar,"DTLB*CR*MC2*STATUS**")</f>
        <v>*SOCKET0**COMPUTE0**CPU**CORE47__DTLB*CR*MC2*STATUS**</v>
      </c>
      <c r="P50">
        <f>COUNTIFS(core_mc[TestName],misc[[#This Row],[DTLB_MCA_String]],core_mc[VisualId],MC_Check!$H$2)</f>
        <v>0</v>
      </c>
      <c r="Q50" t="str">
        <f>_xlfn.TEXTJOIN("",,"*SOCKET0**COMPUTE",misc[[#This Row],[Compute]],"**CPU**CORE",misc[[#This Row],[location]],splitchar,"THREAD"&amp;"*",splitchar,"IFU*CR*MC0*STATUS**")</f>
        <v>*SOCKET0**COMPUTE0**CPU**CORE47__THREAD*__IFU*CR*MC0*STATUS**</v>
      </c>
      <c r="R50">
        <f>COUNTIFS(core_mc[TestName],misc[[#This Row],[IFU_MCA_String]],core_mc[VisualId],MC_Check!$H$2)</f>
        <v>0</v>
      </c>
      <c r="S50" t="str">
        <f>_xlfn.TEXTJOIN("",,"*SOCKET0**COMPUTE",misc[[#This Row],[Compute]],"**CPU**CORE",misc[[#This Row],[location]],splitchar,"ML2*CR*MC3*STATUS*")</f>
        <v>*SOCKET0**COMPUTE0**CPU**CORE47__ML2*CR*MC3*STATUS*</v>
      </c>
      <c r="T50">
        <f>COUNTIFS(core_mc[TestName],misc[[#This Row],[CORE_MCA_String]],core_mc[VisualId],MC_Check!$H$2)</f>
        <v>0</v>
      </c>
      <c r="U50">
        <f>misc[[#This Row],[Core_ML2_Count]]+misc[[#This Row],[Core_IFU_Count]]+misc[[#This Row],[Core_DCU_Count]]+misc[[#This Row],[Core_DTLB_Count]]</f>
        <v>0</v>
      </c>
      <c r="V50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50" t="str">
        <f>_xlfn.TEXTJOIN("",,"*SOCKET0**COMPUTE",misc[[#This Row],[Compute]],"**UNCORE**SCF**SCF*LLC**SCF*LLC",misc[[#This Row],[location]],splitchar,"MCI*STATUS*")</f>
        <v>*SOCKET0**COMPUTE0**UNCORE**SCF**SCF*LLC**SCF*LLC47__MCI*STATUS*</v>
      </c>
      <c r="X50">
        <f>COUNTIFS(cha_mc[TestName],misc[[#This Row],[LLC_MCA_String]],cha_mc[VisualId],MC_Check!$H$2)</f>
        <v>0</v>
      </c>
    </row>
    <row r="51" spans="6:24" x14ac:dyDescent="0.35">
      <c r="F51">
        <v>0</v>
      </c>
      <c r="G51">
        <v>48</v>
      </c>
      <c r="H51" s="5" t="b">
        <f>misc[[#This Row],[Core_Hitter_Count]]&gt;0</f>
        <v>0</v>
      </c>
      <c r="I51" t="b">
        <f>misc[[#This Row],[LLC_Hitter_Count]]&gt;0</f>
        <v>0</v>
      </c>
      <c r="J51" t="b">
        <f>misc[[#This Row],[CHA_Hitter_Count]]&gt;0</f>
        <v>0</v>
      </c>
      <c r="K51" t="str">
        <f>_xlfn.TEXTJOIN("",,"*SOCKET0**COMPUTE",misc[[#This Row],[Compute]],"**UNCORE**CHA**CHA",misc[[#This Row],[location]],splitchar,"UTIL**MC*STATUS*")</f>
        <v>*SOCKET0**COMPUTE0**UNCORE**CHA**CHA48__UTIL**MC*STATUS*</v>
      </c>
      <c r="L51">
        <f>COUNTIFS(cha_mc[TestName],misc[[#This Row],[CHA_MCA_String]],cha_mc[VisualId],MC_Check!$H$2)</f>
        <v>0</v>
      </c>
      <c r="M51" t="str">
        <f>_xlfn.TEXTJOIN("",,"*SOCKET0**COMPUTE",misc[[#This Row],[Compute]],"**CPU**CORE",misc[[#This Row],[location]],splitchar,"THREAD"&amp;"*",splitchar,"DCU*CR*MC1*STATUS**")</f>
        <v>*SOCKET0**COMPUTE0**CPU**CORE48__THREAD*__DCU*CR*MC1*STATUS**</v>
      </c>
      <c r="N51">
        <f>COUNTIFS(core_mc[TestName],misc[[#This Row],[DCU_MCA_String]],core_mc[VisualId],MC_Check!$H$2)</f>
        <v>0</v>
      </c>
      <c r="O51" t="str">
        <f>_xlfn.TEXTJOIN("",,"*SOCKET0**COMPUTE",misc[[#This Row],[Compute]],"**CPU**CORE",misc[[#This Row],[location]],splitchar,"DTLB*CR*MC2*STATUS**")</f>
        <v>*SOCKET0**COMPUTE0**CPU**CORE48__DTLB*CR*MC2*STATUS**</v>
      </c>
      <c r="P51">
        <f>COUNTIFS(core_mc[TestName],misc[[#This Row],[DTLB_MCA_String]],core_mc[VisualId],MC_Check!$H$2)</f>
        <v>0</v>
      </c>
      <c r="Q51" t="str">
        <f>_xlfn.TEXTJOIN("",,"*SOCKET0**COMPUTE",misc[[#This Row],[Compute]],"**CPU**CORE",misc[[#This Row],[location]],splitchar,"THREAD"&amp;"*",splitchar,"IFU*CR*MC0*STATUS**")</f>
        <v>*SOCKET0**COMPUTE0**CPU**CORE48__THREAD*__IFU*CR*MC0*STATUS**</v>
      </c>
      <c r="R51">
        <f>COUNTIFS(core_mc[TestName],misc[[#This Row],[IFU_MCA_String]],core_mc[VisualId],MC_Check!$H$2)</f>
        <v>0</v>
      </c>
      <c r="S51" t="str">
        <f>_xlfn.TEXTJOIN("",,"*SOCKET0**COMPUTE",misc[[#This Row],[Compute]],"**CPU**CORE",misc[[#This Row],[location]],splitchar,"ML2*CR*MC3*STATUS*")</f>
        <v>*SOCKET0**COMPUTE0**CPU**CORE48__ML2*CR*MC3*STATUS*</v>
      </c>
      <c r="T51">
        <f>COUNTIFS(core_mc[TestName],misc[[#This Row],[CORE_MCA_String]],core_mc[VisualId],MC_Check!$H$2)</f>
        <v>0</v>
      </c>
      <c r="U51">
        <f>misc[[#This Row],[Core_ML2_Count]]+misc[[#This Row],[Core_IFU_Count]]+misc[[#This Row],[Core_DCU_Count]]+misc[[#This Row],[Core_DTLB_Count]]</f>
        <v>0</v>
      </c>
      <c r="V51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51" t="str">
        <f>_xlfn.TEXTJOIN("",,"*SOCKET0**COMPUTE",misc[[#This Row],[Compute]],"**UNCORE**SCF**SCF*LLC**SCF*LLC",misc[[#This Row],[location]],splitchar,"MCI*STATUS*")</f>
        <v>*SOCKET0**COMPUTE0**UNCORE**SCF**SCF*LLC**SCF*LLC48__MCI*STATUS*</v>
      </c>
      <c r="X51">
        <f>COUNTIFS(cha_mc[TestName],misc[[#This Row],[LLC_MCA_String]],cha_mc[VisualId],MC_Check!$H$2)</f>
        <v>0</v>
      </c>
    </row>
    <row r="52" spans="6:24" x14ac:dyDescent="0.35">
      <c r="F52">
        <v>0</v>
      </c>
      <c r="G52">
        <v>49</v>
      </c>
      <c r="H52" s="5" t="b">
        <f>misc[[#This Row],[Core_Hitter_Count]]&gt;0</f>
        <v>0</v>
      </c>
      <c r="I52" t="b">
        <f>misc[[#This Row],[LLC_Hitter_Count]]&gt;0</f>
        <v>0</v>
      </c>
      <c r="J52" t="b">
        <f>misc[[#This Row],[CHA_Hitter_Count]]&gt;0</f>
        <v>0</v>
      </c>
      <c r="K52" t="str">
        <f>_xlfn.TEXTJOIN("",,"*SOCKET0**COMPUTE",misc[[#This Row],[Compute]],"**UNCORE**CHA**CHA",misc[[#This Row],[location]],splitchar,"UTIL**MC*STATUS*")</f>
        <v>*SOCKET0**COMPUTE0**UNCORE**CHA**CHA49__UTIL**MC*STATUS*</v>
      </c>
      <c r="L52">
        <f>COUNTIFS(cha_mc[TestName],misc[[#This Row],[CHA_MCA_String]],cha_mc[VisualId],MC_Check!$H$2)</f>
        <v>0</v>
      </c>
      <c r="M52" t="str">
        <f>_xlfn.TEXTJOIN("",,"*SOCKET0**COMPUTE",misc[[#This Row],[Compute]],"**CPU**CORE",misc[[#This Row],[location]],splitchar,"THREAD"&amp;"*",splitchar,"DCU*CR*MC1*STATUS**")</f>
        <v>*SOCKET0**COMPUTE0**CPU**CORE49__THREAD*__DCU*CR*MC1*STATUS**</v>
      </c>
      <c r="N52">
        <f>COUNTIFS(core_mc[TestName],misc[[#This Row],[DCU_MCA_String]],core_mc[VisualId],MC_Check!$H$2)</f>
        <v>0</v>
      </c>
      <c r="O52" t="str">
        <f>_xlfn.TEXTJOIN("",,"*SOCKET0**COMPUTE",misc[[#This Row],[Compute]],"**CPU**CORE",misc[[#This Row],[location]],splitchar,"DTLB*CR*MC2*STATUS**")</f>
        <v>*SOCKET0**COMPUTE0**CPU**CORE49__DTLB*CR*MC2*STATUS**</v>
      </c>
      <c r="P52">
        <f>COUNTIFS(core_mc[TestName],misc[[#This Row],[DTLB_MCA_String]],core_mc[VisualId],MC_Check!$H$2)</f>
        <v>0</v>
      </c>
      <c r="Q52" t="str">
        <f>_xlfn.TEXTJOIN("",,"*SOCKET0**COMPUTE",misc[[#This Row],[Compute]],"**CPU**CORE",misc[[#This Row],[location]],splitchar,"THREAD"&amp;"*",splitchar,"IFU*CR*MC0*STATUS**")</f>
        <v>*SOCKET0**COMPUTE0**CPU**CORE49__THREAD*__IFU*CR*MC0*STATUS**</v>
      </c>
      <c r="R52">
        <f>COUNTIFS(core_mc[TestName],misc[[#This Row],[IFU_MCA_String]],core_mc[VisualId],MC_Check!$H$2)</f>
        <v>0</v>
      </c>
      <c r="S52" t="str">
        <f>_xlfn.TEXTJOIN("",,"*SOCKET0**COMPUTE",misc[[#This Row],[Compute]],"**CPU**CORE",misc[[#This Row],[location]],splitchar,"ML2*CR*MC3*STATUS*")</f>
        <v>*SOCKET0**COMPUTE0**CPU**CORE49__ML2*CR*MC3*STATUS*</v>
      </c>
      <c r="T52">
        <f>COUNTIFS(core_mc[TestName],misc[[#This Row],[CORE_MCA_String]],core_mc[VisualId],MC_Check!$H$2)</f>
        <v>0</v>
      </c>
      <c r="U52">
        <f>misc[[#This Row],[Core_ML2_Count]]+misc[[#This Row],[Core_IFU_Count]]+misc[[#This Row],[Core_DCU_Count]]+misc[[#This Row],[Core_DTLB_Count]]</f>
        <v>0</v>
      </c>
      <c r="V52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52" t="str">
        <f>_xlfn.TEXTJOIN("",,"*SOCKET0**COMPUTE",misc[[#This Row],[Compute]],"**UNCORE**SCF**SCF*LLC**SCF*LLC",misc[[#This Row],[location]],splitchar,"MCI*STATUS*")</f>
        <v>*SOCKET0**COMPUTE0**UNCORE**SCF**SCF*LLC**SCF*LLC49__MCI*STATUS*</v>
      </c>
      <c r="X52">
        <f>COUNTIFS(cha_mc[TestName],misc[[#This Row],[LLC_MCA_String]],cha_mc[VisualId],MC_Check!$H$2)</f>
        <v>0</v>
      </c>
    </row>
    <row r="53" spans="6:24" x14ac:dyDescent="0.35">
      <c r="F53">
        <v>0</v>
      </c>
      <c r="G53">
        <v>50</v>
      </c>
      <c r="H53" s="5" t="b">
        <f>misc[[#This Row],[Core_Hitter_Count]]&gt;0</f>
        <v>0</v>
      </c>
      <c r="I53" t="b">
        <f>misc[[#This Row],[LLC_Hitter_Count]]&gt;0</f>
        <v>0</v>
      </c>
      <c r="J53" t="b">
        <f>misc[[#This Row],[CHA_Hitter_Count]]&gt;0</f>
        <v>0</v>
      </c>
      <c r="K53" t="str">
        <f>_xlfn.TEXTJOIN("",,"*SOCKET0**COMPUTE",misc[[#This Row],[Compute]],"**UNCORE**CHA**CHA",misc[[#This Row],[location]],splitchar,"UTIL**MC*STATUS*")</f>
        <v>*SOCKET0**COMPUTE0**UNCORE**CHA**CHA50__UTIL**MC*STATUS*</v>
      </c>
      <c r="L53">
        <f>COUNTIFS(cha_mc[TestName],misc[[#This Row],[CHA_MCA_String]],cha_mc[VisualId],MC_Check!$H$2)</f>
        <v>0</v>
      </c>
      <c r="M53" t="str">
        <f>_xlfn.TEXTJOIN("",,"*SOCKET0**COMPUTE",misc[[#This Row],[Compute]],"**CPU**CORE",misc[[#This Row],[location]],splitchar,"THREAD"&amp;"*",splitchar,"DCU*CR*MC1*STATUS**")</f>
        <v>*SOCKET0**COMPUTE0**CPU**CORE50__THREAD*__DCU*CR*MC1*STATUS**</v>
      </c>
      <c r="N53">
        <f>COUNTIFS(core_mc[TestName],misc[[#This Row],[DCU_MCA_String]],core_mc[VisualId],MC_Check!$H$2)</f>
        <v>0</v>
      </c>
      <c r="O53" t="str">
        <f>_xlfn.TEXTJOIN("",,"*SOCKET0**COMPUTE",misc[[#This Row],[Compute]],"**CPU**CORE",misc[[#This Row],[location]],splitchar,"DTLB*CR*MC2*STATUS**")</f>
        <v>*SOCKET0**COMPUTE0**CPU**CORE50__DTLB*CR*MC2*STATUS**</v>
      </c>
      <c r="P53">
        <f>COUNTIFS(core_mc[TestName],misc[[#This Row],[DTLB_MCA_String]],core_mc[VisualId],MC_Check!$H$2)</f>
        <v>0</v>
      </c>
      <c r="Q53" t="str">
        <f>_xlfn.TEXTJOIN("",,"*SOCKET0**COMPUTE",misc[[#This Row],[Compute]],"**CPU**CORE",misc[[#This Row],[location]],splitchar,"THREAD"&amp;"*",splitchar,"IFU*CR*MC0*STATUS**")</f>
        <v>*SOCKET0**COMPUTE0**CPU**CORE50__THREAD*__IFU*CR*MC0*STATUS**</v>
      </c>
      <c r="R53">
        <f>COUNTIFS(core_mc[TestName],misc[[#This Row],[IFU_MCA_String]],core_mc[VisualId],MC_Check!$H$2)</f>
        <v>0</v>
      </c>
      <c r="S53" t="str">
        <f>_xlfn.TEXTJOIN("",,"*SOCKET0**COMPUTE",misc[[#This Row],[Compute]],"**CPU**CORE",misc[[#This Row],[location]],splitchar,"ML2*CR*MC3*STATUS*")</f>
        <v>*SOCKET0**COMPUTE0**CPU**CORE50__ML2*CR*MC3*STATUS*</v>
      </c>
      <c r="T53">
        <f>COUNTIFS(core_mc[TestName],misc[[#This Row],[CORE_MCA_String]],core_mc[VisualId],MC_Check!$H$2)</f>
        <v>0</v>
      </c>
      <c r="U53">
        <f>misc[[#This Row],[Core_ML2_Count]]+misc[[#This Row],[Core_IFU_Count]]+misc[[#This Row],[Core_DCU_Count]]+misc[[#This Row],[Core_DTLB_Count]]</f>
        <v>0</v>
      </c>
      <c r="V53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53" t="str">
        <f>_xlfn.TEXTJOIN("",,"*SOCKET0**COMPUTE",misc[[#This Row],[Compute]],"**UNCORE**SCF**SCF*LLC**SCF*LLC",misc[[#This Row],[location]],splitchar,"MCI*STATUS*")</f>
        <v>*SOCKET0**COMPUTE0**UNCORE**SCF**SCF*LLC**SCF*LLC50__MCI*STATUS*</v>
      </c>
      <c r="X53">
        <f>COUNTIFS(cha_mc[TestName],misc[[#This Row],[LLC_MCA_String]],cha_mc[VisualId],MC_Check!$H$2)</f>
        <v>0</v>
      </c>
    </row>
    <row r="54" spans="6:24" x14ac:dyDescent="0.35">
      <c r="F54">
        <v>0</v>
      </c>
      <c r="G54">
        <v>51</v>
      </c>
      <c r="H54" s="5" t="b">
        <f>misc[[#This Row],[Core_Hitter_Count]]&gt;0</f>
        <v>0</v>
      </c>
      <c r="I54" t="b">
        <f>misc[[#This Row],[LLC_Hitter_Count]]&gt;0</f>
        <v>0</v>
      </c>
      <c r="J54" t="b">
        <f>misc[[#This Row],[CHA_Hitter_Count]]&gt;0</f>
        <v>0</v>
      </c>
      <c r="K54" t="str">
        <f>_xlfn.TEXTJOIN("",,"*SOCKET0**COMPUTE",misc[[#This Row],[Compute]],"**UNCORE**CHA**CHA",misc[[#This Row],[location]],splitchar,"UTIL**MC*STATUS*")</f>
        <v>*SOCKET0**COMPUTE0**UNCORE**CHA**CHA51__UTIL**MC*STATUS*</v>
      </c>
      <c r="L54">
        <f>COUNTIFS(cha_mc[TestName],misc[[#This Row],[CHA_MCA_String]],cha_mc[VisualId],MC_Check!$H$2)</f>
        <v>0</v>
      </c>
      <c r="M54" t="str">
        <f>_xlfn.TEXTJOIN("",,"*SOCKET0**COMPUTE",misc[[#This Row],[Compute]],"**CPU**CORE",misc[[#This Row],[location]],splitchar,"THREAD"&amp;"*",splitchar,"DCU*CR*MC1*STATUS**")</f>
        <v>*SOCKET0**COMPUTE0**CPU**CORE51__THREAD*__DCU*CR*MC1*STATUS**</v>
      </c>
      <c r="N54">
        <f>COUNTIFS(core_mc[TestName],misc[[#This Row],[DCU_MCA_String]],core_mc[VisualId],MC_Check!$H$2)</f>
        <v>0</v>
      </c>
      <c r="O54" t="str">
        <f>_xlfn.TEXTJOIN("",,"*SOCKET0**COMPUTE",misc[[#This Row],[Compute]],"**CPU**CORE",misc[[#This Row],[location]],splitchar,"DTLB*CR*MC2*STATUS**")</f>
        <v>*SOCKET0**COMPUTE0**CPU**CORE51__DTLB*CR*MC2*STATUS**</v>
      </c>
      <c r="P54">
        <f>COUNTIFS(core_mc[TestName],misc[[#This Row],[DTLB_MCA_String]],core_mc[VisualId],MC_Check!$H$2)</f>
        <v>0</v>
      </c>
      <c r="Q54" t="str">
        <f>_xlfn.TEXTJOIN("",,"*SOCKET0**COMPUTE",misc[[#This Row],[Compute]],"**CPU**CORE",misc[[#This Row],[location]],splitchar,"THREAD"&amp;"*",splitchar,"IFU*CR*MC0*STATUS**")</f>
        <v>*SOCKET0**COMPUTE0**CPU**CORE51__THREAD*__IFU*CR*MC0*STATUS**</v>
      </c>
      <c r="R54">
        <f>COUNTIFS(core_mc[TestName],misc[[#This Row],[IFU_MCA_String]],core_mc[VisualId],MC_Check!$H$2)</f>
        <v>0</v>
      </c>
      <c r="S54" t="str">
        <f>_xlfn.TEXTJOIN("",,"*SOCKET0**COMPUTE",misc[[#This Row],[Compute]],"**CPU**CORE",misc[[#This Row],[location]],splitchar,"ML2*CR*MC3*STATUS*")</f>
        <v>*SOCKET0**COMPUTE0**CPU**CORE51__ML2*CR*MC3*STATUS*</v>
      </c>
      <c r="T54">
        <f>COUNTIFS(core_mc[TestName],misc[[#This Row],[CORE_MCA_String]],core_mc[VisualId],MC_Check!$H$2)</f>
        <v>0</v>
      </c>
      <c r="U54">
        <f>misc[[#This Row],[Core_ML2_Count]]+misc[[#This Row],[Core_IFU_Count]]+misc[[#This Row],[Core_DCU_Count]]+misc[[#This Row],[Core_DTLB_Count]]</f>
        <v>0</v>
      </c>
      <c r="V54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54" t="str">
        <f>_xlfn.TEXTJOIN("",,"*SOCKET0**COMPUTE",misc[[#This Row],[Compute]],"**UNCORE**SCF**SCF*LLC**SCF*LLC",misc[[#This Row],[location]],splitchar,"MCI*STATUS*")</f>
        <v>*SOCKET0**COMPUTE0**UNCORE**SCF**SCF*LLC**SCF*LLC51__MCI*STATUS*</v>
      </c>
      <c r="X54">
        <f>COUNTIFS(cha_mc[TestName],misc[[#This Row],[LLC_MCA_String]],cha_mc[VisualId],MC_Check!$H$2)</f>
        <v>0</v>
      </c>
    </row>
    <row r="55" spans="6:24" x14ac:dyDescent="0.35">
      <c r="F55">
        <v>0</v>
      </c>
      <c r="G55">
        <v>52</v>
      </c>
      <c r="H55" s="5" t="b">
        <f>misc[[#This Row],[Core_Hitter_Count]]&gt;0</f>
        <v>0</v>
      </c>
      <c r="I55" t="b">
        <f>misc[[#This Row],[LLC_Hitter_Count]]&gt;0</f>
        <v>0</v>
      </c>
      <c r="J55" t="b">
        <f>misc[[#This Row],[CHA_Hitter_Count]]&gt;0</f>
        <v>0</v>
      </c>
      <c r="K55" t="str">
        <f>_xlfn.TEXTJOIN("",,"*SOCKET0**COMPUTE",misc[[#This Row],[Compute]],"**UNCORE**CHA**CHA",misc[[#This Row],[location]],splitchar,"UTIL**MC*STATUS*")</f>
        <v>*SOCKET0**COMPUTE0**UNCORE**CHA**CHA52__UTIL**MC*STATUS*</v>
      </c>
      <c r="L55">
        <f>COUNTIFS(cha_mc[TestName],misc[[#This Row],[CHA_MCA_String]],cha_mc[VisualId],MC_Check!$H$2)</f>
        <v>0</v>
      </c>
      <c r="M55" t="str">
        <f>_xlfn.TEXTJOIN("",,"*SOCKET0**COMPUTE",misc[[#This Row],[Compute]],"**CPU**CORE",misc[[#This Row],[location]],splitchar,"THREAD"&amp;"*",splitchar,"DCU*CR*MC1*STATUS**")</f>
        <v>*SOCKET0**COMPUTE0**CPU**CORE52__THREAD*__DCU*CR*MC1*STATUS**</v>
      </c>
      <c r="N55">
        <f>COUNTIFS(core_mc[TestName],misc[[#This Row],[DCU_MCA_String]],core_mc[VisualId],MC_Check!$H$2)</f>
        <v>0</v>
      </c>
      <c r="O55" t="str">
        <f>_xlfn.TEXTJOIN("",,"*SOCKET0**COMPUTE",misc[[#This Row],[Compute]],"**CPU**CORE",misc[[#This Row],[location]],splitchar,"DTLB*CR*MC2*STATUS**")</f>
        <v>*SOCKET0**COMPUTE0**CPU**CORE52__DTLB*CR*MC2*STATUS**</v>
      </c>
      <c r="P55">
        <f>COUNTIFS(core_mc[TestName],misc[[#This Row],[DTLB_MCA_String]],core_mc[VisualId],MC_Check!$H$2)</f>
        <v>0</v>
      </c>
      <c r="Q55" t="str">
        <f>_xlfn.TEXTJOIN("",,"*SOCKET0**COMPUTE",misc[[#This Row],[Compute]],"**CPU**CORE",misc[[#This Row],[location]],splitchar,"THREAD"&amp;"*",splitchar,"IFU*CR*MC0*STATUS**")</f>
        <v>*SOCKET0**COMPUTE0**CPU**CORE52__THREAD*__IFU*CR*MC0*STATUS**</v>
      </c>
      <c r="R55">
        <f>COUNTIFS(core_mc[TestName],misc[[#This Row],[IFU_MCA_String]],core_mc[VisualId],MC_Check!$H$2)</f>
        <v>0</v>
      </c>
      <c r="S55" t="str">
        <f>_xlfn.TEXTJOIN("",,"*SOCKET0**COMPUTE",misc[[#This Row],[Compute]],"**CPU**CORE",misc[[#This Row],[location]],splitchar,"ML2*CR*MC3*STATUS*")</f>
        <v>*SOCKET0**COMPUTE0**CPU**CORE52__ML2*CR*MC3*STATUS*</v>
      </c>
      <c r="T55">
        <f>COUNTIFS(core_mc[TestName],misc[[#This Row],[CORE_MCA_String]],core_mc[VisualId],MC_Check!$H$2)</f>
        <v>0</v>
      </c>
      <c r="U55">
        <f>misc[[#This Row],[Core_ML2_Count]]+misc[[#This Row],[Core_IFU_Count]]+misc[[#This Row],[Core_DCU_Count]]+misc[[#This Row],[Core_DTLB_Count]]</f>
        <v>0</v>
      </c>
      <c r="V55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55" t="str">
        <f>_xlfn.TEXTJOIN("",,"*SOCKET0**COMPUTE",misc[[#This Row],[Compute]],"**UNCORE**SCF**SCF*LLC**SCF*LLC",misc[[#This Row],[location]],splitchar,"MCI*STATUS*")</f>
        <v>*SOCKET0**COMPUTE0**UNCORE**SCF**SCF*LLC**SCF*LLC52__MCI*STATUS*</v>
      </c>
      <c r="X55">
        <f>COUNTIFS(cha_mc[TestName],misc[[#This Row],[LLC_MCA_String]],cha_mc[VisualId],MC_Check!$H$2)</f>
        <v>0</v>
      </c>
    </row>
    <row r="56" spans="6:24" x14ac:dyDescent="0.35">
      <c r="F56">
        <v>0</v>
      </c>
      <c r="G56">
        <v>53</v>
      </c>
      <c r="H56" s="5" t="b">
        <f>misc[[#This Row],[Core_Hitter_Count]]&gt;0</f>
        <v>0</v>
      </c>
      <c r="I56" t="b">
        <f>misc[[#This Row],[LLC_Hitter_Count]]&gt;0</f>
        <v>0</v>
      </c>
      <c r="J56" t="b">
        <f>misc[[#This Row],[CHA_Hitter_Count]]&gt;0</f>
        <v>0</v>
      </c>
      <c r="K56" t="str">
        <f>_xlfn.TEXTJOIN("",,"*SOCKET0**COMPUTE",misc[[#This Row],[Compute]],"**UNCORE**CHA**CHA",misc[[#This Row],[location]],splitchar,"UTIL**MC*STATUS*")</f>
        <v>*SOCKET0**COMPUTE0**UNCORE**CHA**CHA53__UTIL**MC*STATUS*</v>
      </c>
      <c r="L56">
        <f>COUNTIFS(cha_mc[TestName],misc[[#This Row],[CHA_MCA_String]],cha_mc[VisualId],MC_Check!$H$2)</f>
        <v>0</v>
      </c>
      <c r="M56" t="str">
        <f>_xlfn.TEXTJOIN("",,"*SOCKET0**COMPUTE",misc[[#This Row],[Compute]],"**CPU**CORE",misc[[#This Row],[location]],splitchar,"THREAD"&amp;"*",splitchar,"DCU*CR*MC1*STATUS**")</f>
        <v>*SOCKET0**COMPUTE0**CPU**CORE53__THREAD*__DCU*CR*MC1*STATUS**</v>
      </c>
      <c r="N56">
        <f>COUNTIFS(core_mc[TestName],misc[[#This Row],[DCU_MCA_String]],core_mc[VisualId],MC_Check!$H$2)</f>
        <v>0</v>
      </c>
      <c r="O56" t="str">
        <f>_xlfn.TEXTJOIN("",,"*SOCKET0**COMPUTE",misc[[#This Row],[Compute]],"**CPU**CORE",misc[[#This Row],[location]],splitchar,"DTLB*CR*MC2*STATUS**")</f>
        <v>*SOCKET0**COMPUTE0**CPU**CORE53__DTLB*CR*MC2*STATUS**</v>
      </c>
      <c r="P56">
        <f>COUNTIFS(core_mc[TestName],misc[[#This Row],[DTLB_MCA_String]],core_mc[VisualId],MC_Check!$H$2)</f>
        <v>0</v>
      </c>
      <c r="Q56" t="str">
        <f>_xlfn.TEXTJOIN("",,"*SOCKET0**COMPUTE",misc[[#This Row],[Compute]],"**CPU**CORE",misc[[#This Row],[location]],splitchar,"THREAD"&amp;"*",splitchar,"IFU*CR*MC0*STATUS**")</f>
        <v>*SOCKET0**COMPUTE0**CPU**CORE53__THREAD*__IFU*CR*MC0*STATUS**</v>
      </c>
      <c r="R56">
        <f>COUNTIFS(core_mc[TestName],misc[[#This Row],[IFU_MCA_String]],core_mc[VisualId],MC_Check!$H$2)</f>
        <v>0</v>
      </c>
      <c r="S56" t="str">
        <f>_xlfn.TEXTJOIN("",,"*SOCKET0**COMPUTE",misc[[#This Row],[Compute]],"**CPU**CORE",misc[[#This Row],[location]],splitchar,"ML2*CR*MC3*STATUS*")</f>
        <v>*SOCKET0**COMPUTE0**CPU**CORE53__ML2*CR*MC3*STATUS*</v>
      </c>
      <c r="T56">
        <f>COUNTIFS(core_mc[TestName],misc[[#This Row],[CORE_MCA_String]],core_mc[VisualId],MC_Check!$H$2)</f>
        <v>0</v>
      </c>
      <c r="U56">
        <f>misc[[#This Row],[Core_ML2_Count]]+misc[[#This Row],[Core_IFU_Count]]+misc[[#This Row],[Core_DCU_Count]]+misc[[#This Row],[Core_DTLB_Count]]</f>
        <v>0</v>
      </c>
      <c r="V56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56" t="str">
        <f>_xlfn.TEXTJOIN("",,"*SOCKET0**COMPUTE",misc[[#This Row],[Compute]],"**UNCORE**SCF**SCF*LLC**SCF*LLC",misc[[#This Row],[location]],splitchar,"MCI*STATUS*")</f>
        <v>*SOCKET0**COMPUTE0**UNCORE**SCF**SCF*LLC**SCF*LLC53__MCI*STATUS*</v>
      </c>
      <c r="X56">
        <f>COUNTIFS(cha_mc[TestName],misc[[#This Row],[LLC_MCA_String]],cha_mc[VisualId],MC_Check!$H$2)</f>
        <v>0</v>
      </c>
    </row>
    <row r="57" spans="6:24" x14ac:dyDescent="0.35">
      <c r="F57">
        <v>0</v>
      </c>
      <c r="G57">
        <v>54</v>
      </c>
      <c r="H57" s="5" t="b">
        <f>misc[[#This Row],[Core_Hitter_Count]]&gt;0</f>
        <v>0</v>
      </c>
      <c r="I57" t="b">
        <f>misc[[#This Row],[LLC_Hitter_Count]]&gt;0</f>
        <v>0</v>
      </c>
      <c r="J57" t="b">
        <f>misc[[#This Row],[CHA_Hitter_Count]]&gt;0</f>
        <v>0</v>
      </c>
      <c r="K57" t="str">
        <f>_xlfn.TEXTJOIN("",,"*SOCKET0**COMPUTE",misc[[#This Row],[Compute]],"**UNCORE**CHA**CHA",misc[[#This Row],[location]],splitchar,"UTIL**MC*STATUS*")</f>
        <v>*SOCKET0**COMPUTE0**UNCORE**CHA**CHA54__UTIL**MC*STATUS*</v>
      </c>
      <c r="L57">
        <f>COUNTIFS(cha_mc[TestName],misc[[#This Row],[CHA_MCA_String]],cha_mc[VisualId],MC_Check!$H$2)</f>
        <v>0</v>
      </c>
      <c r="M57" t="str">
        <f>_xlfn.TEXTJOIN("",,"*SOCKET0**COMPUTE",misc[[#This Row],[Compute]],"**CPU**CORE",misc[[#This Row],[location]],splitchar,"THREAD"&amp;"*",splitchar,"DCU*CR*MC1*STATUS**")</f>
        <v>*SOCKET0**COMPUTE0**CPU**CORE54__THREAD*__DCU*CR*MC1*STATUS**</v>
      </c>
      <c r="N57">
        <f>COUNTIFS(core_mc[TestName],misc[[#This Row],[DCU_MCA_String]],core_mc[VisualId],MC_Check!$H$2)</f>
        <v>0</v>
      </c>
      <c r="O57" t="str">
        <f>_xlfn.TEXTJOIN("",,"*SOCKET0**COMPUTE",misc[[#This Row],[Compute]],"**CPU**CORE",misc[[#This Row],[location]],splitchar,"DTLB*CR*MC2*STATUS**")</f>
        <v>*SOCKET0**COMPUTE0**CPU**CORE54__DTLB*CR*MC2*STATUS**</v>
      </c>
      <c r="P57">
        <f>COUNTIFS(core_mc[TestName],misc[[#This Row],[DTLB_MCA_String]],core_mc[VisualId],MC_Check!$H$2)</f>
        <v>0</v>
      </c>
      <c r="Q57" t="str">
        <f>_xlfn.TEXTJOIN("",,"*SOCKET0**COMPUTE",misc[[#This Row],[Compute]],"**CPU**CORE",misc[[#This Row],[location]],splitchar,"THREAD"&amp;"*",splitchar,"IFU*CR*MC0*STATUS**")</f>
        <v>*SOCKET0**COMPUTE0**CPU**CORE54__THREAD*__IFU*CR*MC0*STATUS**</v>
      </c>
      <c r="R57">
        <f>COUNTIFS(core_mc[TestName],misc[[#This Row],[IFU_MCA_String]],core_mc[VisualId],MC_Check!$H$2)</f>
        <v>0</v>
      </c>
      <c r="S57" t="str">
        <f>_xlfn.TEXTJOIN("",,"*SOCKET0**COMPUTE",misc[[#This Row],[Compute]],"**CPU**CORE",misc[[#This Row],[location]],splitchar,"ML2*CR*MC3*STATUS*")</f>
        <v>*SOCKET0**COMPUTE0**CPU**CORE54__ML2*CR*MC3*STATUS*</v>
      </c>
      <c r="T57">
        <f>COUNTIFS(core_mc[TestName],misc[[#This Row],[CORE_MCA_String]],core_mc[VisualId],MC_Check!$H$2)</f>
        <v>0</v>
      </c>
      <c r="U57">
        <f>misc[[#This Row],[Core_ML2_Count]]+misc[[#This Row],[Core_IFU_Count]]+misc[[#This Row],[Core_DCU_Count]]+misc[[#This Row],[Core_DTLB_Count]]</f>
        <v>0</v>
      </c>
      <c r="V57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57" t="str">
        <f>_xlfn.TEXTJOIN("",,"*SOCKET0**COMPUTE",misc[[#This Row],[Compute]],"**UNCORE**SCF**SCF*LLC**SCF*LLC",misc[[#This Row],[location]],splitchar,"MCI*STATUS*")</f>
        <v>*SOCKET0**COMPUTE0**UNCORE**SCF**SCF*LLC**SCF*LLC54__MCI*STATUS*</v>
      </c>
      <c r="X57">
        <f>COUNTIFS(cha_mc[TestName],misc[[#This Row],[LLC_MCA_String]],cha_mc[VisualId],MC_Check!$H$2)</f>
        <v>0</v>
      </c>
    </row>
    <row r="58" spans="6:24" x14ac:dyDescent="0.35">
      <c r="F58">
        <v>0</v>
      </c>
      <c r="G58">
        <v>55</v>
      </c>
      <c r="H58" s="5" t="b">
        <f>misc[[#This Row],[Core_Hitter_Count]]&gt;0</f>
        <v>0</v>
      </c>
      <c r="I58" t="b">
        <f>misc[[#This Row],[LLC_Hitter_Count]]&gt;0</f>
        <v>0</v>
      </c>
      <c r="J58" t="b">
        <f>misc[[#This Row],[CHA_Hitter_Count]]&gt;0</f>
        <v>0</v>
      </c>
      <c r="K58" t="str">
        <f>_xlfn.TEXTJOIN("",,"*SOCKET0**COMPUTE",misc[[#This Row],[Compute]],"**UNCORE**CHA**CHA",misc[[#This Row],[location]],splitchar,"UTIL**MC*STATUS*")</f>
        <v>*SOCKET0**COMPUTE0**UNCORE**CHA**CHA55__UTIL**MC*STATUS*</v>
      </c>
      <c r="L58">
        <f>COUNTIFS(cha_mc[TestName],misc[[#This Row],[CHA_MCA_String]],cha_mc[VisualId],MC_Check!$H$2)</f>
        <v>0</v>
      </c>
      <c r="M58" t="str">
        <f>_xlfn.TEXTJOIN("",,"*SOCKET0**COMPUTE",misc[[#This Row],[Compute]],"**CPU**CORE",misc[[#This Row],[location]],splitchar,"THREAD"&amp;"*",splitchar,"DCU*CR*MC1*STATUS**")</f>
        <v>*SOCKET0**COMPUTE0**CPU**CORE55__THREAD*__DCU*CR*MC1*STATUS**</v>
      </c>
      <c r="N58">
        <f>COUNTIFS(core_mc[TestName],misc[[#This Row],[DCU_MCA_String]],core_mc[VisualId],MC_Check!$H$2)</f>
        <v>0</v>
      </c>
      <c r="O58" t="str">
        <f>_xlfn.TEXTJOIN("",,"*SOCKET0**COMPUTE",misc[[#This Row],[Compute]],"**CPU**CORE",misc[[#This Row],[location]],splitchar,"DTLB*CR*MC2*STATUS**")</f>
        <v>*SOCKET0**COMPUTE0**CPU**CORE55__DTLB*CR*MC2*STATUS**</v>
      </c>
      <c r="P58">
        <f>COUNTIFS(core_mc[TestName],misc[[#This Row],[DTLB_MCA_String]],core_mc[VisualId],MC_Check!$H$2)</f>
        <v>0</v>
      </c>
      <c r="Q58" t="str">
        <f>_xlfn.TEXTJOIN("",,"*SOCKET0**COMPUTE",misc[[#This Row],[Compute]],"**CPU**CORE",misc[[#This Row],[location]],splitchar,"THREAD"&amp;"*",splitchar,"IFU*CR*MC0*STATUS**")</f>
        <v>*SOCKET0**COMPUTE0**CPU**CORE55__THREAD*__IFU*CR*MC0*STATUS**</v>
      </c>
      <c r="R58">
        <f>COUNTIFS(core_mc[TestName],misc[[#This Row],[IFU_MCA_String]],core_mc[VisualId],MC_Check!$H$2)</f>
        <v>0</v>
      </c>
      <c r="S58" t="str">
        <f>_xlfn.TEXTJOIN("",,"*SOCKET0**COMPUTE",misc[[#This Row],[Compute]],"**CPU**CORE",misc[[#This Row],[location]],splitchar,"ML2*CR*MC3*STATUS*")</f>
        <v>*SOCKET0**COMPUTE0**CPU**CORE55__ML2*CR*MC3*STATUS*</v>
      </c>
      <c r="T58">
        <f>COUNTIFS(core_mc[TestName],misc[[#This Row],[CORE_MCA_String]],core_mc[VisualId],MC_Check!$H$2)</f>
        <v>0</v>
      </c>
      <c r="U58">
        <f>misc[[#This Row],[Core_ML2_Count]]+misc[[#This Row],[Core_IFU_Count]]+misc[[#This Row],[Core_DCU_Count]]+misc[[#This Row],[Core_DTLB_Count]]</f>
        <v>0</v>
      </c>
      <c r="V58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58" t="str">
        <f>_xlfn.TEXTJOIN("",,"*SOCKET0**COMPUTE",misc[[#This Row],[Compute]],"**UNCORE**SCF**SCF*LLC**SCF*LLC",misc[[#This Row],[location]],splitchar,"MCI*STATUS*")</f>
        <v>*SOCKET0**COMPUTE0**UNCORE**SCF**SCF*LLC**SCF*LLC55__MCI*STATUS*</v>
      </c>
      <c r="X58">
        <f>COUNTIFS(cha_mc[TestName],misc[[#This Row],[LLC_MCA_String]],cha_mc[VisualId],MC_Check!$H$2)</f>
        <v>0</v>
      </c>
    </row>
    <row r="59" spans="6:24" x14ac:dyDescent="0.35">
      <c r="F59">
        <v>0</v>
      </c>
      <c r="G59">
        <v>56</v>
      </c>
      <c r="H59" s="5" t="b">
        <f>misc[[#This Row],[Core_Hitter_Count]]&gt;0</f>
        <v>0</v>
      </c>
      <c r="I59" t="b">
        <f>misc[[#This Row],[LLC_Hitter_Count]]&gt;0</f>
        <v>0</v>
      </c>
      <c r="J59" t="b">
        <f>misc[[#This Row],[CHA_Hitter_Count]]&gt;0</f>
        <v>0</v>
      </c>
      <c r="K59" t="str">
        <f>_xlfn.TEXTJOIN("",,"*SOCKET0**COMPUTE",misc[[#This Row],[Compute]],"**UNCORE**CHA**CHA",misc[[#This Row],[location]],splitchar,"UTIL**MC*STATUS*")</f>
        <v>*SOCKET0**COMPUTE0**UNCORE**CHA**CHA56__UTIL**MC*STATUS*</v>
      </c>
      <c r="L59">
        <f>COUNTIFS(cha_mc[TestName],misc[[#This Row],[CHA_MCA_String]],cha_mc[VisualId],MC_Check!$H$2)</f>
        <v>0</v>
      </c>
      <c r="M59" t="str">
        <f>_xlfn.TEXTJOIN("",,"*SOCKET0**COMPUTE",misc[[#This Row],[Compute]],"**CPU**CORE",misc[[#This Row],[location]],splitchar,"THREAD"&amp;"*",splitchar,"DCU*CR*MC1*STATUS**")</f>
        <v>*SOCKET0**COMPUTE0**CPU**CORE56__THREAD*__DCU*CR*MC1*STATUS**</v>
      </c>
      <c r="N59">
        <f>COUNTIFS(core_mc[TestName],misc[[#This Row],[DCU_MCA_String]],core_mc[VisualId],MC_Check!$H$2)</f>
        <v>0</v>
      </c>
      <c r="O59" t="str">
        <f>_xlfn.TEXTJOIN("",,"*SOCKET0**COMPUTE",misc[[#This Row],[Compute]],"**CPU**CORE",misc[[#This Row],[location]],splitchar,"DTLB*CR*MC2*STATUS**")</f>
        <v>*SOCKET0**COMPUTE0**CPU**CORE56__DTLB*CR*MC2*STATUS**</v>
      </c>
      <c r="P59">
        <f>COUNTIFS(core_mc[TestName],misc[[#This Row],[DTLB_MCA_String]],core_mc[VisualId],MC_Check!$H$2)</f>
        <v>0</v>
      </c>
      <c r="Q59" t="str">
        <f>_xlfn.TEXTJOIN("",,"*SOCKET0**COMPUTE",misc[[#This Row],[Compute]],"**CPU**CORE",misc[[#This Row],[location]],splitchar,"THREAD"&amp;"*",splitchar,"IFU*CR*MC0*STATUS**")</f>
        <v>*SOCKET0**COMPUTE0**CPU**CORE56__THREAD*__IFU*CR*MC0*STATUS**</v>
      </c>
      <c r="R59">
        <f>COUNTIFS(core_mc[TestName],misc[[#This Row],[IFU_MCA_String]],core_mc[VisualId],MC_Check!$H$2)</f>
        <v>0</v>
      </c>
      <c r="S59" t="str">
        <f>_xlfn.TEXTJOIN("",,"*SOCKET0**COMPUTE",misc[[#This Row],[Compute]],"**CPU**CORE",misc[[#This Row],[location]],splitchar,"ML2*CR*MC3*STATUS*")</f>
        <v>*SOCKET0**COMPUTE0**CPU**CORE56__ML2*CR*MC3*STATUS*</v>
      </c>
      <c r="T59">
        <f>COUNTIFS(core_mc[TestName],misc[[#This Row],[CORE_MCA_String]],core_mc[VisualId],MC_Check!$H$2)</f>
        <v>0</v>
      </c>
      <c r="U59">
        <f>misc[[#This Row],[Core_ML2_Count]]+misc[[#This Row],[Core_IFU_Count]]+misc[[#This Row],[Core_DCU_Count]]+misc[[#This Row],[Core_DTLB_Count]]</f>
        <v>0</v>
      </c>
      <c r="V59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59" t="str">
        <f>_xlfn.TEXTJOIN("",,"*SOCKET0**COMPUTE",misc[[#This Row],[Compute]],"**UNCORE**SCF**SCF*LLC**SCF*LLC",misc[[#This Row],[location]],splitchar,"MCI*STATUS*")</f>
        <v>*SOCKET0**COMPUTE0**UNCORE**SCF**SCF*LLC**SCF*LLC56__MCI*STATUS*</v>
      </c>
      <c r="X59">
        <f>COUNTIFS(cha_mc[TestName],misc[[#This Row],[LLC_MCA_String]],cha_mc[VisualId],MC_Check!$H$2)</f>
        <v>0</v>
      </c>
    </row>
    <row r="60" spans="6:24" x14ac:dyDescent="0.35">
      <c r="F60">
        <v>0</v>
      </c>
      <c r="G60">
        <v>57</v>
      </c>
      <c r="H60" s="5" t="b">
        <f>misc[[#This Row],[Core_Hitter_Count]]&gt;0</f>
        <v>0</v>
      </c>
      <c r="I60" t="b">
        <f>misc[[#This Row],[LLC_Hitter_Count]]&gt;0</f>
        <v>0</v>
      </c>
      <c r="J60" t="b">
        <f>misc[[#This Row],[CHA_Hitter_Count]]&gt;0</f>
        <v>0</v>
      </c>
      <c r="K60" t="str">
        <f>_xlfn.TEXTJOIN("",,"*SOCKET0**COMPUTE",misc[[#This Row],[Compute]],"**UNCORE**CHA**CHA",misc[[#This Row],[location]],splitchar,"UTIL**MC*STATUS*")</f>
        <v>*SOCKET0**COMPUTE0**UNCORE**CHA**CHA57__UTIL**MC*STATUS*</v>
      </c>
      <c r="L60">
        <f>COUNTIFS(cha_mc[TestName],misc[[#This Row],[CHA_MCA_String]],cha_mc[VisualId],MC_Check!$H$2)</f>
        <v>0</v>
      </c>
      <c r="M60" t="str">
        <f>_xlfn.TEXTJOIN("",,"*SOCKET0**COMPUTE",misc[[#This Row],[Compute]],"**CPU**CORE",misc[[#This Row],[location]],splitchar,"THREAD"&amp;"*",splitchar,"DCU*CR*MC1*STATUS**")</f>
        <v>*SOCKET0**COMPUTE0**CPU**CORE57__THREAD*__DCU*CR*MC1*STATUS**</v>
      </c>
      <c r="N60">
        <f>COUNTIFS(core_mc[TestName],misc[[#This Row],[DCU_MCA_String]],core_mc[VisualId],MC_Check!$H$2)</f>
        <v>0</v>
      </c>
      <c r="O60" t="str">
        <f>_xlfn.TEXTJOIN("",,"*SOCKET0**COMPUTE",misc[[#This Row],[Compute]],"**CPU**CORE",misc[[#This Row],[location]],splitchar,"DTLB*CR*MC2*STATUS**")</f>
        <v>*SOCKET0**COMPUTE0**CPU**CORE57__DTLB*CR*MC2*STATUS**</v>
      </c>
      <c r="P60">
        <f>COUNTIFS(core_mc[TestName],misc[[#This Row],[DTLB_MCA_String]],core_mc[VisualId],MC_Check!$H$2)</f>
        <v>0</v>
      </c>
      <c r="Q60" t="str">
        <f>_xlfn.TEXTJOIN("",,"*SOCKET0**COMPUTE",misc[[#This Row],[Compute]],"**CPU**CORE",misc[[#This Row],[location]],splitchar,"THREAD"&amp;"*",splitchar,"IFU*CR*MC0*STATUS**")</f>
        <v>*SOCKET0**COMPUTE0**CPU**CORE57__THREAD*__IFU*CR*MC0*STATUS**</v>
      </c>
      <c r="R60">
        <f>COUNTIFS(core_mc[TestName],misc[[#This Row],[IFU_MCA_String]],core_mc[VisualId],MC_Check!$H$2)</f>
        <v>0</v>
      </c>
      <c r="S60" t="str">
        <f>_xlfn.TEXTJOIN("",,"*SOCKET0**COMPUTE",misc[[#This Row],[Compute]],"**CPU**CORE",misc[[#This Row],[location]],splitchar,"ML2*CR*MC3*STATUS*")</f>
        <v>*SOCKET0**COMPUTE0**CPU**CORE57__ML2*CR*MC3*STATUS*</v>
      </c>
      <c r="T60">
        <f>COUNTIFS(core_mc[TestName],misc[[#This Row],[CORE_MCA_String]],core_mc[VisualId],MC_Check!$H$2)</f>
        <v>0</v>
      </c>
      <c r="U60">
        <f>misc[[#This Row],[Core_ML2_Count]]+misc[[#This Row],[Core_IFU_Count]]+misc[[#This Row],[Core_DCU_Count]]+misc[[#This Row],[Core_DTLB_Count]]</f>
        <v>0</v>
      </c>
      <c r="V60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60" t="str">
        <f>_xlfn.TEXTJOIN("",,"*SOCKET0**COMPUTE",misc[[#This Row],[Compute]],"**UNCORE**SCF**SCF*LLC**SCF*LLC",misc[[#This Row],[location]],splitchar,"MCI*STATUS*")</f>
        <v>*SOCKET0**COMPUTE0**UNCORE**SCF**SCF*LLC**SCF*LLC57__MCI*STATUS*</v>
      </c>
      <c r="X60">
        <f>COUNTIFS(cha_mc[TestName],misc[[#This Row],[LLC_MCA_String]],cha_mc[VisualId],MC_Check!$H$2)</f>
        <v>0</v>
      </c>
    </row>
    <row r="61" spans="6:24" x14ac:dyDescent="0.35">
      <c r="F61">
        <v>0</v>
      </c>
      <c r="G61">
        <v>58</v>
      </c>
      <c r="H61" s="5" t="b">
        <f>misc[[#This Row],[Core_Hitter_Count]]&gt;0</f>
        <v>0</v>
      </c>
      <c r="I61" t="b">
        <f>misc[[#This Row],[LLC_Hitter_Count]]&gt;0</f>
        <v>0</v>
      </c>
      <c r="J61" t="b">
        <f>misc[[#This Row],[CHA_Hitter_Count]]&gt;0</f>
        <v>0</v>
      </c>
      <c r="K61" t="str">
        <f>_xlfn.TEXTJOIN("",,"*SOCKET0**COMPUTE",misc[[#This Row],[Compute]],"**UNCORE**CHA**CHA",misc[[#This Row],[location]],splitchar,"UTIL**MC*STATUS*")</f>
        <v>*SOCKET0**COMPUTE0**UNCORE**CHA**CHA58__UTIL**MC*STATUS*</v>
      </c>
      <c r="L61">
        <f>COUNTIFS(cha_mc[TestName],misc[[#This Row],[CHA_MCA_String]],cha_mc[VisualId],MC_Check!$H$2)</f>
        <v>0</v>
      </c>
      <c r="M61" t="str">
        <f>_xlfn.TEXTJOIN("",,"*SOCKET0**COMPUTE",misc[[#This Row],[Compute]],"**CPU**CORE",misc[[#This Row],[location]],splitchar,"THREAD"&amp;"*",splitchar,"DCU*CR*MC1*STATUS**")</f>
        <v>*SOCKET0**COMPUTE0**CPU**CORE58__THREAD*__DCU*CR*MC1*STATUS**</v>
      </c>
      <c r="N61">
        <f>COUNTIFS(core_mc[TestName],misc[[#This Row],[DCU_MCA_String]],core_mc[VisualId],MC_Check!$H$2)</f>
        <v>0</v>
      </c>
      <c r="O61" t="str">
        <f>_xlfn.TEXTJOIN("",,"*SOCKET0**COMPUTE",misc[[#This Row],[Compute]],"**CPU**CORE",misc[[#This Row],[location]],splitchar,"DTLB*CR*MC2*STATUS**")</f>
        <v>*SOCKET0**COMPUTE0**CPU**CORE58__DTLB*CR*MC2*STATUS**</v>
      </c>
      <c r="P61">
        <f>COUNTIFS(core_mc[TestName],misc[[#This Row],[DTLB_MCA_String]],core_mc[VisualId],MC_Check!$H$2)</f>
        <v>0</v>
      </c>
      <c r="Q61" t="str">
        <f>_xlfn.TEXTJOIN("",,"*SOCKET0**COMPUTE",misc[[#This Row],[Compute]],"**CPU**CORE",misc[[#This Row],[location]],splitchar,"THREAD"&amp;"*",splitchar,"IFU*CR*MC0*STATUS**")</f>
        <v>*SOCKET0**COMPUTE0**CPU**CORE58__THREAD*__IFU*CR*MC0*STATUS**</v>
      </c>
      <c r="R61">
        <f>COUNTIFS(core_mc[TestName],misc[[#This Row],[IFU_MCA_String]],core_mc[VisualId],MC_Check!$H$2)</f>
        <v>0</v>
      </c>
      <c r="S61" t="str">
        <f>_xlfn.TEXTJOIN("",,"*SOCKET0**COMPUTE",misc[[#This Row],[Compute]],"**CPU**CORE",misc[[#This Row],[location]],splitchar,"ML2*CR*MC3*STATUS*")</f>
        <v>*SOCKET0**COMPUTE0**CPU**CORE58__ML2*CR*MC3*STATUS*</v>
      </c>
      <c r="T61">
        <f>COUNTIFS(core_mc[TestName],misc[[#This Row],[CORE_MCA_String]],core_mc[VisualId],MC_Check!$H$2)</f>
        <v>0</v>
      </c>
      <c r="U61">
        <f>misc[[#This Row],[Core_ML2_Count]]+misc[[#This Row],[Core_IFU_Count]]+misc[[#This Row],[Core_DCU_Count]]+misc[[#This Row],[Core_DTLB_Count]]</f>
        <v>0</v>
      </c>
      <c r="V61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61" t="str">
        <f>_xlfn.TEXTJOIN("",,"*SOCKET0**COMPUTE",misc[[#This Row],[Compute]],"**UNCORE**SCF**SCF*LLC**SCF*LLC",misc[[#This Row],[location]],splitchar,"MCI*STATUS*")</f>
        <v>*SOCKET0**COMPUTE0**UNCORE**SCF**SCF*LLC**SCF*LLC58__MCI*STATUS*</v>
      </c>
      <c r="X61">
        <f>COUNTIFS(cha_mc[TestName],misc[[#This Row],[LLC_MCA_String]],cha_mc[VisualId],MC_Check!$H$2)</f>
        <v>0</v>
      </c>
    </row>
    <row r="62" spans="6:24" x14ac:dyDescent="0.35">
      <c r="F62">
        <v>0</v>
      </c>
      <c r="G62">
        <v>59</v>
      </c>
      <c r="H62" s="5" t="b">
        <f>misc[[#This Row],[Core_Hitter_Count]]&gt;0</f>
        <v>0</v>
      </c>
      <c r="I62" t="b">
        <f>misc[[#This Row],[LLC_Hitter_Count]]&gt;0</f>
        <v>0</v>
      </c>
      <c r="J62" t="b">
        <f>misc[[#This Row],[CHA_Hitter_Count]]&gt;0</f>
        <v>0</v>
      </c>
      <c r="K62" t="str">
        <f>_xlfn.TEXTJOIN("",,"*SOCKET0**COMPUTE",misc[[#This Row],[Compute]],"**UNCORE**CHA**CHA",misc[[#This Row],[location]],splitchar,"UTIL**MC*STATUS*")</f>
        <v>*SOCKET0**COMPUTE0**UNCORE**CHA**CHA59__UTIL**MC*STATUS*</v>
      </c>
      <c r="L62">
        <f>COUNTIFS(cha_mc[TestName],misc[[#This Row],[CHA_MCA_String]],cha_mc[VisualId],MC_Check!$H$2)</f>
        <v>0</v>
      </c>
      <c r="M62" t="str">
        <f>_xlfn.TEXTJOIN("",,"*SOCKET0**COMPUTE",misc[[#This Row],[Compute]],"**CPU**CORE",misc[[#This Row],[location]],splitchar,"THREAD"&amp;"*",splitchar,"DCU*CR*MC1*STATUS**")</f>
        <v>*SOCKET0**COMPUTE0**CPU**CORE59__THREAD*__DCU*CR*MC1*STATUS**</v>
      </c>
      <c r="N62">
        <f>COUNTIFS(core_mc[TestName],misc[[#This Row],[DCU_MCA_String]],core_mc[VisualId],MC_Check!$H$2)</f>
        <v>0</v>
      </c>
      <c r="O62" t="str">
        <f>_xlfn.TEXTJOIN("",,"*SOCKET0**COMPUTE",misc[[#This Row],[Compute]],"**CPU**CORE",misc[[#This Row],[location]],splitchar,"DTLB*CR*MC2*STATUS**")</f>
        <v>*SOCKET0**COMPUTE0**CPU**CORE59__DTLB*CR*MC2*STATUS**</v>
      </c>
      <c r="P62">
        <f>COUNTIFS(core_mc[TestName],misc[[#This Row],[DTLB_MCA_String]],core_mc[VisualId],MC_Check!$H$2)</f>
        <v>0</v>
      </c>
      <c r="Q62" t="str">
        <f>_xlfn.TEXTJOIN("",,"*SOCKET0**COMPUTE",misc[[#This Row],[Compute]],"**CPU**CORE",misc[[#This Row],[location]],splitchar,"THREAD"&amp;"*",splitchar,"IFU*CR*MC0*STATUS**")</f>
        <v>*SOCKET0**COMPUTE0**CPU**CORE59__THREAD*__IFU*CR*MC0*STATUS**</v>
      </c>
      <c r="R62">
        <f>COUNTIFS(core_mc[TestName],misc[[#This Row],[IFU_MCA_String]],core_mc[VisualId],MC_Check!$H$2)</f>
        <v>0</v>
      </c>
      <c r="S62" t="str">
        <f>_xlfn.TEXTJOIN("",,"*SOCKET0**COMPUTE",misc[[#This Row],[Compute]],"**CPU**CORE",misc[[#This Row],[location]],splitchar,"ML2*CR*MC3*STATUS*")</f>
        <v>*SOCKET0**COMPUTE0**CPU**CORE59__ML2*CR*MC3*STATUS*</v>
      </c>
      <c r="T62">
        <f>COUNTIFS(core_mc[TestName],misc[[#This Row],[CORE_MCA_String]],core_mc[VisualId],MC_Check!$H$2)</f>
        <v>0</v>
      </c>
      <c r="U62">
        <f>misc[[#This Row],[Core_ML2_Count]]+misc[[#This Row],[Core_IFU_Count]]+misc[[#This Row],[Core_DCU_Count]]+misc[[#This Row],[Core_DTLB_Count]]</f>
        <v>0</v>
      </c>
      <c r="V62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62" t="str">
        <f>_xlfn.TEXTJOIN("",,"*SOCKET0**COMPUTE",misc[[#This Row],[Compute]],"**UNCORE**SCF**SCF*LLC**SCF*LLC",misc[[#This Row],[location]],splitchar,"MCI*STATUS*")</f>
        <v>*SOCKET0**COMPUTE0**UNCORE**SCF**SCF*LLC**SCF*LLC59__MCI*STATUS*</v>
      </c>
      <c r="X62">
        <f>COUNTIFS(cha_mc[TestName],misc[[#This Row],[LLC_MCA_String]],cha_mc[VisualId],MC_Check!$H$2)</f>
        <v>0</v>
      </c>
    </row>
    <row r="63" spans="6:24" x14ac:dyDescent="0.35">
      <c r="F63">
        <v>1</v>
      </c>
      <c r="G63">
        <f t="shared" ref="G63:G94" si="0">G62+1</f>
        <v>60</v>
      </c>
      <c r="H63" s="5" t="b">
        <f>misc[[#This Row],[Core_Hitter_Count]]&gt;0</f>
        <v>0</v>
      </c>
      <c r="I63" t="b">
        <f>misc[[#This Row],[LLC_Hitter_Count]]&gt;0</f>
        <v>0</v>
      </c>
      <c r="J63" t="b">
        <f>misc[[#This Row],[CHA_Hitter_Count]]&gt;0</f>
        <v>0</v>
      </c>
      <c r="K63" t="str">
        <f>_xlfn.TEXTJOIN("",,"*SOCKET0**COMPUTE",misc[[#This Row],[Compute]],"**UNCORE**CHA**CHA",misc[[#This Row],[location]],splitchar,"UTIL**MC*STATUS*")</f>
        <v>*SOCKET0**COMPUTE1**UNCORE**CHA**CHA60__UTIL**MC*STATUS*</v>
      </c>
      <c r="L63">
        <f>COUNTIFS(cha_mc[TestName],misc[[#This Row],[CHA_MCA_String]],cha_mc[VisualId],MC_Check!$H$2)</f>
        <v>0</v>
      </c>
      <c r="M63" t="str">
        <f>_xlfn.TEXTJOIN("",,"*SOCKET0**COMPUTE",misc[[#This Row],[Compute]],"**CPU**CORE",misc[[#This Row],[location]],splitchar,"THREAD"&amp;"*",splitchar,"DCU*CR*MC1*STATUS**")</f>
        <v>*SOCKET0**COMPUTE1**CPU**CORE60__THREAD*__DCU*CR*MC1*STATUS**</v>
      </c>
      <c r="N63">
        <f>COUNTIFS(core_mc[TestName],misc[[#This Row],[DCU_MCA_String]],core_mc[VisualId],MC_Check!$H$2)</f>
        <v>0</v>
      </c>
      <c r="O63" t="str">
        <f>_xlfn.TEXTJOIN("",,"*SOCKET0**COMPUTE",misc[[#This Row],[Compute]],"**CPU**CORE",misc[[#This Row],[location]],splitchar,"DTLB*CR*MC2*STATUS**")</f>
        <v>*SOCKET0**COMPUTE1**CPU**CORE60__DTLB*CR*MC2*STATUS**</v>
      </c>
      <c r="P63">
        <f>COUNTIFS(core_mc[TestName],misc[[#This Row],[DTLB_MCA_String]],core_mc[VisualId],MC_Check!$H$2)</f>
        <v>0</v>
      </c>
      <c r="Q63" t="str">
        <f>_xlfn.TEXTJOIN("",,"*SOCKET0**COMPUTE",misc[[#This Row],[Compute]],"**CPU**CORE",misc[[#This Row],[location]],splitchar,"THREAD"&amp;"*",splitchar,"IFU*CR*MC0*STATUS**")</f>
        <v>*SOCKET0**COMPUTE1**CPU**CORE60__THREAD*__IFU*CR*MC0*STATUS**</v>
      </c>
      <c r="R63">
        <f>COUNTIFS(core_mc[TestName],misc[[#This Row],[IFU_MCA_String]],core_mc[VisualId],MC_Check!$H$2)</f>
        <v>0</v>
      </c>
      <c r="S63" t="str">
        <f>_xlfn.TEXTJOIN("",,"*SOCKET0**COMPUTE",misc[[#This Row],[Compute]],"**CPU**CORE",misc[[#This Row],[location]],splitchar,"ML2*CR*MC3*STATUS*")</f>
        <v>*SOCKET0**COMPUTE1**CPU**CORE60__ML2*CR*MC3*STATUS*</v>
      </c>
      <c r="T63">
        <f>COUNTIFS(core_mc[TestName],misc[[#This Row],[CORE_MCA_String]],core_mc[VisualId],MC_Check!$H$2)</f>
        <v>0</v>
      </c>
      <c r="U63">
        <f>misc[[#This Row],[Core_ML2_Count]]+misc[[#This Row],[Core_IFU_Count]]+misc[[#This Row],[Core_DCU_Count]]+misc[[#This Row],[Core_DTLB_Count]]</f>
        <v>0</v>
      </c>
      <c r="V63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63" t="str">
        <f>_xlfn.TEXTJOIN("",,"*SOCKET0**COMPUTE",misc[[#This Row],[Compute]],"**UNCORE**SCF**SCF*LLC**SCF*LLC",misc[[#This Row],[location]],splitchar,"MCI*STATUS*")</f>
        <v>*SOCKET0**COMPUTE1**UNCORE**SCF**SCF*LLC**SCF*LLC60__MCI*STATUS*</v>
      </c>
      <c r="X63">
        <f>COUNTIFS(cha_mc[TestName],misc[[#This Row],[LLC_MCA_String]],cha_mc[VisualId],MC_Check!$H$2)</f>
        <v>0</v>
      </c>
    </row>
    <row r="64" spans="6:24" x14ac:dyDescent="0.35">
      <c r="F64">
        <v>1</v>
      </c>
      <c r="G64">
        <f t="shared" si="0"/>
        <v>61</v>
      </c>
      <c r="H64" s="5" t="b">
        <f>misc[[#This Row],[Core_Hitter_Count]]&gt;0</f>
        <v>0</v>
      </c>
      <c r="I64" t="b">
        <f>misc[[#This Row],[LLC_Hitter_Count]]&gt;0</f>
        <v>0</v>
      </c>
      <c r="J64" t="b">
        <f>misc[[#This Row],[CHA_Hitter_Count]]&gt;0</f>
        <v>0</v>
      </c>
      <c r="K64" t="str">
        <f>_xlfn.TEXTJOIN("",,"*SOCKET0**COMPUTE",misc[[#This Row],[Compute]],"**UNCORE**CHA**CHA",misc[[#This Row],[location]],splitchar,"UTIL**MC*STATUS*")</f>
        <v>*SOCKET0**COMPUTE1**UNCORE**CHA**CHA61__UTIL**MC*STATUS*</v>
      </c>
      <c r="L64">
        <f>COUNTIFS(cha_mc[TestName],misc[[#This Row],[CHA_MCA_String]],cha_mc[VisualId],MC_Check!$H$2)</f>
        <v>0</v>
      </c>
      <c r="M64" t="str">
        <f>_xlfn.TEXTJOIN("",,"*SOCKET0**COMPUTE",misc[[#This Row],[Compute]],"**CPU**CORE",misc[[#This Row],[location]],splitchar,"THREAD"&amp;"*",splitchar,"DCU*CR*MC1*STATUS**")</f>
        <v>*SOCKET0**COMPUTE1**CPU**CORE61__THREAD*__DCU*CR*MC1*STATUS**</v>
      </c>
      <c r="N64">
        <f>COUNTIFS(core_mc[TestName],misc[[#This Row],[DCU_MCA_String]],core_mc[VisualId],MC_Check!$H$2)</f>
        <v>0</v>
      </c>
      <c r="O64" t="str">
        <f>_xlfn.TEXTJOIN("",,"*SOCKET0**COMPUTE",misc[[#This Row],[Compute]],"**CPU**CORE",misc[[#This Row],[location]],splitchar,"DTLB*CR*MC2*STATUS**")</f>
        <v>*SOCKET0**COMPUTE1**CPU**CORE61__DTLB*CR*MC2*STATUS**</v>
      </c>
      <c r="P64">
        <f>COUNTIFS(core_mc[TestName],misc[[#This Row],[DTLB_MCA_String]],core_mc[VisualId],MC_Check!$H$2)</f>
        <v>0</v>
      </c>
      <c r="Q64" t="str">
        <f>_xlfn.TEXTJOIN("",,"*SOCKET0**COMPUTE",misc[[#This Row],[Compute]],"**CPU**CORE",misc[[#This Row],[location]],splitchar,"THREAD"&amp;"*",splitchar,"IFU*CR*MC0*STATUS**")</f>
        <v>*SOCKET0**COMPUTE1**CPU**CORE61__THREAD*__IFU*CR*MC0*STATUS**</v>
      </c>
      <c r="R64">
        <f>COUNTIFS(core_mc[TestName],misc[[#This Row],[IFU_MCA_String]],core_mc[VisualId],MC_Check!$H$2)</f>
        <v>0</v>
      </c>
      <c r="S64" t="str">
        <f>_xlfn.TEXTJOIN("",,"*SOCKET0**COMPUTE",misc[[#This Row],[Compute]],"**CPU**CORE",misc[[#This Row],[location]],splitchar,"ML2*CR*MC3*STATUS*")</f>
        <v>*SOCKET0**COMPUTE1**CPU**CORE61__ML2*CR*MC3*STATUS*</v>
      </c>
      <c r="T64">
        <f>COUNTIFS(core_mc[TestName],misc[[#This Row],[CORE_MCA_String]],core_mc[VisualId],MC_Check!$H$2)</f>
        <v>0</v>
      </c>
      <c r="U64">
        <f>misc[[#This Row],[Core_ML2_Count]]+misc[[#This Row],[Core_IFU_Count]]+misc[[#This Row],[Core_DCU_Count]]+misc[[#This Row],[Core_DTLB_Count]]</f>
        <v>0</v>
      </c>
      <c r="V64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64" t="str">
        <f>_xlfn.TEXTJOIN("",,"*SOCKET0**COMPUTE",misc[[#This Row],[Compute]],"**UNCORE**SCF**SCF*LLC**SCF*LLC",misc[[#This Row],[location]],splitchar,"MCI*STATUS*")</f>
        <v>*SOCKET0**COMPUTE1**UNCORE**SCF**SCF*LLC**SCF*LLC61__MCI*STATUS*</v>
      </c>
      <c r="X64">
        <f>COUNTIFS(cha_mc[TestName],misc[[#This Row],[LLC_MCA_String]],cha_mc[VisualId],MC_Check!$H$2)</f>
        <v>0</v>
      </c>
    </row>
    <row r="65" spans="6:24" x14ac:dyDescent="0.35">
      <c r="F65">
        <v>1</v>
      </c>
      <c r="G65">
        <f t="shared" si="0"/>
        <v>62</v>
      </c>
      <c r="H65" s="5" t="b">
        <f>misc[[#This Row],[Core_Hitter_Count]]&gt;0</f>
        <v>0</v>
      </c>
      <c r="I65" t="b">
        <f>misc[[#This Row],[LLC_Hitter_Count]]&gt;0</f>
        <v>0</v>
      </c>
      <c r="J65" t="b">
        <f>misc[[#This Row],[CHA_Hitter_Count]]&gt;0</f>
        <v>0</v>
      </c>
      <c r="K65" t="str">
        <f>_xlfn.TEXTJOIN("",,"*SOCKET0**COMPUTE",misc[[#This Row],[Compute]],"**UNCORE**CHA**CHA",misc[[#This Row],[location]],splitchar,"UTIL**MC*STATUS*")</f>
        <v>*SOCKET0**COMPUTE1**UNCORE**CHA**CHA62__UTIL**MC*STATUS*</v>
      </c>
      <c r="L65">
        <f>COUNTIFS(cha_mc[TestName],misc[[#This Row],[CHA_MCA_String]],cha_mc[VisualId],MC_Check!$H$2)</f>
        <v>0</v>
      </c>
      <c r="M65" t="str">
        <f>_xlfn.TEXTJOIN("",,"*SOCKET0**COMPUTE",misc[[#This Row],[Compute]],"**CPU**CORE",misc[[#This Row],[location]],splitchar,"THREAD"&amp;"*",splitchar,"DCU*CR*MC1*STATUS**")</f>
        <v>*SOCKET0**COMPUTE1**CPU**CORE62__THREAD*__DCU*CR*MC1*STATUS**</v>
      </c>
      <c r="N65">
        <f>COUNTIFS(core_mc[TestName],misc[[#This Row],[DCU_MCA_String]],core_mc[VisualId],MC_Check!$H$2)</f>
        <v>0</v>
      </c>
      <c r="O65" t="str">
        <f>_xlfn.TEXTJOIN("",,"*SOCKET0**COMPUTE",misc[[#This Row],[Compute]],"**CPU**CORE",misc[[#This Row],[location]],splitchar,"DTLB*CR*MC2*STATUS**")</f>
        <v>*SOCKET0**COMPUTE1**CPU**CORE62__DTLB*CR*MC2*STATUS**</v>
      </c>
      <c r="P65">
        <f>COUNTIFS(core_mc[TestName],misc[[#This Row],[DTLB_MCA_String]],core_mc[VisualId],MC_Check!$H$2)</f>
        <v>0</v>
      </c>
      <c r="Q65" t="str">
        <f>_xlfn.TEXTJOIN("",,"*SOCKET0**COMPUTE",misc[[#This Row],[Compute]],"**CPU**CORE",misc[[#This Row],[location]],splitchar,"THREAD"&amp;"*",splitchar,"IFU*CR*MC0*STATUS**")</f>
        <v>*SOCKET0**COMPUTE1**CPU**CORE62__THREAD*__IFU*CR*MC0*STATUS**</v>
      </c>
      <c r="R65">
        <f>COUNTIFS(core_mc[TestName],misc[[#This Row],[IFU_MCA_String]],core_mc[VisualId],MC_Check!$H$2)</f>
        <v>0</v>
      </c>
      <c r="S65" t="str">
        <f>_xlfn.TEXTJOIN("",,"*SOCKET0**COMPUTE",misc[[#This Row],[Compute]],"**CPU**CORE",misc[[#This Row],[location]],splitchar,"ML2*CR*MC3*STATUS*")</f>
        <v>*SOCKET0**COMPUTE1**CPU**CORE62__ML2*CR*MC3*STATUS*</v>
      </c>
      <c r="T65">
        <f>COUNTIFS(core_mc[TestName],misc[[#This Row],[CORE_MCA_String]],core_mc[VisualId],MC_Check!$H$2)</f>
        <v>0</v>
      </c>
      <c r="U65">
        <f>misc[[#This Row],[Core_ML2_Count]]+misc[[#This Row],[Core_IFU_Count]]+misc[[#This Row],[Core_DCU_Count]]+misc[[#This Row],[Core_DTLB_Count]]</f>
        <v>0</v>
      </c>
      <c r="V65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65" t="str">
        <f>_xlfn.TEXTJOIN("",,"*SOCKET0**COMPUTE",misc[[#This Row],[Compute]],"**UNCORE**SCF**SCF*LLC**SCF*LLC",misc[[#This Row],[location]],splitchar,"MCI*STATUS*")</f>
        <v>*SOCKET0**COMPUTE1**UNCORE**SCF**SCF*LLC**SCF*LLC62__MCI*STATUS*</v>
      </c>
      <c r="X65">
        <f>COUNTIFS(cha_mc[TestName],misc[[#This Row],[LLC_MCA_String]],cha_mc[VisualId],MC_Check!$H$2)</f>
        <v>0</v>
      </c>
    </row>
    <row r="66" spans="6:24" x14ac:dyDescent="0.35">
      <c r="F66">
        <v>1</v>
      </c>
      <c r="G66">
        <f t="shared" si="0"/>
        <v>63</v>
      </c>
      <c r="H66" s="5" t="b">
        <f>misc[[#This Row],[Core_Hitter_Count]]&gt;0</f>
        <v>0</v>
      </c>
      <c r="I66" t="b">
        <f>misc[[#This Row],[LLC_Hitter_Count]]&gt;0</f>
        <v>0</v>
      </c>
      <c r="J66" t="b">
        <f>misc[[#This Row],[CHA_Hitter_Count]]&gt;0</f>
        <v>0</v>
      </c>
      <c r="K66" t="str">
        <f>_xlfn.TEXTJOIN("",,"*SOCKET0**COMPUTE",misc[[#This Row],[Compute]],"**UNCORE**CHA**CHA",misc[[#This Row],[location]],splitchar,"UTIL**MC*STATUS*")</f>
        <v>*SOCKET0**COMPUTE1**UNCORE**CHA**CHA63__UTIL**MC*STATUS*</v>
      </c>
      <c r="L66">
        <f>COUNTIFS(cha_mc[TestName],misc[[#This Row],[CHA_MCA_String]],cha_mc[VisualId],MC_Check!$H$2)</f>
        <v>0</v>
      </c>
      <c r="M66" t="str">
        <f>_xlfn.TEXTJOIN("",,"*SOCKET0**COMPUTE",misc[[#This Row],[Compute]],"**CPU**CORE",misc[[#This Row],[location]],splitchar,"THREAD"&amp;"*",splitchar,"DCU*CR*MC1*STATUS**")</f>
        <v>*SOCKET0**COMPUTE1**CPU**CORE63__THREAD*__DCU*CR*MC1*STATUS**</v>
      </c>
      <c r="N66">
        <f>COUNTIFS(core_mc[TestName],misc[[#This Row],[DCU_MCA_String]],core_mc[VisualId],MC_Check!$H$2)</f>
        <v>0</v>
      </c>
      <c r="O66" t="str">
        <f>_xlfn.TEXTJOIN("",,"*SOCKET0**COMPUTE",misc[[#This Row],[Compute]],"**CPU**CORE",misc[[#This Row],[location]],splitchar,"DTLB*CR*MC2*STATUS**")</f>
        <v>*SOCKET0**COMPUTE1**CPU**CORE63__DTLB*CR*MC2*STATUS**</v>
      </c>
      <c r="P66">
        <f>COUNTIFS(core_mc[TestName],misc[[#This Row],[DTLB_MCA_String]],core_mc[VisualId],MC_Check!$H$2)</f>
        <v>0</v>
      </c>
      <c r="Q66" t="str">
        <f>_xlfn.TEXTJOIN("",,"*SOCKET0**COMPUTE",misc[[#This Row],[Compute]],"**CPU**CORE",misc[[#This Row],[location]],splitchar,"THREAD"&amp;"*",splitchar,"IFU*CR*MC0*STATUS**")</f>
        <v>*SOCKET0**COMPUTE1**CPU**CORE63__THREAD*__IFU*CR*MC0*STATUS**</v>
      </c>
      <c r="R66">
        <f>COUNTIFS(core_mc[TestName],misc[[#This Row],[IFU_MCA_String]],core_mc[VisualId],MC_Check!$H$2)</f>
        <v>0</v>
      </c>
      <c r="S66" t="str">
        <f>_xlfn.TEXTJOIN("",,"*SOCKET0**COMPUTE",misc[[#This Row],[Compute]],"**CPU**CORE",misc[[#This Row],[location]],splitchar,"ML2*CR*MC3*STATUS*")</f>
        <v>*SOCKET0**COMPUTE1**CPU**CORE63__ML2*CR*MC3*STATUS*</v>
      </c>
      <c r="T66">
        <f>COUNTIFS(core_mc[TestName],misc[[#This Row],[CORE_MCA_String]],core_mc[VisualId],MC_Check!$H$2)</f>
        <v>0</v>
      </c>
      <c r="U66">
        <f>misc[[#This Row],[Core_ML2_Count]]+misc[[#This Row],[Core_IFU_Count]]+misc[[#This Row],[Core_DCU_Count]]+misc[[#This Row],[Core_DTLB_Count]]</f>
        <v>0</v>
      </c>
      <c r="V66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66" t="str">
        <f>_xlfn.TEXTJOIN("",,"*SOCKET0**COMPUTE",misc[[#This Row],[Compute]],"**UNCORE**SCF**SCF*LLC**SCF*LLC",misc[[#This Row],[location]],splitchar,"MCI*STATUS*")</f>
        <v>*SOCKET0**COMPUTE1**UNCORE**SCF**SCF*LLC**SCF*LLC63__MCI*STATUS*</v>
      </c>
      <c r="X66">
        <f>COUNTIFS(cha_mc[TestName],misc[[#This Row],[LLC_MCA_String]],cha_mc[VisualId],MC_Check!$H$2)</f>
        <v>0</v>
      </c>
    </row>
    <row r="67" spans="6:24" x14ac:dyDescent="0.35">
      <c r="F67">
        <v>1</v>
      </c>
      <c r="G67">
        <f t="shared" si="0"/>
        <v>64</v>
      </c>
      <c r="H67" s="5" t="b">
        <f>misc[[#This Row],[Core_Hitter_Count]]&gt;0</f>
        <v>0</v>
      </c>
      <c r="I67" t="b">
        <f>misc[[#This Row],[LLC_Hitter_Count]]&gt;0</f>
        <v>0</v>
      </c>
      <c r="J67" t="b">
        <f>misc[[#This Row],[CHA_Hitter_Count]]&gt;0</f>
        <v>0</v>
      </c>
      <c r="K67" t="str">
        <f>_xlfn.TEXTJOIN("",,"*SOCKET0**COMPUTE",misc[[#This Row],[Compute]],"**UNCORE**CHA**CHA",misc[[#This Row],[location]],splitchar,"UTIL**MC*STATUS*")</f>
        <v>*SOCKET0**COMPUTE1**UNCORE**CHA**CHA64__UTIL**MC*STATUS*</v>
      </c>
      <c r="L67">
        <f>COUNTIFS(cha_mc[TestName],misc[[#This Row],[CHA_MCA_String]],cha_mc[VisualId],MC_Check!$H$2)</f>
        <v>0</v>
      </c>
      <c r="M67" t="str">
        <f>_xlfn.TEXTJOIN("",,"*SOCKET0**COMPUTE",misc[[#This Row],[Compute]],"**CPU**CORE",misc[[#This Row],[location]],splitchar,"THREAD"&amp;"*",splitchar,"DCU*CR*MC1*STATUS**")</f>
        <v>*SOCKET0**COMPUTE1**CPU**CORE64__THREAD*__DCU*CR*MC1*STATUS**</v>
      </c>
      <c r="N67">
        <f>COUNTIFS(core_mc[TestName],misc[[#This Row],[DCU_MCA_String]],core_mc[VisualId],MC_Check!$H$2)</f>
        <v>0</v>
      </c>
      <c r="O67" t="str">
        <f>_xlfn.TEXTJOIN("",,"*SOCKET0**COMPUTE",misc[[#This Row],[Compute]],"**CPU**CORE",misc[[#This Row],[location]],splitchar,"DTLB*CR*MC2*STATUS**")</f>
        <v>*SOCKET0**COMPUTE1**CPU**CORE64__DTLB*CR*MC2*STATUS**</v>
      </c>
      <c r="P67">
        <f>COUNTIFS(core_mc[TestName],misc[[#This Row],[DTLB_MCA_String]],core_mc[VisualId],MC_Check!$H$2)</f>
        <v>0</v>
      </c>
      <c r="Q67" t="str">
        <f>_xlfn.TEXTJOIN("",,"*SOCKET0**COMPUTE",misc[[#This Row],[Compute]],"**CPU**CORE",misc[[#This Row],[location]],splitchar,"THREAD"&amp;"*",splitchar,"IFU*CR*MC0*STATUS**")</f>
        <v>*SOCKET0**COMPUTE1**CPU**CORE64__THREAD*__IFU*CR*MC0*STATUS**</v>
      </c>
      <c r="R67">
        <f>COUNTIFS(core_mc[TestName],misc[[#This Row],[IFU_MCA_String]],core_mc[VisualId],MC_Check!$H$2)</f>
        <v>0</v>
      </c>
      <c r="S67" t="str">
        <f>_xlfn.TEXTJOIN("",,"*SOCKET0**COMPUTE",misc[[#This Row],[Compute]],"**CPU**CORE",misc[[#This Row],[location]],splitchar,"ML2*CR*MC3*STATUS*")</f>
        <v>*SOCKET0**COMPUTE1**CPU**CORE64__ML2*CR*MC3*STATUS*</v>
      </c>
      <c r="T67">
        <f>COUNTIFS(core_mc[TestName],misc[[#This Row],[CORE_MCA_String]],core_mc[VisualId],MC_Check!$H$2)</f>
        <v>0</v>
      </c>
      <c r="U67">
        <f>misc[[#This Row],[Core_ML2_Count]]+misc[[#This Row],[Core_IFU_Count]]+misc[[#This Row],[Core_DCU_Count]]+misc[[#This Row],[Core_DTLB_Count]]</f>
        <v>0</v>
      </c>
      <c r="V67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67" t="str">
        <f>_xlfn.TEXTJOIN("",,"*SOCKET0**COMPUTE",misc[[#This Row],[Compute]],"**UNCORE**SCF**SCF*LLC**SCF*LLC",misc[[#This Row],[location]],splitchar,"MCI*STATUS*")</f>
        <v>*SOCKET0**COMPUTE1**UNCORE**SCF**SCF*LLC**SCF*LLC64__MCI*STATUS*</v>
      </c>
      <c r="X67">
        <f>COUNTIFS(cha_mc[TestName],misc[[#This Row],[LLC_MCA_String]],cha_mc[VisualId],MC_Check!$H$2)</f>
        <v>0</v>
      </c>
    </row>
    <row r="68" spans="6:24" x14ac:dyDescent="0.35">
      <c r="F68">
        <v>1</v>
      </c>
      <c r="G68">
        <f t="shared" si="0"/>
        <v>65</v>
      </c>
      <c r="H68" s="5" t="b">
        <f>misc[[#This Row],[Core_Hitter_Count]]&gt;0</f>
        <v>0</v>
      </c>
      <c r="I68" t="b">
        <f>misc[[#This Row],[LLC_Hitter_Count]]&gt;0</f>
        <v>0</v>
      </c>
      <c r="J68" t="b">
        <f>misc[[#This Row],[CHA_Hitter_Count]]&gt;0</f>
        <v>0</v>
      </c>
      <c r="K68" t="str">
        <f>_xlfn.TEXTJOIN("",,"*SOCKET0**COMPUTE",misc[[#This Row],[Compute]],"**UNCORE**CHA**CHA",misc[[#This Row],[location]],splitchar,"UTIL**MC*STATUS*")</f>
        <v>*SOCKET0**COMPUTE1**UNCORE**CHA**CHA65__UTIL**MC*STATUS*</v>
      </c>
      <c r="L68">
        <f>COUNTIFS(cha_mc[TestName],misc[[#This Row],[CHA_MCA_String]],cha_mc[VisualId],MC_Check!$H$2)</f>
        <v>0</v>
      </c>
      <c r="M68" t="str">
        <f>_xlfn.TEXTJOIN("",,"*SOCKET0**COMPUTE",misc[[#This Row],[Compute]],"**CPU**CORE",misc[[#This Row],[location]],splitchar,"THREAD"&amp;"*",splitchar,"DCU*CR*MC1*STATUS**")</f>
        <v>*SOCKET0**COMPUTE1**CPU**CORE65__THREAD*__DCU*CR*MC1*STATUS**</v>
      </c>
      <c r="N68">
        <f>COUNTIFS(core_mc[TestName],misc[[#This Row],[DCU_MCA_String]],core_mc[VisualId],MC_Check!$H$2)</f>
        <v>0</v>
      </c>
      <c r="O68" t="str">
        <f>_xlfn.TEXTJOIN("",,"*SOCKET0**COMPUTE",misc[[#This Row],[Compute]],"**CPU**CORE",misc[[#This Row],[location]],splitchar,"DTLB*CR*MC2*STATUS**")</f>
        <v>*SOCKET0**COMPUTE1**CPU**CORE65__DTLB*CR*MC2*STATUS**</v>
      </c>
      <c r="P68">
        <f>COUNTIFS(core_mc[TestName],misc[[#This Row],[DTLB_MCA_String]],core_mc[VisualId],MC_Check!$H$2)</f>
        <v>0</v>
      </c>
      <c r="Q68" t="str">
        <f>_xlfn.TEXTJOIN("",,"*SOCKET0**COMPUTE",misc[[#This Row],[Compute]],"**CPU**CORE",misc[[#This Row],[location]],splitchar,"THREAD"&amp;"*",splitchar,"IFU*CR*MC0*STATUS**")</f>
        <v>*SOCKET0**COMPUTE1**CPU**CORE65__THREAD*__IFU*CR*MC0*STATUS**</v>
      </c>
      <c r="R68">
        <f>COUNTIFS(core_mc[TestName],misc[[#This Row],[IFU_MCA_String]],core_mc[VisualId],MC_Check!$H$2)</f>
        <v>0</v>
      </c>
      <c r="S68" t="str">
        <f>_xlfn.TEXTJOIN("",,"*SOCKET0**COMPUTE",misc[[#This Row],[Compute]],"**CPU**CORE",misc[[#This Row],[location]],splitchar,"ML2*CR*MC3*STATUS*")</f>
        <v>*SOCKET0**COMPUTE1**CPU**CORE65__ML2*CR*MC3*STATUS*</v>
      </c>
      <c r="T68">
        <f>COUNTIFS(core_mc[TestName],misc[[#This Row],[CORE_MCA_String]],core_mc[VisualId],MC_Check!$H$2)</f>
        <v>0</v>
      </c>
      <c r="U68">
        <f>misc[[#This Row],[Core_ML2_Count]]+misc[[#This Row],[Core_IFU_Count]]+misc[[#This Row],[Core_DCU_Count]]+misc[[#This Row],[Core_DTLB_Count]]</f>
        <v>0</v>
      </c>
      <c r="V68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68" t="str">
        <f>_xlfn.TEXTJOIN("",,"*SOCKET0**COMPUTE",misc[[#This Row],[Compute]],"**UNCORE**SCF**SCF*LLC**SCF*LLC",misc[[#This Row],[location]],splitchar,"MCI*STATUS*")</f>
        <v>*SOCKET0**COMPUTE1**UNCORE**SCF**SCF*LLC**SCF*LLC65__MCI*STATUS*</v>
      </c>
      <c r="X68">
        <f>COUNTIFS(cha_mc[TestName],misc[[#This Row],[LLC_MCA_String]],cha_mc[VisualId],MC_Check!$H$2)</f>
        <v>0</v>
      </c>
    </row>
    <row r="69" spans="6:24" x14ac:dyDescent="0.35">
      <c r="F69">
        <v>1</v>
      </c>
      <c r="G69">
        <f t="shared" si="0"/>
        <v>66</v>
      </c>
      <c r="H69" s="5" t="b">
        <f>misc[[#This Row],[Core_Hitter_Count]]&gt;0</f>
        <v>0</v>
      </c>
      <c r="I69" t="b">
        <f>misc[[#This Row],[LLC_Hitter_Count]]&gt;0</f>
        <v>0</v>
      </c>
      <c r="J69" t="b">
        <f>misc[[#This Row],[CHA_Hitter_Count]]&gt;0</f>
        <v>0</v>
      </c>
      <c r="K69" t="str">
        <f>_xlfn.TEXTJOIN("",,"*SOCKET0**COMPUTE",misc[[#This Row],[Compute]],"**UNCORE**CHA**CHA",misc[[#This Row],[location]],splitchar,"UTIL**MC*STATUS*")</f>
        <v>*SOCKET0**COMPUTE1**UNCORE**CHA**CHA66__UTIL**MC*STATUS*</v>
      </c>
      <c r="L69">
        <f>COUNTIFS(cha_mc[TestName],misc[[#This Row],[CHA_MCA_String]],cha_mc[VisualId],MC_Check!$H$2)</f>
        <v>0</v>
      </c>
      <c r="M69" t="str">
        <f>_xlfn.TEXTJOIN("",,"*SOCKET0**COMPUTE",misc[[#This Row],[Compute]],"**CPU**CORE",misc[[#This Row],[location]],splitchar,"THREAD"&amp;"*",splitchar,"DCU*CR*MC1*STATUS**")</f>
        <v>*SOCKET0**COMPUTE1**CPU**CORE66__THREAD*__DCU*CR*MC1*STATUS**</v>
      </c>
      <c r="N69">
        <f>COUNTIFS(core_mc[TestName],misc[[#This Row],[DCU_MCA_String]],core_mc[VisualId],MC_Check!$H$2)</f>
        <v>0</v>
      </c>
      <c r="O69" t="str">
        <f>_xlfn.TEXTJOIN("",,"*SOCKET0**COMPUTE",misc[[#This Row],[Compute]],"**CPU**CORE",misc[[#This Row],[location]],splitchar,"DTLB*CR*MC2*STATUS**")</f>
        <v>*SOCKET0**COMPUTE1**CPU**CORE66__DTLB*CR*MC2*STATUS**</v>
      </c>
      <c r="P69">
        <f>COUNTIFS(core_mc[TestName],misc[[#This Row],[DTLB_MCA_String]],core_mc[VisualId],MC_Check!$H$2)</f>
        <v>0</v>
      </c>
      <c r="Q69" t="str">
        <f>_xlfn.TEXTJOIN("",,"*SOCKET0**COMPUTE",misc[[#This Row],[Compute]],"**CPU**CORE",misc[[#This Row],[location]],splitchar,"THREAD"&amp;"*",splitchar,"IFU*CR*MC0*STATUS**")</f>
        <v>*SOCKET0**COMPUTE1**CPU**CORE66__THREAD*__IFU*CR*MC0*STATUS**</v>
      </c>
      <c r="R69">
        <f>COUNTIFS(core_mc[TestName],misc[[#This Row],[IFU_MCA_String]],core_mc[VisualId],MC_Check!$H$2)</f>
        <v>0</v>
      </c>
      <c r="S69" t="str">
        <f>_xlfn.TEXTJOIN("",,"*SOCKET0**COMPUTE",misc[[#This Row],[Compute]],"**CPU**CORE",misc[[#This Row],[location]],splitchar,"ML2*CR*MC3*STATUS*")</f>
        <v>*SOCKET0**COMPUTE1**CPU**CORE66__ML2*CR*MC3*STATUS*</v>
      </c>
      <c r="T69">
        <f>COUNTIFS(core_mc[TestName],misc[[#This Row],[CORE_MCA_String]],core_mc[VisualId],MC_Check!$H$2)</f>
        <v>0</v>
      </c>
      <c r="U69">
        <f>misc[[#This Row],[Core_ML2_Count]]+misc[[#This Row],[Core_IFU_Count]]+misc[[#This Row],[Core_DCU_Count]]+misc[[#This Row],[Core_DTLB_Count]]</f>
        <v>0</v>
      </c>
      <c r="V69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69" t="str">
        <f>_xlfn.TEXTJOIN("",,"*SOCKET0**COMPUTE",misc[[#This Row],[Compute]],"**UNCORE**SCF**SCF*LLC**SCF*LLC",misc[[#This Row],[location]],splitchar,"MCI*STATUS*")</f>
        <v>*SOCKET0**COMPUTE1**UNCORE**SCF**SCF*LLC**SCF*LLC66__MCI*STATUS*</v>
      </c>
      <c r="X69">
        <f>COUNTIFS(cha_mc[TestName],misc[[#This Row],[LLC_MCA_String]],cha_mc[VisualId],MC_Check!$H$2)</f>
        <v>0</v>
      </c>
    </row>
    <row r="70" spans="6:24" x14ac:dyDescent="0.35">
      <c r="F70">
        <v>1</v>
      </c>
      <c r="G70">
        <f t="shared" si="0"/>
        <v>67</v>
      </c>
      <c r="H70" s="5" t="b">
        <f>misc[[#This Row],[Core_Hitter_Count]]&gt;0</f>
        <v>0</v>
      </c>
      <c r="I70" t="b">
        <f>misc[[#This Row],[LLC_Hitter_Count]]&gt;0</f>
        <v>0</v>
      </c>
      <c r="J70" t="b">
        <f>misc[[#This Row],[CHA_Hitter_Count]]&gt;0</f>
        <v>0</v>
      </c>
      <c r="K70" t="str">
        <f>_xlfn.TEXTJOIN("",,"*SOCKET0**COMPUTE",misc[[#This Row],[Compute]],"**UNCORE**CHA**CHA",misc[[#This Row],[location]],splitchar,"UTIL**MC*STATUS*")</f>
        <v>*SOCKET0**COMPUTE1**UNCORE**CHA**CHA67__UTIL**MC*STATUS*</v>
      </c>
      <c r="L70">
        <f>COUNTIFS(cha_mc[TestName],misc[[#This Row],[CHA_MCA_String]],cha_mc[VisualId],MC_Check!$H$2)</f>
        <v>0</v>
      </c>
      <c r="M70" t="str">
        <f>_xlfn.TEXTJOIN("",,"*SOCKET0**COMPUTE",misc[[#This Row],[Compute]],"**CPU**CORE",misc[[#This Row],[location]],splitchar,"THREAD"&amp;"*",splitchar,"DCU*CR*MC1*STATUS**")</f>
        <v>*SOCKET0**COMPUTE1**CPU**CORE67__THREAD*__DCU*CR*MC1*STATUS**</v>
      </c>
      <c r="N70">
        <f>COUNTIFS(core_mc[TestName],misc[[#This Row],[DCU_MCA_String]],core_mc[VisualId],MC_Check!$H$2)</f>
        <v>0</v>
      </c>
      <c r="O70" t="str">
        <f>_xlfn.TEXTJOIN("",,"*SOCKET0**COMPUTE",misc[[#This Row],[Compute]],"**CPU**CORE",misc[[#This Row],[location]],splitchar,"DTLB*CR*MC2*STATUS**")</f>
        <v>*SOCKET0**COMPUTE1**CPU**CORE67__DTLB*CR*MC2*STATUS**</v>
      </c>
      <c r="P70">
        <f>COUNTIFS(core_mc[TestName],misc[[#This Row],[DTLB_MCA_String]],core_mc[VisualId],MC_Check!$H$2)</f>
        <v>0</v>
      </c>
      <c r="Q70" t="str">
        <f>_xlfn.TEXTJOIN("",,"*SOCKET0**COMPUTE",misc[[#This Row],[Compute]],"**CPU**CORE",misc[[#This Row],[location]],splitchar,"THREAD"&amp;"*",splitchar,"IFU*CR*MC0*STATUS**")</f>
        <v>*SOCKET0**COMPUTE1**CPU**CORE67__THREAD*__IFU*CR*MC0*STATUS**</v>
      </c>
      <c r="R70">
        <f>COUNTIFS(core_mc[TestName],misc[[#This Row],[IFU_MCA_String]],core_mc[VisualId],MC_Check!$H$2)</f>
        <v>0</v>
      </c>
      <c r="S70" t="str">
        <f>_xlfn.TEXTJOIN("",,"*SOCKET0**COMPUTE",misc[[#This Row],[Compute]],"**CPU**CORE",misc[[#This Row],[location]],splitchar,"ML2*CR*MC3*STATUS*")</f>
        <v>*SOCKET0**COMPUTE1**CPU**CORE67__ML2*CR*MC3*STATUS*</v>
      </c>
      <c r="T70">
        <f>COUNTIFS(core_mc[TestName],misc[[#This Row],[CORE_MCA_String]],core_mc[VisualId],MC_Check!$H$2)</f>
        <v>0</v>
      </c>
      <c r="U70">
        <f>misc[[#This Row],[Core_ML2_Count]]+misc[[#This Row],[Core_IFU_Count]]+misc[[#This Row],[Core_DCU_Count]]+misc[[#This Row],[Core_DTLB_Count]]</f>
        <v>0</v>
      </c>
      <c r="V70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70" t="str">
        <f>_xlfn.TEXTJOIN("",,"*SOCKET0**COMPUTE",misc[[#This Row],[Compute]],"**UNCORE**SCF**SCF*LLC**SCF*LLC",misc[[#This Row],[location]],splitchar,"MCI*STATUS*")</f>
        <v>*SOCKET0**COMPUTE1**UNCORE**SCF**SCF*LLC**SCF*LLC67__MCI*STATUS*</v>
      </c>
      <c r="X70">
        <f>COUNTIFS(cha_mc[TestName],misc[[#This Row],[LLC_MCA_String]],cha_mc[VisualId],MC_Check!$H$2)</f>
        <v>0</v>
      </c>
    </row>
    <row r="71" spans="6:24" x14ac:dyDescent="0.35">
      <c r="F71">
        <v>1</v>
      </c>
      <c r="G71">
        <f t="shared" si="0"/>
        <v>68</v>
      </c>
      <c r="H71" s="5" t="b">
        <f>misc[[#This Row],[Core_Hitter_Count]]&gt;0</f>
        <v>0</v>
      </c>
      <c r="I71" t="b">
        <f>misc[[#This Row],[LLC_Hitter_Count]]&gt;0</f>
        <v>0</v>
      </c>
      <c r="J71" t="b">
        <f>misc[[#This Row],[CHA_Hitter_Count]]&gt;0</f>
        <v>0</v>
      </c>
      <c r="K71" t="str">
        <f>_xlfn.TEXTJOIN("",,"*SOCKET0**COMPUTE",misc[[#This Row],[Compute]],"**UNCORE**CHA**CHA",misc[[#This Row],[location]],splitchar,"UTIL**MC*STATUS*")</f>
        <v>*SOCKET0**COMPUTE1**UNCORE**CHA**CHA68__UTIL**MC*STATUS*</v>
      </c>
      <c r="L71">
        <f>COUNTIFS(cha_mc[TestName],misc[[#This Row],[CHA_MCA_String]],cha_mc[VisualId],MC_Check!$H$2)</f>
        <v>0</v>
      </c>
      <c r="M71" t="str">
        <f>_xlfn.TEXTJOIN("",,"*SOCKET0**COMPUTE",misc[[#This Row],[Compute]],"**CPU**CORE",misc[[#This Row],[location]],splitchar,"THREAD"&amp;"*",splitchar,"DCU*CR*MC1*STATUS**")</f>
        <v>*SOCKET0**COMPUTE1**CPU**CORE68__THREAD*__DCU*CR*MC1*STATUS**</v>
      </c>
      <c r="N71">
        <f>COUNTIFS(core_mc[TestName],misc[[#This Row],[DCU_MCA_String]],core_mc[VisualId],MC_Check!$H$2)</f>
        <v>0</v>
      </c>
      <c r="O71" t="str">
        <f>_xlfn.TEXTJOIN("",,"*SOCKET0**COMPUTE",misc[[#This Row],[Compute]],"**CPU**CORE",misc[[#This Row],[location]],splitchar,"DTLB*CR*MC2*STATUS**")</f>
        <v>*SOCKET0**COMPUTE1**CPU**CORE68__DTLB*CR*MC2*STATUS**</v>
      </c>
      <c r="P71">
        <f>COUNTIFS(core_mc[TestName],misc[[#This Row],[DTLB_MCA_String]],core_mc[VisualId],MC_Check!$H$2)</f>
        <v>0</v>
      </c>
      <c r="Q71" t="str">
        <f>_xlfn.TEXTJOIN("",,"*SOCKET0**COMPUTE",misc[[#This Row],[Compute]],"**CPU**CORE",misc[[#This Row],[location]],splitchar,"THREAD"&amp;"*",splitchar,"IFU*CR*MC0*STATUS**")</f>
        <v>*SOCKET0**COMPUTE1**CPU**CORE68__THREAD*__IFU*CR*MC0*STATUS**</v>
      </c>
      <c r="R71">
        <f>COUNTIFS(core_mc[TestName],misc[[#This Row],[IFU_MCA_String]],core_mc[VisualId],MC_Check!$H$2)</f>
        <v>0</v>
      </c>
      <c r="S71" t="str">
        <f>_xlfn.TEXTJOIN("",,"*SOCKET0**COMPUTE",misc[[#This Row],[Compute]],"**CPU**CORE",misc[[#This Row],[location]],splitchar,"ML2*CR*MC3*STATUS*")</f>
        <v>*SOCKET0**COMPUTE1**CPU**CORE68__ML2*CR*MC3*STATUS*</v>
      </c>
      <c r="T71">
        <f>COUNTIFS(core_mc[TestName],misc[[#This Row],[CORE_MCA_String]],core_mc[VisualId],MC_Check!$H$2)</f>
        <v>0</v>
      </c>
      <c r="U71">
        <f>misc[[#This Row],[Core_ML2_Count]]+misc[[#This Row],[Core_IFU_Count]]+misc[[#This Row],[Core_DCU_Count]]+misc[[#This Row],[Core_DTLB_Count]]</f>
        <v>0</v>
      </c>
      <c r="V71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71" t="str">
        <f>_xlfn.TEXTJOIN("",,"*SOCKET0**COMPUTE",misc[[#This Row],[Compute]],"**UNCORE**SCF**SCF*LLC**SCF*LLC",misc[[#This Row],[location]],splitchar,"MCI*STATUS*")</f>
        <v>*SOCKET0**COMPUTE1**UNCORE**SCF**SCF*LLC**SCF*LLC68__MCI*STATUS*</v>
      </c>
      <c r="X71">
        <f>COUNTIFS(cha_mc[TestName],misc[[#This Row],[LLC_MCA_String]],cha_mc[VisualId],MC_Check!$H$2)</f>
        <v>0</v>
      </c>
    </row>
    <row r="72" spans="6:24" x14ac:dyDescent="0.35">
      <c r="F72">
        <v>1</v>
      </c>
      <c r="G72">
        <f t="shared" si="0"/>
        <v>69</v>
      </c>
      <c r="H72" s="5" t="b">
        <f>misc[[#This Row],[Core_Hitter_Count]]&gt;0</f>
        <v>0</v>
      </c>
      <c r="I72" t="b">
        <f>misc[[#This Row],[LLC_Hitter_Count]]&gt;0</f>
        <v>0</v>
      </c>
      <c r="J72" t="b">
        <f>misc[[#This Row],[CHA_Hitter_Count]]&gt;0</f>
        <v>0</v>
      </c>
      <c r="K72" t="str">
        <f>_xlfn.TEXTJOIN("",,"*SOCKET0**COMPUTE",misc[[#This Row],[Compute]],"**UNCORE**CHA**CHA",misc[[#This Row],[location]],splitchar,"UTIL**MC*STATUS*")</f>
        <v>*SOCKET0**COMPUTE1**UNCORE**CHA**CHA69__UTIL**MC*STATUS*</v>
      </c>
      <c r="L72">
        <f>COUNTIFS(cha_mc[TestName],misc[[#This Row],[CHA_MCA_String]],cha_mc[VisualId],MC_Check!$H$2)</f>
        <v>0</v>
      </c>
      <c r="M72" t="str">
        <f>_xlfn.TEXTJOIN("",,"*SOCKET0**COMPUTE",misc[[#This Row],[Compute]],"**CPU**CORE",misc[[#This Row],[location]],splitchar,"THREAD"&amp;"*",splitchar,"DCU*CR*MC1*STATUS**")</f>
        <v>*SOCKET0**COMPUTE1**CPU**CORE69__THREAD*__DCU*CR*MC1*STATUS**</v>
      </c>
      <c r="N72">
        <f>COUNTIFS(core_mc[TestName],misc[[#This Row],[DCU_MCA_String]],core_mc[VisualId],MC_Check!$H$2)</f>
        <v>0</v>
      </c>
      <c r="O72" t="str">
        <f>_xlfn.TEXTJOIN("",,"*SOCKET0**COMPUTE",misc[[#This Row],[Compute]],"**CPU**CORE",misc[[#This Row],[location]],splitchar,"DTLB*CR*MC2*STATUS**")</f>
        <v>*SOCKET0**COMPUTE1**CPU**CORE69__DTLB*CR*MC2*STATUS**</v>
      </c>
      <c r="P72">
        <f>COUNTIFS(core_mc[TestName],misc[[#This Row],[DTLB_MCA_String]],core_mc[VisualId],MC_Check!$H$2)</f>
        <v>0</v>
      </c>
      <c r="Q72" t="str">
        <f>_xlfn.TEXTJOIN("",,"*SOCKET0**COMPUTE",misc[[#This Row],[Compute]],"**CPU**CORE",misc[[#This Row],[location]],splitchar,"THREAD"&amp;"*",splitchar,"IFU*CR*MC0*STATUS**")</f>
        <v>*SOCKET0**COMPUTE1**CPU**CORE69__THREAD*__IFU*CR*MC0*STATUS**</v>
      </c>
      <c r="R72">
        <f>COUNTIFS(core_mc[TestName],misc[[#This Row],[IFU_MCA_String]],core_mc[VisualId],MC_Check!$H$2)</f>
        <v>0</v>
      </c>
      <c r="S72" t="str">
        <f>_xlfn.TEXTJOIN("",,"*SOCKET0**COMPUTE",misc[[#This Row],[Compute]],"**CPU**CORE",misc[[#This Row],[location]],splitchar,"ML2*CR*MC3*STATUS*")</f>
        <v>*SOCKET0**COMPUTE1**CPU**CORE69__ML2*CR*MC3*STATUS*</v>
      </c>
      <c r="T72">
        <f>COUNTIFS(core_mc[TestName],misc[[#This Row],[CORE_MCA_String]],core_mc[VisualId],MC_Check!$H$2)</f>
        <v>0</v>
      </c>
      <c r="U72">
        <f>misc[[#This Row],[Core_ML2_Count]]+misc[[#This Row],[Core_IFU_Count]]+misc[[#This Row],[Core_DCU_Count]]+misc[[#This Row],[Core_DTLB_Count]]</f>
        <v>0</v>
      </c>
      <c r="V72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72" t="str">
        <f>_xlfn.TEXTJOIN("",,"*SOCKET0**COMPUTE",misc[[#This Row],[Compute]],"**UNCORE**SCF**SCF*LLC**SCF*LLC",misc[[#This Row],[location]],splitchar,"MCI*STATUS*")</f>
        <v>*SOCKET0**COMPUTE1**UNCORE**SCF**SCF*LLC**SCF*LLC69__MCI*STATUS*</v>
      </c>
      <c r="X72">
        <f>COUNTIFS(cha_mc[TestName],misc[[#This Row],[LLC_MCA_String]],cha_mc[VisualId],MC_Check!$H$2)</f>
        <v>0</v>
      </c>
    </row>
    <row r="73" spans="6:24" x14ac:dyDescent="0.35">
      <c r="F73">
        <v>1</v>
      </c>
      <c r="G73">
        <f t="shared" si="0"/>
        <v>70</v>
      </c>
      <c r="H73" s="5" t="b">
        <f>misc[[#This Row],[Core_Hitter_Count]]&gt;0</f>
        <v>0</v>
      </c>
      <c r="I73" t="b">
        <f>misc[[#This Row],[LLC_Hitter_Count]]&gt;0</f>
        <v>0</v>
      </c>
      <c r="J73" t="b">
        <f>misc[[#This Row],[CHA_Hitter_Count]]&gt;0</f>
        <v>0</v>
      </c>
      <c r="K73" t="str">
        <f>_xlfn.TEXTJOIN("",,"*SOCKET0**COMPUTE",misc[[#This Row],[Compute]],"**UNCORE**CHA**CHA",misc[[#This Row],[location]],splitchar,"UTIL**MC*STATUS*")</f>
        <v>*SOCKET0**COMPUTE1**UNCORE**CHA**CHA70__UTIL**MC*STATUS*</v>
      </c>
      <c r="L73">
        <f>COUNTIFS(cha_mc[TestName],misc[[#This Row],[CHA_MCA_String]],cha_mc[VisualId],MC_Check!$H$2)</f>
        <v>0</v>
      </c>
      <c r="M73" t="str">
        <f>_xlfn.TEXTJOIN("",,"*SOCKET0**COMPUTE",misc[[#This Row],[Compute]],"**CPU**CORE",misc[[#This Row],[location]],splitchar,"THREAD"&amp;"*",splitchar,"DCU*CR*MC1*STATUS**")</f>
        <v>*SOCKET0**COMPUTE1**CPU**CORE70__THREAD*__DCU*CR*MC1*STATUS**</v>
      </c>
      <c r="N73">
        <f>COUNTIFS(core_mc[TestName],misc[[#This Row],[DCU_MCA_String]],core_mc[VisualId],MC_Check!$H$2)</f>
        <v>0</v>
      </c>
      <c r="O73" t="str">
        <f>_xlfn.TEXTJOIN("",,"*SOCKET0**COMPUTE",misc[[#This Row],[Compute]],"**CPU**CORE",misc[[#This Row],[location]],splitchar,"DTLB*CR*MC2*STATUS**")</f>
        <v>*SOCKET0**COMPUTE1**CPU**CORE70__DTLB*CR*MC2*STATUS**</v>
      </c>
      <c r="P73">
        <f>COUNTIFS(core_mc[TestName],misc[[#This Row],[DTLB_MCA_String]],core_mc[VisualId],MC_Check!$H$2)</f>
        <v>0</v>
      </c>
      <c r="Q73" t="str">
        <f>_xlfn.TEXTJOIN("",,"*SOCKET0**COMPUTE",misc[[#This Row],[Compute]],"**CPU**CORE",misc[[#This Row],[location]],splitchar,"THREAD"&amp;"*",splitchar,"IFU*CR*MC0*STATUS**")</f>
        <v>*SOCKET0**COMPUTE1**CPU**CORE70__THREAD*__IFU*CR*MC0*STATUS**</v>
      </c>
      <c r="R73">
        <f>COUNTIFS(core_mc[TestName],misc[[#This Row],[IFU_MCA_String]],core_mc[VisualId],MC_Check!$H$2)</f>
        <v>0</v>
      </c>
      <c r="S73" t="str">
        <f>_xlfn.TEXTJOIN("",,"*SOCKET0**COMPUTE",misc[[#This Row],[Compute]],"**CPU**CORE",misc[[#This Row],[location]],splitchar,"ML2*CR*MC3*STATUS*")</f>
        <v>*SOCKET0**COMPUTE1**CPU**CORE70__ML2*CR*MC3*STATUS*</v>
      </c>
      <c r="T73">
        <f>COUNTIFS(core_mc[TestName],misc[[#This Row],[CORE_MCA_String]],core_mc[VisualId],MC_Check!$H$2)</f>
        <v>0</v>
      </c>
      <c r="U73">
        <f>misc[[#This Row],[Core_ML2_Count]]+misc[[#This Row],[Core_IFU_Count]]+misc[[#This Row],[Core_DCU_Count]]+misc[[#This Row],[Core_DTLB_Count]]</f>
        <v>0</v>
      </c>
      <c r="V73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73" t="str">
        <f>_xlfn.TEXTJOIN("",,"*SOCKET0**COMPUTE",misc[[#This Row],[Compute]],"**UNCORE**SCF**SCF*LLC**SCF*LLC",misc[[#This Row],[location]],splitchar,"MCI*STATUS*")</f>
        <v>*SOCKET0**COMPUTE1**UNCORE**SCF**SCF*LLC**SCF*LLC70__MCI*STATUS*</v>
      </c>
      <c r="X73">
        <f>COUNTIFS(cha_mc[TestName],misc[[#This Row],[LLC_MCA_String]],cha_mc[VisualId],MC_Check!$H$2)</f>
        <v>0</v>
      </c>
    </row>
    <row r="74" spans="6:24" x14ac:dyDescent="0.35">
      <c r="F74">
        <v>1</v>
      </c>
      <c r="G74">
        <f t="shared" si="0"/>
        <v>71</v>
      </c>
      <c r="H74" s="5" t="b">
        <f>misc[[#This Row],[Core_Hitter_Count]]&gt;0</f>
        <v>0</v>
      </c>
      <c r="I74" t="b">
        <f>misc[[#This Row],[LLC_Hitter_Count]]&gt;0</f>
        <v>0</v>
      </c>
      <c r="J74" t="b">
        <f>misc[[#This Row],[CHA_Hitter_Count]]&gt;0</f>
        <v>0</v>
      </c>
      <c r="K74" t="str">
        <f>_xlfn.TEXTJOIN("",,"*SOCKET0**COMPUTE",misc[[#This Row],[Compute]],"**UNCORE**CHA**CHA",misc[[#This Row],[location]],splitchar,"UTIL**MC*STATUS*")</f>
        <v>*SOCKET0**COMPUTE1**UNCORE**CHA**CHA71__UTIL**MC*STATUS*</v>
      </c>
      <c r="L74">
        <f>COUNTIFS(cha_mc[TestName],misc[[#This Row],[CHA_MCA_String]],cha_mc[VisualId],MC_Check!$H$2)</f>
        <v>0</v>
      </c>
      <c r="M74" t="str">
        <f>_xlfn.TEXTJOIN("",,"*SOCKET0**COMPUTE",misc[[#This Row],[Compute]],"**CPU**CORE",misc[[#This Row],[location]],splitchar,"THREAD"&amp;"*",splitchar,"DCU*CR*MC1*STATUS**")</f>
        <v>*SOCKET0**COMPUTE1**CPU**CORE71__THREAD*__DCU*CR*MC1*STATUS**</v>
      </c>
      <c r="N74">
        <f>COUNTIFS(core_mc[TestName],misc[[#This Row],[DCU_MCA_String]],core_mc[VisualId],MC_Check!$H$2)</f>
        <v>0</v>
      </c>
      <c r="O74" t="str">
        <f>_xlfn.TEXTJOIN("",,"*SOCKET0**COMPUTE",misc[[#This Row],[Compute]],"**CPU**CORE",misc[[#This Row],[location]],splitchar,"DTLB*CR*MC2*STATUS**")</f>
        <v>*SOCKET0**COMPUTE1**CPU**CORE71__DTLB*CR*MC2*STATUS**</v>
      </c>
      <c r="P74">
        <f>COUNTIFS(core_mc[TestName],misc[[#This Row],[DTLB_MCA_String]],core_mc[VisualId],MC_Check!$H$2)</f>
        <v>0</v>
      </c>
      <c r="Q74" t="str">
        <f>_xlfn.TEXTJOIN("",,"*SOCKET0**COMPUTE",misc[[#This Row],[Compute]],"**CPU**CORE",misc[[#This Row],[location]],splitchar,"THREAD"&amp;"*",splitchar,"IFU*CR*MC0*STATUS**")</f>
        <v>*SOCKET0**COMPUTE1**CPU**CORE71__THREAD*__IFU*CR*MC0*STATUS**</v>
      </c>
      <c r="R74">
        <f>COUNTIFS(core_mc[TestName],misc[[#This Row],[IFU_MCA_String]],core_mc[VisualId],MC_Check!$H$2)</f>
        <v>0</v>
      </c>
      <c r="S74" t="str">
        <f>_xlfn.TEXTJOIN("",,"*SOCKET0**COMPUTE",misc[[#This Row],[Compute]],"**CPU**CORE",misc[[#This Row],[location]],splitchar,"ML2*CR*MC3*STATUS*")</f>
        <v>*SOCKET0**COMPUTE1**CPU**CORE71__ML2*CR*MC3*STATUS*</v>
      </c>
      <c r="T74">
        <f>COUNTIFS(core_mc[TestName],misc[[#This Row],[CORE_MCA_String]],core_mc[VisualId],MC_Check!$H$2)</f>
        <v>0</v>
      </c>
      <c r="U74">
        <f>misc[[#This Row],[Core_ML2_Count]]+misc[[#This Row],[Core_IFU_Count]]+misc[[#This Row],[Core_DCU_Count]]+misc[[#This Row],[Core_DTLB_Count]]</f>
        <v>0</v>
      </c>
      <c r="V74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74" t="str">
        <f>_xlfn.TEXTJOIN("",,"*SOCKET0**COMPUTE",misc[[#This Row],[Compute]],"**UNCORE**SCF**SCF*LLC**SCF*LLC",misc[[#This Row],[location]],splitchar,"MCI*STATUS*")</f>
        <v>*SOCKET0**COMPUTE1**UNCORE**SCF**SCF*LLC**SCF*LLC71__MCI*STATUS*</v>
      </c>
      <c r="X74">
        <f>COUNTIFS(cha_mc[TestName],misc[[#This Row],[LLC_MCA_String]],cha_mc[VisualId],MC_Check!$H$2)</f>
        <v>0</v>
      </c>
    </row>
    <row r="75" spans="6:24" x14ac:dyDescent="0.35">
      <c r="F75">
        <v>1</v>
      </c>
      <c r="G75">
        <f t="shared" si="0"/>
        <v>72</v>
      </c>
      <c r="H75" s="5" t="b">
        <f>misc[[#This Row],[Core_Hitter_Count]]&gt;0</f>
        <v>0</v>
      </c>
      <c r="I75" t="b">
        <f>misc[[#This Row],[LLC_Hitter_Count]]&gt;0</f>
        <v>0</v>
      </c>
      <c r="J75" t="b">
        <f>misc[[#This Row],[CHA_Hitter_Count]]&gt;0</f>
        <v>0</v>
      </c>
      <c r="K75" t="str">
        <f>_xlfn.TEXTJOIN("",,"*SOCKET0**COMPUTE",misc[[#This Row],[Compute]],"**UNCORE**CHA**CHA",misc[[#This Row],[location]],splitchar,"UTIL**MC*STATUS*")</f>
        <v>*SOCKET0**COMPUTE1**UNCORE**CHA**CHA72__UTIL**MC*STATUS*</v>
      </c>
      <c r="L75">
        <f>COUNTIFS(cha_mc[TestName],misc[[#This Row],[CHA_MCA_String]],cha_mc[VisualId],MC_Check!$H$2)</f>
        <v>0</v>
      </c>
      <c r="M75" t="str">
        <f>_xlfn.TEXTJOIN("",,"*SOCKET0**COMPUTE",misc[[#This Row],[Compute]],"**CPU**CORE",misc[[#This Row],[location]],splitchar,"THREAD"&amp;"*",splitchar,"DCU*CR*MC1*STATUS**")</f>
        <v>*SOCKET0**COMPUTE1**CPU**CORE72__THREAD*__DCU*CR*MC1*STATUS**</v>
      </c>
      <c r="N75">
        <f>COUNTIFS(core_mc[TestName],misc[[#This Row],[DCU_MCA_String]],core_mc[VisualId],MC_Check!$H$2)</f>
        <v>0</v>
      </c>
      <c r="O75" t="str">
        <f>_xlfn.TEXTJOIN("",,"*SOCKET0**COMPUTE",misc[[#This Row],[Compute]],"**CPU**CORE",misc[[#This Row],[location]],splitchar,"DTLB*CR*MC2*STATUS**")</f>
        <v>*SOCKET0**COMPUTE1**CPU**CORE72__DTLB*CR*MC2*STATUS**</v>
      </c>
      <c r="P75">
        <f>COUNTIFS(core_mc[TestName],misc[[#This Row],[DTLB_MCA_String]],core_mc[VisualId],MC_Check!$H$2)</f>
        <v>0</v>
      </c>
      <c r="Q75" t="str">
        <f>_xlfn.TEXTJOIN("",,"*SOCKET0**COMPUTE",misc[[#This Row],[Compute]],"**CPU**CORE",misc[[#This Row],[location]],splitchar,"THREAD"&amp;"*",splitchar,"IFU*CR*MC0*STATUS**")</f>
        <v>*SOCKET0**COMPUTE1**CPU**CORE72__THREAD*__IFU*CR*MC0*STATUS**</v>
      </c>
      <c r="R75">
        <f>COUNTIFS(core_mc[TestName],misc[[#This Row],[IFU_MCA_String]],core_mc[VisualId],MC_Check!$H$2)</f>
        <v>0</v>
      </c>
      <c r="S75" t="str">
        <f>_xlfn.TEXTJOIN("",,"*SOCKET0**COMPUTE",misc[[#This Row],[Compute]],"**CPU**CORE",misc[[#This Row],[location]],splitchar,"ML2*CR*MC3*STATUS*")</f>
        <v>*SOCKET0**COMPUTE1**CPU**CORE72__ML2*CR*MC3*STATUS*</v>
      </c>
      <c r="T75">
        <f>COUNTIFS(core_mc[TestName],misc[[#This Row],[CORE_MCA_String]],core_mc[VisualId],MC_Check!$H$2)</f>
        <v>0</v>
      </c>
      <c r="U75">
        <f>misc[[#This Row],[Core_ML2_Count]]+misc[[#This Row],[Core_IFU_Count]]+misc[[#This Row],[Core_DCU_Count]]+misc[[#This Row],[Core_DTLB_Count]]</f>
        <v>0</v>
      </c>
      <c r="V75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75" t="str">
        <f>_xlfn.TEXTJOIN("",,"*SOCKET0**COMPUTE",misc[[#This Row],[Compute]],"**UNCORE**SCF**SCF*LLC**SCF*LLC",misc[[#This Row],[location]],splitchar,"MCI*STATUS*")</f>
        <v>*SOCKET0**COMPUTE1**UNCORE**SCF**SCF*LLC**SCF*LLC72__MCI*STATUS*</v>
      </c>
      <c r="X75">
        <f>COUNTIFS(cha_mc[TestName],misc[[#This Row],[LLC_MCA_String]],cha_mc[VisualId],MC_Check!$H$2)</f>
        <v>0</v>
      </c>
    </row>
    <row r="76" spans="6:24" x14ac:dyDescent="0.35">
      <c r="F76">
        <v>1</v>
      </c>
      <c r="G76">
        <f t="shared" si="0"/>
        <v>73</v>
      </c>
      <c r="H76" s="5" t="b">
        <f>misc[[#This Row],[Core_Hitter_Count]]&gt;0</f>
        <v>0</v>
      </c>
      <c r="I76" t="b">
        <f>misc[[#This Row],[LLC_Hitter_Count]]&gt;0</f>
        <v>0</v>
      </c>
      <c r="J76" t="b">
        <f>misc[[#This Row],[CHA_Hitter_Count]]&gt;0</f>
        <v>0</v>
      </c>
      <c r="K76" t="str">
        <f>_xlfn.TEXTJOIN("",,"*SOCKET0**COMPUTE",misc[[#This Row],[Compute]],"**UNCORE**CHA**CHA",misc[[#This Row],[location]],splitchar,"UTIL**MC*STATUS*")</f>
        <v>*SOCKET0**COMPUTE1**UNCORE**CHA**CHA73__UTIL**MC*STATUS*</v>
      </c>
      <c r="L76">
        <f>COUNTIFS(cha_mc[TestName],misc[[#This Row],[CHA_MCA_String]],cha_mc[VisualId],MC_Check!$H$2)</f>
        <v>0</v>
      </c>
      <c r="M76" t="str">
        <f>_xlfn.TEXTJOIN("",,"*SOCKET0**COMPUTE",misc[[#This Row],[Compute]],"**CPU**CORE",misc[[#This Row],[location]],splitchar,"THREAD"&amp;"*",splitchar,"DCU*CR*MC1*STATUS**")</f>
        <v>*SOCKET0**COMPUTE1**CPU**CORE73__THREAD*__DCU*CR*MC1*STATUS**</v>
      </c>
      <c r="N76">
        <f>COUNTIFS(core_mc[TestName],misc[[#This Row],[DCU_MCA_String]],core_mc[VisualId],MC_Check!$H$2)</f>
        <v>0</v>
      </c>
      <c r="O76" t="str">
        <f>_xlfn.TEXTJOIN("",,"*SOCKET0**COMPUTE",misc[[#This Row],[Compute]],"**CPU**CORE",misc[[#This Row],[location]],splitchar,"DTLB*CR*MC2*STATUS**")</f>
        <v>*SOCKET0**COMPUTE1**CPU**CORE73__DTLB*CR*MC2*STATUS**</v>
      </c>
      <c r="P76">
        <f>COUNTIFS(core_mc[TestName],misc[[#This Row],[DTLB_MCA_String]],core_mc[VisualId],MC_Check!$H$2)</f>
        <v>0</v>
      </c>
      <c r="Q76" t="str">
        <f>_xlfn.TEXTJOIN("",,"*SOCKET0**COMPUTE",misc[[#This Row],[Compute]],"**CPU**CORE",misc[[#This Row],[location]],splitchar,"THREAD"&amp;"*",splitchar,"IFU*CR*MC0*STATUS**")</f>
        <v>*SOCKET0**COMPUTE1**CPU**CORE73__THREAD*__IFU*CR*MC0*STATUS**</v>
      </c>
      <c r="R76">
        <f>COUNTIFS(core_mc[TestName],misc[[#This Row],[IFU_MCA_String]],core_mc[VisualId],MC_Check!$H$2)</f>
        <v>0</v>
      </c>
      <c r="S76" t="str">
        <f>_xlfn.TEXTJOIN("",,"*SOCKET0**COMPUTE",misc[[#This Row],[Compute]],"**CPU**CORE",misc[[#This Row],[location]],splitchar,"ML2*CR*MC3*STATUS*")</f>
        <v>*SOCKET0**COMPUTE1**CPU**CORE73__ML2*CR*MC3*STATUS*</v>
      </c>
      <c r="T76">
        <f>COUNTIFS(core_mc[TestName],misc[[#This Row],[CORE_MCA_String]],core_mc[VisualId],MC_Check!$H$2)</f>
        <v>0</v>
      </c>
      <c r="U76">
        <f>misc[[#This Row],[Core_ML2_Count]]+misc[[#This Row],[Core_IFU_Count]]+misc[[#This Row],[Core_DCU_Count]]+misc[[#This Row],[Core_DTLB_Count]]</f>
        <v>0</v>
      </c>
      <c r="V76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76" t="str">
        <f>_xlfn.TEXTJOIN("",,"*SOCKET0**COMPUTE",misc[[#This Row],[Compute]],"**UNCORE**SCF**SCF*LLC**SCF*LLC",misc[[#This Row],[location]],splitchar,"MCI*STATUS*")</f>
        <v>*SOCKET0**COMPUTE1**UNCORE**SCF**SCF*LLC**SCF*LLC73__MCI*STATUS*</v>
      </c>
      <c r="X76">
        <f>COUNTIFS(cha_mc[TestName],misc[[#This Row],[LLC_MCA_String]],cha_mc[VisualId],MC_Check!$H$2)</f>
        <v>0</v>
      </c>
    </row>
    <row r="77" spans="6:24" x14ac:dyDescent="0.35">
      <c r="F77">
        <v>1</v>
      </c>
      <c r="G77">
        <f t="shared" si="0"/>
        <v>74</v>
      </c>
      <c r="H77" s="5" t="b">
        <f>misc[[#This Row],[Core_Hitter_Count]]&gt;0</f>
        <v>0</v>
      </c>
      <c r="I77" t="b">
        <f>misc[[#This Row],[LLC_Hitter_Count]]&gt;0</f>
        <v>0</v>
      </c>
      <c r="J77" t="b">
        <f>misc[[#This Row],[CHA_Hitter_Count]]&gt;0</f>
        <v>0</v>
      </c>
      <c r="K77" t="str">
        <f>_xlfn.TEXTJOIN("",,"*SOCKET0**COMPUTE",misc[[#This Row],[Compute]],"**UNCORE**CHA**CHA",misc[[#This Row],[location]],splitchar,"UTIL**MC*STATUS*")</f>
        <v>*SOCKET0**COMPUTE1**UNCORE**CHA**CHA74__UTIL**MC*STATUS*</v>
      </c>
      <c r="L77">
        <f>COUNTIFS(cha_mc[TestName],misc[[#This Row],[CHA_MCA_String]],cha_mc[VisualId],MC_Check!$H$2)</f>
        <v>0</v>
      </c>
      <c r="M77" t="str">
        <f>_xlfn.TEXTJOIN("",,"*SOCKET0**COMPUTE",misc[[#This Row],[Compute]],"**CPU**CORE",misc[[#This Row],[location]],splitchar,"THREAD"&amp;"*",splitchar,"DCU*CR*MC1*STATUS**")</f>
        <v>*SOCKET0**COMPUTE1**CPU**CORE74__THREAD*__DCU*CR*MC1*STATUS**</v>
      </c>
      <c r="N77">
        <f>COUNTIFS(core_mc[TestName],misc[[#This Row],[DCU_MCA_String]],core_mc[VisualId],MC_Check!$H$2)</f>
        <v>0</v>
      </c>
      <c r="O77" t="str">
        <f>_xlfn.TEXTJOIN("",,"*SOCKET0**COMPUTE",misc[[#This Row],[Compute]],"**CPU**CORE",misc[[#This Row],[location]],splitchar,"DTLB*CR*MC2*STATUS**")</f>
        <v>*SOCKET0**COMPUTE1**CPU**CORE74__DTLB*CR*MC2*STATUS**</v>
      </c>
      <c r="P77">
        <f>COUNTIFS(core_mc[TestName],misc[[#This Row],[DTLB_MCA_String]],core_mc[VisualId],MC_Check!$H$2)</f>
        <v>0</v>
      </c>
      <c r="Q77" t="str">
        <f>_xlfn.TEXTJOIN("",,"*SOCKET0**COMPUTE",misc[[#This Row],[Compute]],"**CPU**CORE",misc[[#This Row],[location]],splitchar,"THREAD"&amp;"*",splitchar,"IFU*CR*MC0*STATUS**")</f>
        <v>*SOCKET0**COMPUTE1**CPU**CORE74__THREAD*__IFU*CR*MC0*STATUS**</v>
      </c>
      <c r="R77">
        <f>COUNTIFS(core_mc[TestName],misc[[#This Row],[IFU_MCA_String]],core_mc[VisualId],MC_Check!$H$2)</f>
        <v>0</v>
      </c>
      <c r="S77" t="str">
        <f>_xlfn.TEXTJOIN("",,"*SOCKET0**COMPUTE",misc[[#This Row],[Compute]],"**CPU**CORE",misc[[#This Row],[location]],splitchar,"ML2*CR*MC3*STATUS*")</f>
        <v>*SOCKET0**COMPUTE1**CPU**CORE74__ML2*CR*MC3*STATUS*</v>
      </c>
      <c r="T77">
        <f>COUNTIFS(core_mc[TestName],misc[[#This Row],[CORE_MCA_String]],core_mc[VisualId],MC_Check!$H$2)</f>
        <v>0</v>
      </c>
      <c r="U77">
        <f>misc[[#This Row],[Core_ML2_Count]]+misc[[#This Row],[Core_IFU_Count]]+misc[[#This Row],[Core_DCU_Count]]+misc[[#This Row],[Core_DTLB_Count]]</f>
        <v>0</v>
      </c>
      <c r="V77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77" t="str">
        <f>_xlfn.TEXTJOIN("",,"*SOCKET0**COMPUTE",misc[[#This Row],[Compute]],"**UNCORE**SCF**SCF*LLC**SCF*LLC",misc[[#This Row],[location]],splitchar,"MCI*STATUS*")</f>
        <v>*SOCKET0**COMPUTE1**UNCORE**SCF**SCF*LLC**SCF*LLC74__MCI*STATUS*</v>
      </c>
      <c r="X77">
        <f>COUNTIFS(cha_mc[TestName],misc[[#This Row],[LLC_MCA_String]],cha_mc[VisualId],MC_Check!$H$2)</f>
        <v>0</v>
      </c>
    </row>
    <row r="78" spans="6:24" x14ac:dyDescent="0.35">
      <c r="F78">
        <v>1</v>
      </c>
      <c r="G78">
        <f t="shared" si="0"/>
        <v>75</v>
      </c>
      <c r="H78" s="5" t="b">
        <f>misc[[#This Row],[Core_Hitter_Count]]&gt;0</f>
        <v>0</v>
      </c>
      <c r="I78" t="b">
        <f>misc[[#This Row],[LLC_Hitter_Count]]&gt;0</f>
        <v>0</v>
      </c>
      <c r="J78" t="b">
        <f>misc[[#This Row],[CHA_Hitter_Count]]&gt;0</f>
        <v>0</v>
      </c>
      <c r="K78" t="str">
        <f>_xlfn.TEXTJOIN("",,"*SOCKET0**COMPUTE",misc[[#This Row],[Compute]],"**UNCORE**CHA**CHA",misc[[#This Row],[location]],splitchar,"UTIL**MC*STATUS*")</f>
        <v>*SOCKET0**COMPUTE1**UNCORE**CHA**CHA75__UTIL**MC*STATUS*</v>
      </c>
      <c r="L78">
        <f>COUNTIFS(cha_mc[TestName],misc[[#This Row],[CHA_MCA_String]],cha_mc[VisualId],MC_Check!$H$2)</f>
        <v>0</v>
      </c>
      <c r="M78" t="str">
        <f>_xlfn.TEXTJOIN("",,"*SOCKET0**COMPUTE",misc[[#This Row],[Compute]],"**CPU**CORE",misc[[#This Row],[location]],splitchar,"THREAD"&amp;"*",splitchar,"DCU*CR*MC1*STATUS**")</f>
        <v>*SOCKET0**COMPUTE1**CPU**CORE75__THREAD*__DCU*CR*MC1*STATUS**</v>
      </c>
      <c r="N78">
        <f>COUNTIFS(core_mc[TestName],misc[[#This Row],[DCU_MCA_String]],core_mc[VisualId],MC_Check!$H$2)</f>
        <v>0</v>
      </c>
      <c r="O78" t="str">
        <f>_xlfn.TEXTJOIN("",,"*SOCKET0**COMPUTE",misc[[#This Row],[Compute]],"**CPU**CORE",misc[[#This Row],[location]],splitchar,"DTLB*CR*MC2*STATUS**")</f>
        <v>*SOCKET0**COMPUTE1**CPU**CORE75__DTLB*CR*MC2*STATUS**</v>
      </c>
      <c r="P78">
        <f>COUNTIFS(core_mc[TestName],misc[[#This Row],[DTLB_MCA_String]],core_mc[VisualId],MC_Check!$H$2)</f>
        <v>0</v>
      </c>
      <c r="Q78" t="str">
        <f>_xlfn.TEXTJOIN("",,"*SOCKET0**COMPUTE",misc[[#This Row],[Compute]],"**CPU**CORE",misc[[#This Row],[location]],splitchar,"THREAD"&amp;"*",splitchar,"IFU*CR*MC0*STATUS**")</f>
        <v>*SOCKET0**COMPUTE1**CPU**CORE75__THREAD*__IFU*CR*MC0*STATUS**</v>
      </c>
      <c r="R78">
        <f>COUNTIFS(core_mc[TestName],misc[[#This Row],[IFU_MCA_String]],core_mc[VisualId],MC_Check!$H$2)</f>
        <v>0</v>
      </c>
      <c r="S78" t="str">
        <f>_xlfn.TEXTJOIN("",,"*SOCKET0**COMPUTE",misc[[#This Row],[Compute]],"**CPU**CORE",misc[[#This Row],[location]],splitchar,"ML2*CR*MC3*STATUS*")</f>
        <v>*SOCKET0**COMPUTE1**CPU**CORE75__ML2*CR*MC3*STATUS*</v>
      </c>
      <c r="T78">
        <f>COUNTIFS(core_mc[TestName],misc[[#This Row],[CORE_MCA_String]],core_mc[VisualId],MC_Check!$H$2)</f>
        <v>0</v>
      </c>
      <c r="U78">
        <f>misc[[#This Row],[Core_ML2_Count]]+misc[[#This Row],[Core_IFU_Count]]+misc[[#This Row],[Core_DCU_Count]]+misc[[#This Row],[Core_DTLB_Count]]</f>
        <v>0</v>
      </c>
      <c r="V78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78" t="str">
        <f>_xlfn.TEXTJOIN("",,"*SOCKET0**COMPUTE",misc[[#This Row],[Compute]],"**UNCORE**SCF**SCF*LLC**SCF*LLC",misc[[#This Row],[location]],splitchar,"MCI*STATUS*")</f>
        <v>*SOCKET0**COMPUTE1**UNCORE**SCF**SCF*LLC**SCF*LLC75__MCI*STATUS*</v>
      </c>
      <c r="X78">
        <f>COUNTIFS(cha_mc[TestName],misc[[#This Row],[LLC_MCA_String]],cha_mc[VisualId],MC_Check!$H$2)</f>
        <v>0</v>
      </c>
    </row>
    <row r="79" spans="6:24" x14ac:dyDescent="0.35">
      <c r="F79">
        <v>1</v>
      </c>
      <c r="G79">
        <f t="shared" si="0"/>
        <v>76</v>
      </c>
      <c r="H79" s="5" t="b">
        <f>misc[[#This Row],[Core_Hitter_Count]]&gt;0</f>
        <v>0</v>
      </c>
      <c r="I79" t="b">
        <f>misc[[#This Row],[LLC_Hitter_Count]]&gt;0</f>
        <v>0</v>
      </c>
      <c r="J79" t="b">
        <f>misc[[#This Row],[CHA_Hitter_Count]]&gt;0</f>
        <v>0</v>
      </c>
      <c r="K79" t="str">
        <f>_xlfn.TEXTJOIN("",,"*SOCKET0**COMPUTE",misc[[#This Row],[Compute]],"**UNCORE**CHA**CHA",misc[[#This Row],[location]],splitchar,"UTIL**MC*STATUS*")</f>
        <v>*SOCKET0**COMPUTE1**UNCORE**CHA**CHA76__UTIL**MC*STATUS*</v>
      </c>
      <c r="L79">
        <f>COUNTIFS(cha_mc[TestName],misc[[#This Row],[CHA_MCA_String]],cha_mc[VisualId],MC_Check!$H$2)</f>
        <v>0</v>
      </c>
      <c r="M79" t="str">
        <f>_xlfn.TEXTJOIN("",,"*SOCKET0**COMPUTE",misc[[#This Row],[Compute]],"**CPU**CORE",misc[[#This Row],[location]],splitchar,"THREAD"&amp;"*",splitchar,"DCU*CR*MC1*STATUS**")</f>
        <v>*SOCKET0**COMPUTE1**CPU**CORE76__THREAD*__DCU*CR*MC1*STATUS**</v>
      </c>
      <c r="N79">
        <f>COUNTIFS(core_mc[TestName],misc[[#This Row],[DCU_MCA_String]],core_mc[VisualId],MC_Check!$H$2)</f>
        <v>0</v>
      </c>
      <c r="O79" t="str">
        <f>_xlfn.TEXTJOIN("",,"*SOCKET0**COMPUTE",misc[[#This Row],[Compute]],"**CPU**CORE",misc[[#This Row],[location]],splitchar,"DTLB*CR*MC2*STATUS**")</f>
        <v>*SOCKET0**COMPUTE1**CPU**CORE76__DTLB*CR*MC2*STATUS**</v>
      </c>
      <c r="P79">
        <f>COUNTIFS(core_mc[TestName],misc[[#This Row],[DTLB_MCA_String]],core_mc[VisualId],MC_Check!$H$2)</f>
        <v>0</v>
      </c>
      <c r="Q79" t="str">
        <f>_xlfn.TEXTJOIN("",,"*SOCKET0**COMPUTE",misc[[#This Row],[Compute]],"**CPU**CORE",misc[[#This Row],[location]],splitchar,"THREAD"&amp;"*",splitchar,"IFU*CR*MC0*STATUS**")</f>
        <v>*SOCKET0**COMPUTE1**CPU**CORE76__THREAD*__IFU*CR*MC0*STATUS**</v>
      </c>
      <c r="R79">
        <f>COUNTIFS(core_mc[TestName],misc[[#This Row],[IFU_MCA_String]],core_mc[VisualId],MC_Check!$H$2)</f>
        <v>0</v>
      </c>
      <c r="S79" t="str">
        <f>_xlfn.TEXTJOIN("",,"*SOCKET0**COMPUTE",misc[[#This Row],[Compute]],"**CPU**CORE",misc[[#This Row],[location]],splitchar,"ML2*CR*MC3*STATUS*")</f>
        <v>*SOCKET0**COMPUTE1**CPU**CORE76__ML2*CR*MC3*STATUS*</v>
      </c>
      <c r="T79">
        <f>COUNTIFS(core_mc[TestName],misc[[#This Row],[CORE_MCA_String]],core_mc[VisualId],MC_Check!$H$2)</f>
        <v>0</v>
      </c>
      <c r="U79">
        <f>misc[[#This Row],[Core_ML2_Count]]+misc[[#This Row],[Core_IFU_Count]]+misc[[#This Row],[Core_DCU_Count]]+misc[[#This Row],[Core_DTLB_Count]]</f>
        <v>0</v>
      </c>
      <c r="V79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79" t="str">
        <f>_xlfn.TEXTJOIN("",,"*SOCKET0**COMPUTE",misc[[#This Row],[Compute]],"**UNCORE**SCF**SCF*LLC**SCF*LLC",misc[[#This Row],[location]],splitchar,"MCI*STATUS*")</f>
        <v>*SOCKET0**COMPUTE1**UNCORE**SCF**SCF*LLC**SCF*LLC76__MCI*STATUS*</v>
      </c>
      <c r="X79">
        <f>COUNTIFS(cha_mc[TestName],misc[[#This Row],[LLC_MCA_String]],cha_mc[VisualId],MC_Check!$H$2)</f>
        <v>0</v>
      </c>
    </row>
    <row r="80" spans="6:24" x14ac:dyDescent="0.35">
      <c r="F80">
        <v>1</v>
      </c>
      <c r="G80">
        <f t="shared" si="0"/>
        <v>77</v>
      </c>
      <c r="H80" s="5" t="b">
        <f>misc[[#This Row],[Core_Hitter_Count]]&gt;0</f>
        <v>0</v>
      </c>
      <c r="I80" t="b">
        <f>misc[[#This Row],[LLC_Hitter_Count]]&gt;0</f>
        <v>0</v>
      </c>
      <c r="J80" t="b">
        <f>misc[[#This Row],[CHA_Hitter_Count]]&gt;0</f>
        <v>0</v>
      </c>
      <c r="K80" t="str">
        <f>_xlfn.TEXTJOIN("",,"*SOCKET0**COMPUTE",misc[[#This Row],[Compute]],"**UNCORE**CHA**CHA",misc[[#This Row],[location]],splitchar,"UTIL**MC*STATUS*")</f>
        <v>*SOCKET0**COMPUTE1**UNCORE**CHA**CHA77__UTIL**MC*STATUS*</v>
      </c>
      <c r="L80">
        <f>COUNTIFS(cha_mc[TestName],misc[[#This Row],[CHA_MCA_String]],cha_mc[VisualId],MC_Check!$H$2)</f>
        <v>0</v>
      </c>
      <c r="M80" t="str">
        <f>_xlfn.TEXTJOIN("",,"*SOCKET0**COMPUTE",misc[[#This Row],[Compute]],"**CPU**CORE",misc[[#This Row],[location]],splitchar,"THREAD"&amp;"*",splitchar,"DCU*CR*MC1*STATUS**")</f>
        <v>*SOCKET0**COMPUTE1**CPU**CORE77__THREAD*__DCU*CR*MC1*STATUS**</v>
      </c>
      <c r="N80">
        <f>COUNTIFS(core_mc[TestName],misc[[#This Row],[DCU_MCA_String]],core_mc[VisualId],MC_Check!$H$2)</f>
        <v>0</v>
      </c>
      <c r="O80" t="str">
        <f>_xlfn.TEXTJOIN("",,"*SOCKET0**COMPUTE",misc[[#This Row],[Compute]],"**CPU**CORE",misc[[#This Row],[location]],splitchar,"DTLB*CR*MC2*STATUS**")</f>
        <v>*SOCKET0**COMPUTE1**CPU**CORE77__DTLB*CR*MC2*STATUS**</v>
      </c>
      <c r="P80">
        <f>COUNTIFS(core_mc[TestName],misc[[#This Row],[DTLB_MCA_String]],core_mc[VisualId],MC_Check!$H$2)</f>
        <v>0</v>
      </c>
      <c r="Q80" t="str">
        <f>_xlfn.TEXTJOIN("",,"*SOCKET0**COMPUTE",misc[[#This Row],[Compute]],"**CPU**CORE",misc[[#This Row],[location]],splitchar,"THREAD"&amp;"*",splitchar,"IFU*CR*MC0*STATUS**")</f>
        <v>*SOCKET0**COMPUTE1**CPU**CORE77__THREAD*__IFU*CR*MC0*STATUS**</v>
      </c>
      <c r="R80">
        <f>COUNTIFS(core_mc[TestName],misc[[#This Row],[IFU_MCA_String]],core_mc[VisualId],MC_Check!$H$2)</f>
        <v>0</v>
      </c>
      <c r="S80" t="str">
        <f>_xlfn.TEXTJOIN("",,"*SOCKET0**COMPUTE",misc[[#This Row],[Compute]],"**CPU**CORE",misc[[#This Row],[location]],splitchar,"ML2*CR*MC3*STATUS*")</f>
        <v>*SOCKET0**COMPUTE1**CPU**CORE77__ML2*CR*MC3*STATUS*</v>
      </c>
      <c r="T80">
        <f>COUNTIFS(core_mc[TestName],misc[[#This Row],[CORE_MCA_String]],core_mc[VisualId],MC_Check!$H$2)</f>
        <v>0</v>
      </c>
      <c r="U80">
        <f>misc[[#This Row],[Core_ML2_Count]]+misc[[#This Row],[Core_IFU_Count]]+misc[[#This Row],[Core_DCU_Count]]+misc[[#This Row],[Core_DTLB_Count]]</f>
        <v>0</v>
      </c>
      <c r="V80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80" t="str">
        <f>_xlfn.TEXTJOIN("",,"*SOCKET0**COMPUTE",misc[[#This Row],[Compute]],"**UNCORE**SCF**SCF*LLC**SCF*LLC",misc[[#This Row],[location]],splitchar,"MCI*STATUS*")</f>
        <v>*SOCKET0**COMPUTE1**UNCORE**SCF**SCF*LLC**SCF*LLC77__MCI*STATUS*</v>
      </c>
      <c r="X80">
        <f>COUNTIFS(cha_mc[TestName],misc[[#This Row],[LLC_MCA_String]],cha_mc[VisualId],MC_Check!$H$2)</f>
        <v>0</v>
      </c>
    </row>
    <row r="81" spans="6:24" x14ac:dyDescent="0.35">
      <c r="F81">
        <v>1</v>
      </c>
      <c r="G81">
        <f t="shared" si="0"/>
        <v>78</v>
      </c>
      <c r="H81" s="5" t="b">
        <f>misc[[#This Row],[Core_Hitter_Count]]&gt;0</f>
        <v>0</v>
      </c>
      <c r="I81" t="b">
        <f>misc[[#This Row],[LLC_Hitter_Count]]&gt;0</f>
        <v>0</v>
      </c>
      <c r="J81" t="b">
        <f>misc[[#This Row],[CHA_Hitter_Count]]&gt;0</f>
        <v>0</v>
      </c>
      <c r="K81" t="str">
        <f>_xlfn.TEXTJOIN("",,"*SOCKET0**COMPUTE",misc[[#This Row],[Compute]],"**UNCORE**CHA**CHA",misc[[#This Row],[location]],splitchar,"UTIL**MC*STATUS*")</f>
        <v>*SOCKET0**COMPUTE1**UNCORE**CHA**CHA78__UTIL**MC*STATUS*</v>
      </c>
      <c r="L81">
        <f>COUNTIFS(cha_mc[TestName],misc[[#This Row],[CHA_MCA_String]],cha_mc[VisualId],MC_Check!$H$2)</f>
        <v>0</v>
      </c>
      <c r="M81" t="str">
        <f>_xlfn.TEXTJOIN("",,"*SOCKET0**COMPUTE",misc[[#This Row],[Compute]],"**CPU**CORE",misc[[#This Row],[location]],splitchar,"THREAD"&amp;"*",splitchar,"DCU*CR*MC1*STATUS**")</f>
        <v>*SOCKET0**COMPUTE1**CPU**CORE78__THREAD*__DCU*CR*MC1*STATUS**</v>
      </c>
      <c r="N81">
        <f>COUNTIFS(core_mc[TestName],misc[[#This Row],[DCU_MCA_String]],core_mc[VisualId],MC_Check!$H$2)</f>
        <v>0</v>
      </c>
      <c r="O81" t="str">
        <f>_xlfn.TEXTJOIN("",,"*SOCKET0**COMPUTE",misc[[#This Row],[Compute]],"**CPU**CORE",misc[[#This Row],[location]],splitchar,"DTLB*CR*MC2*STATUS**")</f>
        <v>*SOCKET0**COMPUTE1**CPU**CORE78__DTLB*CR*MC2*STATUS**</v>
      </c>
      <c r="P81">
        <f>COUNTIFS(core_mc[TestName],misc[[#This Row],[DTLB_MCA_String]],core_mc[VisualId],MC_Check!$H$2)</f>
        <v>0</v>
      </c>
      <c r="Q81" t="str">
        <f>_xlfn.TEXTJOIN("",,"*SOCKET0**COMPUTE",misc[[#This Row],[Compute]],"**CPU**CORE",misc[[#This Row],[location]],splitchar,"THREAD"&amp;"*",splitchar,"IFU*CR*MC0*STATUS**")</f>
        <v>*SOCKET0**COMPUTE1**CPU**CORE78__THREAD*__IFU*CR*MC0*STATUS**</v>
      </c>
      <c r="R81">
        <f>COUNTIFS(core_mc[TestName],misc[[#This Row],[IFU_MCA_String]],core_mc[VisualId],MC_Check!$H$2)</f>
        <v>0</v>
      </c>
      <c r="S81" t="str">
        <f>_xlfn.TEXTJOIN("",,"*SOCKET0**COMPUTE",misc[[#This Row],[Compute]],"**CPU**CORE",misc[[#This Row],[location]],splitchar,"ML2*CR*MC3*STATUS*")</f>
        <v>*SOCKET0**COMPUTE1**CPU**CORE78__ML2*CR*MC3*STATUS*</v>
      </c>
      <c r="T81">
        <f>COUNTIFS(core_mc[TestName],misc[[#This Row],[CORE_MCA_String]],core_mc[VisualId],MC_Check!$H$2)</f>
        <v>0</v>
      </c>
      <c r="U81">
        <f>misc[[#This Row],[Core_ML2_Count]]+misc[[#This Row],[Core_IFU_Count]]+misc[[#This Row],[Core_DCU_Count]]+misc[[#This Row],[Core_DTLB_Count]]</f>
        <v>0</v>
      </c>
      <c r="V81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81" t="str">
        <f>_xlfn.TEXTJOIN("",,"*SOCKET0**COMPUTE",misc[[#This Row],[Compute]],"**UNCORE**SCF**SCF*LLC**SCF*LLC",misc[[#This Row],[location]],splitchar,"MCI*STATUS*")</f>
        <v>*SOCKET0**COMPUTE1**UNCORE**SCF**SCF*LLC**SCF*LLC78__MCI*STATUS*</v>
      </c>
      <c r="X81">
        <f>COUNTIFS(cha_mc[TestName],misc[[#This Row],[LLC_MCA_String]],cha_mc[VisualId],MC_Check!$H$2)</f>
        <v>0</v>
      </c>
    </row>
    <row r="82" spans="6:24" x14ac:dyDescent="0.35">
      <c r="F82">
        <v>1</v>
      </c>
      <c r="G82">
        <f t="shared" si="0"/>
        <v>79</v>
      </c>
      <c r="H82" s="5" t="b">
        <f>misc[[#This Row],[Core_Hitter_Count]]&gt;0</f>
        <v>0</v>
      </c>
      <c r="I82" t="b">
        <f>misc[[#This Row],[LLC_Hitter_Count]]&gt;0</f>
        <v>0</v>
      </c>
      <c r="J82" t="b">
        <f>misc[[#This Row],[CHA_Hitter_Count]]&gt;0</f>
        <v>0</v>
      </c>
      <c r="K82" t="str">
        <f>_xlfn.TEXTJOIN("",,"*SOCKET0**COMPUTE",misc[[#This Row],[Compute]],"**UNCORE**CHA**CHA",misc[[#This Row],[location]],splitchar,"UTIL**MC*STATUS*")</f>
        <v>*SOCKET0**COMPUTE1**UNCORE**CHA**CHA79__UTIL**MC*STATUS*</v>
      </c>
      <c r="L82">
        <f>COUNTIFS(cha_mc[TestName],misc[[#This Row],[CHA_MCA_String]],cha_mc[VisualId],MC_Check!$H$2)</f>
        <v>0</v>
      </c>
      <c r="M82" t="str">
        <f>_xlfn.TEXTJOIN("",,"*SOCKET0**COMPUTE",misc[[#This Row],[Compute]],"**CPU**CORE",misc[[#This Row],[location]],splitchar,"THREAD"&amp;"*",splitchar,"DCU*CR*MC1*STATUS**")</f>
        <v>*SOCKET0**COMPUTE1**CPU**CORE79__THREAD*__DCU*CR*MC1*STATUS**</v>
      </c>
      <c r="N82">
        <f>COUNTIFS(core_mc[TestName],misc[[#This Row],[DCU_MCA_String]],core_mc[VisualId],MC_Check!$H$2)</f>
        <v>0</v>
      </c>
      <c r="O82" t="str">
        <f>_xlfn.TEXTJOIN("",,"*SOCKET0**COMPUTE",misc[[#This Row],[Compute]],"**CPU**CORE",misc[[#This Row],[location]],splitchar,"DTLB*CR*MC2*STATUS**")</f>
        <v>*SOCKET0**COMPUTE1**CPU**CORE79__DTLB*CR*MC2*STATUS**</v>
      </c>
      <c r="P82">
        <f>COUNTIFS(core_mc[TestName],misc[[#This Row],[DTLB_MCA_String]],core_mc[VisualId],MC_Check!$H$2)</f>
        <v>0</v>
      </c>
      <c r="Q82" t="str">
        <f>_xlfn.TEXTJOIN("",,"*SOCKET0**COMPUTE",misc[[#This Row],[Compute]],"**CPU**CORE",misc[[#This Row],[location]],splitchar,"THREAD"&amp;"*",splitchar,"IFU*CR*MC0*STATUS**")</f>
        <v>*SOCKET0**COMPUTE1**CPU**CORE79__THREAD*__IFU*CR*MC0*STATUS**</v>
      </c>
      <c r="R82">
        <f>COUNTIFS(core_mc[TestName],misc[[#This Row],[IFU_MCA_String]],core_mc[VisualId],MC_Check!$H$2)</f>
        <v>0</v>
      </c>
      <c r="S82" t="str">
        <f>_xlfn.TEXTJOIN("",,"*SOCKET0**COMPUTE",misc[[#This Row],[Compute]],"**CPU**CORE",misc[[#This Row],[location]],splitchar,"ML2*CR*MC3*STATUS*")</f>
        <v>*SOCKET0**COMPUTE1**CPU**CORE79__ML2*CR*MC3*STATUS*</v>
      </c>
      <c r="T82">
        <f>COUNTIFS(core_mc[TestName],misc[[#This Row],[CORE_MCA_String]],core_mc[VisualId],MC_Check!$H$2)</f>
        <v>0</v>
      </c>
      <c r="U82">
        <f>misc[[#This Row],[Core_ML2_Count]]+misc[[#This Row],[Core_IFU_Count]]+misc[[#This Row],[Core_DCU_Count]]+misc[[#This Row],[Core_DTLB_Count]]</f>
        <v>0</v>
      </c>
      <c r="V82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82" t="str">
        <f>_xlfn.TEXTJOIN("",,"*SOCKET0**COMPUTE",misc[[#This Row],[Compute]],"**UNCORE**SCF**SCF*LLC**SCF*LLC",misc[[#This Row],[location]],splitchar,"MCI*STATUS*")</f>
        <v>*SOCKET0**COMPUTE1**UNCORE**SCF**SCF*LLC**SCF*LLC79__MCI*STATUS*</v>
      </c>
      <c r="X82">
        <f>COUNTIFS(cha_mc[TestName],misc[[#This Row],[LLC_MCA_String]],cha_mc[VisualId],MC_Check!$H$2)</f>
        <v>0</v>
      </c>
    </row>
    <row r="83" spans="6:24" x14ac:dyDescent="0.35">
      <c r="F83">
        <v>1</v>
      </c>
      <c r="G83">
        <f t="shared" si="0"/>
        <v>80</v>
      </c>
      <c r="H83" s="5" t="b">
        <f>misc[[#This Row],[Core_Hitter_Count]]&gt;0</f>
        <v>0</v>
      </c>
      <c r="I83" t="b">
        <f>misc[[#This Row],[LLC_Hitter_Count]]&gt;0</f>
        <v>0</v>
      </c>
      <c r="J83" t="b">
        <f>misc[[#This Row],[CHA_Hitter_Count]]&gt;0</f>
        <v>0</v>
      </c>
      <c r="K83" t="str">
        <f>_xlfn.TEXTJOIN("",,"*SOCKET0**COMPUTE",misc[[#This Row],[Compute]],"**UNCORE**CHA**CHA",misc[[#This Row],[location]],splitchar,"UTIL**MC*STATUS*")</f>
        <v>*SOCKET0**COMPUTE1**UNCORE**CHA**CHA80__UTIL**MC*STATUS*</v>
      </c>
      <c r="L83">
        <f>COUNTIFS(cha_mc[TestName],misc[[#This Row],[CHA_MCA_String]],cha_mc[VisualId],MC_Check!$H$2)</f>
        <v>0</v>
      </c>
      <c r="M83" t="str">
        <f>_xlfn.TEXTJOIN("",,"*SOCKET0**COMPUTE",misc[[#This Row],[Compute]],"**CPU**CORE",misc[[#This Row],[location]],splitchar,"THREAD"&amp;"*",splitchar,"DCU*CR*MC1*STATUS**")</f>
        <v>*SOCKET0**COMPUTE1**CPU**CORE80__THREAD*__DCU*CR*MC1*STATUS**</v>
      </c>
      <c r="N83">
        <f>COUNTIFS(core_mc[TestName],misc[[#This Row],[DCU_MCA_String]],core_mc[VisualId],MC_Check!$H$2)</f>
        <v>0</v>
      </c>
      <c r="O83" t="str">
        <f>_xlfn.TEXTJOIN("",,"*SOCKET0**COMPUTE",misc[[#This Row],[Compute]],"**CPU**CORE",misc[[#This Row],[location]],splitchar,"DTLB*CR*MC2*STATUS**")</f>
        <v>*SOCKET0**COMPUTE1**CPU**CORE80__DTLB*CR*MC2*STATUS**</v>
      </c>
      <c r="P83">
        <f>COUNTIFS(core_mc[TestName],misc[[#This Row],[DTLB_MCA_String]],core_mc[VisualId],MC_Check!$H$2)</f>
        <v>0</v>
      </c>
      <c r="Q83" t="str">
        <f>_xlfn.TEXTJOIN("",,"*SOCKET0**COMPUTE",misc[[#This Row],[Compute]],"**CPU**CORE",misc[[#This Row],[location]],splitchar,"THREAD"&amp;"*",splitchar,"IFU*CR*MC0*STATUS**")</f>
        <v>*SOCKET0**COMPUTE1**CPU**CORE80__THREAD*__IFU*CR*MC0*STATUS**</v>
      </c>
      <c r="R83">
        <f>COUNTIFS(core_mc[TestName],misc[[#This Row],[IFU_MCA_String]],core_mc[VisualId],MC_Check!$H$2)</f>
        <v>0</v>
      </c>
      <c r="S83" t="str">
        <f>_xlfn.TEXTJOIN("",,"*SOCKET0**COMPUTE",misc[[#This Row],[Compute]],"**CPU**CORE",misc[[#This Row],[location]],splitchar,"ML2*CR*MC3*STATUS*")</f>
        <v>*SOCKET0**COMPUTE1**CPU**CORE80__ML2*CR*MC3*STATUS*</v>
      </c>
      <c r="T83">
        <f>COUNTIFS(core_mc[TestName],misc[[#This Row],[CORE_MCA_String]],core_mc[VisualId],MC_Check!$H$2)</f>
        <v>0</v>
      </c>
      <c r="U83">
        <f>misc[[#This Row],[Core_ML2_Count]]+misc[[#This Row],[Core_IFU_Count]]+misc[[#This Row],[Core_DCU_Count]]+misc[[#This Row],[Core_DTLB_Count]]</f>
        <v>0</v>
      </c>
      <c r="V83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83" t="str">
        <f>_xlfn.TEXTJOIN("",,"*SOCKET0**COMPUTE",misc[[#This Row],[Compute]],"**UNCORE**SCF**SCF*LLC**SCF*LLC",misc[[#This Row],[location]],splitchar,"MCI*STATUS*")</f>
        <v>*SOCKET0**COMPUTE1**UNCORE**SCF**SCF*LLC**SCF*LLC80__MCI*STATUS*</v>
      </c>
      <c r="X83">
        <f>COUNTIFS(cha_mc[TestName],misc[[#This Row],[LLC_MCA_String]],cha_mc[VisualId],MC_Check!$H$2)</f>
        <v>0</v>
      </c>
    </row>
    <row r="84" spans="6:24" x14ac:dyDescent="0.35">
      <c r="F84">
        <v>1</v>
      </c>
      <c r="G84">
        <f t="shared" si="0"/>
        <v>81</v>
      </c>
      <c r="H84" s="5" t="b">
        <f>misc[[#This Row],[Core_Hitter_Count]]&gt;0</f>
        <v>0</v>
      </c>
      <c r="I84" t="b">
        <f>misc[[#This Row],[LLC_Hitter_Count]]&gt;0</f>
        <v>0</v>
      </c>
      <c r="J84" t="b">
        <f>misc[[#This Row],[CHA_Hitter_Count]]&gt;0</f>
        <v>0</v>
      </c>
      <c r="K84" t="str">
        <f>_xlfn.TEXTJOIN("",,"*SOCKET0**COMPUTE",misc[[#This Row],[Compute]],"**UNCORE**CHA**CHA",misc[[#This Row],[location]],splitchar,"UTIL**MC*STATUS*")</f>
        <v>*SOCKET0**COMPUTE1**UNCORE**CHA**CHA81__UTIL**MC*STATUS*</v>
      </c>
      <c r="L84">
        <f>COUNTIFS(cha_mc[TestName],misc[[#This Row],[CHA_MCA_String]],cha_mc[VisualId],MC_Check!$H$2)</f>
        <v>0</v>
      </c>
      <c r="M84" t="str">
        <f>_xlfn.TEXTJOIN("",,"*SOCKET0**COMPUTE",misc[[#This Row],[Compute]],"**CPU**CORE",misc[[#This Row],[location]],splitchar,"THREAD"&amp;"*",splitchar,"DCU*CR*MC1*STATUS**")</f>
        <v>*SOCKET0**COMPUTE1**CPU**CORE81__THREAD*__DCU*CR*MC1*STATUS**</v>
      </c>
      <c r="N84">
        <f>COUNTIFS(core_mc[TestName],misc[[#This Row],[DCU_MCA_String]],core_mc[VisualId],MC_Check!$H$2)</f>
        <v>0</v>
      </c>
      <c r="O84" t="str">
        <f>_xlfn.TEXTJOIN("",,"*SOCKET0**COMPUTE",misc[[#This Row],[Compute]],"**CPU**CORE",misc[[#This Row],[location]],splitchar,"DTLB*CR*MC2*STATUS**")</f>
        <v>*SOCKET0**COMPUTE1**CPU**CORE81__DTLB*CR*MC2*STATUS**</v>
      </c>
      <c r="P84">
        <f>COUNTIFS(core_mc[TestName],misc[[#This Row],[DTLB_MCA_String]],core_mc[VisualId],MC_Check!$H$2)</f>
        <v>0</v>
      </c>
      <c r="Q84" t="str">
        <f>_xlfn.TEXTJOIN("",,"*SOCKET0**COMPUTE",misc[[#This Row],[Compute]],"**CPU**CORE",misc[[#This Row],[location]],splitchar,"THREAD"&amp;"*",splitchar,"IFU*CR*MC0*STATUS**")</f>
        <v>*SOCKET0**COMPUTE1**CPU**CORE81__THREAD*__IFU*CR*MC0*STATUS**</v>
      </c>
      <c r="R84">
        <f>COUNTIFS(core_mc[TestName],misc[[#This Row],[IFU_MCA_String]],core_mc[VisualId],MC_Check!$H$2)</f>
        <v>0</v>
      </c>
      <c r="S84" t="str">
        <f>_xlfn.TEXTJOIN("",,"*SOCKET0**COMPUTE",misc[[#This Row],[Compute]],"**CPU**CORE",misc[[#This Row],[location]],splitchar,"ML2*CR*MC3*STATUS*")</f>
        <v>*SOCKET0**COMPUTE1**CPU**CORE81__ML2*CR*MC3*STATUS*</v>
      </c>
      <c r="T84">
        <f>COUNTIFS(core_mc[TestName],misc[[#This Row],[CORE_MCA_String]],core_mc[VisualId],MC_Check!$H$2)</f>
        <v>0</v>
      </c>
      <c r="U84">
        <f>misc[[#This Row],[Core_ML2_Count]]+misc[[#This Row],[Core_IFU_Count]]+misc[[#This Row],[Core_DCU_Count]]+misc[[#This Row],[Core_DTLB_Count]]</f>
        <v>0</v>
      </c>
      <c r="V84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84" t="str">
        <f>_xlfn.TEXTJOIN("",,"*SOCKET0**COMPUTE",misc[[#This Row],[Compute]],"**UNCORE**SCF**SCF*LLC**SCF*LLC",misc[[#This Row],[location]],splitchar,"MCI*STATUS*")</f>
        <v>*SOCKET0**COMPUTE1**UNCORE**SCF**SCF*LLC**SCF*LLC81__MCI*STATUS*</v>
      </c>
      <c r="X84">
        <f>COUNTIFS(cha_mc[TestName],misc[[#This Row],[LLC_MCA_String]],cha_mc[VisualId],MC_Check!$H$2)</f>
        <v>0</v>
      </c>
    </row>
    <row r="85" spans="6:24" x14ac:dyDescent="0.35">
      <c r="F85">
        <v>1</v>
      </c>
      <c r="G85">
        <f t="shared" si="0"/>
        <v>82</v>
      </c>
      <c r="H85" s="5" t="b">
        <f>misc[[#This Row],[Core_Hitter_Count]]&gt;0</f>
        <v>0</v>
      </c>
      <c r="I85" t="b">
        <f>misc[[#This Row],[LLC_Hitter_Count]]&gt;0</f>
        <v>0</v>
      </c>
      <c r="J85" t="b">
        <f>misc[[#This Row],[CHA_Hitter_Count]]&gt;0</f>
        <v>0</v>
      </c>
      <c r="K85" t="str">
        <f>_xlfn.TEXTJOIN("",,"*SOCKET0**COMPUTE",misc[[#This Row],[Compute]],"**UNCORE**CHA**CHA",misc[[#This Row],[location]],splitchar,"UTIL**MC*STATUS*")</f>
        <v>*SOCKET0**COMPUTE1**UNCORE**CHA**CHA82__UTIL**MC*STATUS*</v>
      </c>
      <c r="L85">
        <f>COUNTIFS(cha_mc[TestName],misc[[#This Row],[CHA_MCA_String]],cha_mc[VisualId],MC_Check!$H$2)</f>
        <v>0</v>
      </c>
      <c r="M85" t="str">
        <f>_xlfn.TEXTJOIN("",,"*SOCKET0**COMPUTE",misc[[#This Row],[Compute]],"**CPU**CORE",misc[[#This Row],[location]],splitchar,"THREAD"&amp;"*",splitchar,"DCU*CR*MC1*STATUS**")</f>
        <v>*SOCKET0**COMPUTE1**CPU**CORE82__THREAD*__DCU*CR*MC1*STATUS**</v>
      </c>
      <c r="N85">
        <f>COUNTIFS(core_mc[TestName],misc[[#This Row],[DCU_MCA_String]],core_mc[VisualId],MC_Check!$H$2)</f>
        <v>0</v>
      </c>
      <c r="O85" t="str">
        <f>_xlfn.TEXTJOIN("",,"*SOCKET0**COMPUTE",misc[[#This Row],[Compute]],"**CPU**CORE",misc[[#This Row],[location]],splitchar,"DTLB*CR*MC2*STATUS**")</f>
        <v>*SOCKET0**COMPUTE1**CPU**CORE82__DTLB*CR*MC2*STATUS**</v>
      </c>
      <c r="P85">
        <f>COUNTIFS(core_mc[TestName],misc[[#This Row],[DTLB_MCA_String]],core_mc[VisualId],MC_Check!$H$2)</f>
        <v>0</v>
      </c>
      <c r="Q85" t="str">
        <f>_xlfn.TEXTJOIN("",,"*SOCKET0**COMPUTE",misc[[#This Row],[Compute]],"**CPU**CORE",misc[[#This Row],[location]],splitchar,"THREAD"&amp;"*",splitchar,"IFU*CR*MC0*STATUS**")</f>
        <v>*SOCKET0**COMPUTE1**CPU**CORE82__THREAD*__IFU*CR*MC0*STATUS**</v>
      </c>
      <c r="R85">
        <f>COUNTIFS(core_mc[TestName],misc[[#This Row],[IFU_MCA_String]],core_mc[VisualId],MC_Check!$H$2)</f>
        <v>0</v>
      </c>
      <c r="S85" t="str">
        <f>_xlfn.TEXTJOIN("",,"*SOCKET0**COMPUTE",misc[[#This Row],[Compute]],"**CPU**CORE",misc[[#This Row],[location]],splitchar,"ML2*CR*MC3*STATUS*")</f>
        <v>*SOCKET0**COMPUTE1**CPU**CORE82__ML2*CR*MC3*STATUS*</v>
      </c>
      <c r="T85">
        <f>COUNTIFS(core_mc[TestName],misc[[#This Row],[CORE_MCA_String]],core_mc[VisualId],MC_Check!$H$2)</f>
        <v>0</v>
      </c>
      <c r="U85">
        <f>misc[[#This Row],[Core_ML2_Count]]+misc[[#This Row],[Core_IFU_Count]]+misc[[#This Row],[Core_DCU_Count]]+misc[[#This Row],[Core_DTLB_Count]]</f>
        <v>0</v>
      </c>
      <c r="V85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85" t="str">
        <f>_xlfn.TEXTJOIN("",,"*SOCKET0**COMPUTE",misc[[#This Row],[Compute]],"**UNCORE**SCF**SCF*LLC**SCF*LLC",misc[[#This Row],[location]],splitchar,"MCI*STATUS*")</f>
        <v>*SOCKET0**COMPUTE1**UNCORE**SCF**SCF*LLC**SCF*LLC82__MCI*STATUS*</v>
      </c>
      <c r="X85">
        <f>COUNTIFS(cha_mc[TestName],misc[[#This Row],[LLC_MCA_String]],cha_mc[VisualId],MC_Check!$H$2)</f>
        <v>0</v>
      </c>
    </row>
    <row r="86" spans="6:24" x14ac:dyDescent="0.35">
      <c r="F86">
        <v>1</v>
      </c>
      <c r="G86">
        <f t="shared" si="0"/>
        <v>83</v>
      </c>
      <c r="H86" s="5" t="b">
        <f>misc[[#This Row],[Core_Hitter_Count]]&gt;0</f>
        <v>0</v>
      </c>
      <c r="I86" t="b">
        <f>misc[[#This Row],[LLC_Hitter_Count]]&gt;0</f>
        <v>0</v>
      </c>
      <c r="J86" t="b">
        <f>misc[[#This Row],[CHA_Hitter_Count]]&gt;0</f>
        <v>0</v>
      </c>
      <c r="K86" t="str">
        <f>_xlfn.TEXTJOIN("",,"*SOCKET0**COMPUTE",misc[[#This Row],[Compute]],"**UNCORE**CHA**CHA",misc[[#This Row],[location]],splitchar,"UTIL**MC*STATUS*")</f>
        <v>*SOCKET0**COMPUTE1**UNCORE**CHA**CHA83__UTIL**MC*STATUS*</v>
      </c>
      <c r="L86">
        <f>COUNTIFS(cha_mc[TestName],misc[[#This Row],[CHA_MCA_String]],cha_mc[VisualId],MC_Check!$H$2)</f>
        <v>0</v>
      </c>
      <c r="M86" t="str">
        <f>_xlfn.TEXTJOIN("",,"*SOCKET0**COMPUTE",misc[[#This Row],[Compute]],"**CPU**CORE",misc[[#This Row],[location]],splitchar,"THREAD"&amp;"*",splitchar,"DCU*CR*MC1*STATUS**")</f>
        <v>*SOCKET0**COMPUTE1**CPU**CORE83__THREAD*__DCU*CR*MC1*STATUS**</v>
      </c>
      <c r="N86">
        <f>COUNTIFS(core_mc[TestName],misc[[#This Row],[DCU_MCA_String]],core_mc[VisualId],MC_Check!$H$2)</f>
        <v>0</v>
      </c>
      <c r="O86" t="str">
        <f>_xlfn.TEXTJOIN("",,"*SOCKET0**COMPUTE",misc[[#This Row],[Compute]],"**CPU**CORE",misc[[#This Row],[location]],splitchar,"DTLB*CR*MC2*STATUS**")</f>
        <v>*SOCKET0**COMPUTE1**CPU**CORE83__DTLB*CR*MC2*STATUS**</v>
      </c>
      <c r="P86">
        <f>COUNTIFS(core_mc[TestName],misc[[#This Row],[DTLB_MCA_String]],core_mc[VisualId],MC_Check!$H$2)</f>
        <v>0</v>
      </c>
      <c r="Q86" t="str">
        <f>_xlfn.TEXTJOIN("",,"*SOCKET0**COMPUTE",misc[[#This Row],[Compute]],"**CPU**CORE",misc[[#This Row],[location]],splitchar,"THREAD"&amp;"*",splitchar,"IFU*CR*MC0*STATUS**")</f>
        <v>*SOCKET0**COMPUTE1**CPU**CORE83__THREAD*__IFU*CR*MC0*STATUS**</v>
      </c>
      <c r="R86">
        <f>COUNTIFS(core_mc[TestName],misc[[#This Row],[IFU_MCA_String]],core_mc[VisualId],MC_Check!$H$2)</f>
        <v>0</v>
      </c>
      <c r="S86" t="str">
        <f>_xlfn.TEXTJOIN("",,"*SOCKET0**COMPUTE",misc[[#This Row],[Compute]],"**CPU**CORE",misc[[#This Row],[location]],splitchar,"ML2*CR*MC3*STATUS*")</f>
        <v>*SOCKET0**COMPUTE1**CPU**CORE83__ML2*CR*MC3*STATUS*</v>
      </c>
      <c r="T86">
        <f>COUNTIFS(core_mc[TestName],misc[[#This Row],[CORE_MCA_String]],core_mc[VisualId],MC_Check!$H$2)</f>
        <v>0</v>
      </c>
      <c r="U86">
        <f>misc[[#This Row],[Core_ML2_Count]]+misc[[#This Row],[Core_IFU_Count]]+misc[[#This Row],[Core_DCU_Count]]+misc[[#This Row],[Core_DTLB_Count]]</f>
        <v>0</v>
      </c>
      <c r="V86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86" t="str">
        <f>_xlfn.TEXTJOIN("",,"*SOCKET0**COMPUTE",misc[[#This Row],[Compute]],"**UNCORE**SCF**SCF*LLC**SCF*LLC",misc[[#This Row],[location]],splitchar,"MCI*STATUS*")</f>
        <v>*SOCKET0**COMPUTE1**UNCORE**SCF**SCF*LLC**SCF*LLC83__MCI*STATUS*</v>
      </c>
      <c r="X86">
        <f>COUNTIFS(cha_mc[TestName],misc[[#This Row],[LLC_MCA_String]],cha_mc[VisualId],MC_Check!$H$2)</f>
        <v>0</v>
      </c>
    </row>
    <row r="87" spans="6:24" x14ac:dyDescent="0.35">
      <c r="F87">
        <v>1</v>
      </c>
      <c r="G87">
        <f t="shared" si="0"/>
        <v>84</v>
      </c>
      <c r="H87" s="5" t="b">
        <f>misc[[#This Row],[Core_Hitter_Count]]&gt;0</f>
        <v>0</v>
      </c>
      <c r="I87" t="b">
        <f>misc[[#This Row],[LLC_Hitter_Count]]&gt;0</f>
        <v>0</v>
      </c>
      <c r="J87" t="b">
        <f>misc[[#This Row],[CHA_Hitter_Count]]&gt;0</f>
        <v>0</v>
      </c>
      <c r="K87" t="str">
        <f>_xlfn.TEXTJOIN("",,"*SOCKET0**COMPUTE",misc[[#This Row],[Compute]],"**UNCORE**CHA**CHA",misc[[#This Row],[location]],splitchar,"UTIL**MC*STATUS*")</f>
        <v>*SOCKET0**COMPUTE1**UNCORE**CHA**CHA84__UTIL**MC*STATUS*</v>
      </c>
      <c r="L87">
        <f>COUNTIFS(cha_mc[TestName],misc[[#This Row],[CHA_MCA_String]],cha_mc[VisualId],MC_Check!$H$2)</f>
        <v>0</v>
      </c>
      <c r="M87" t="str">
        <f>_xlfn.TEXTJOIN("",,"*SOCKET0**COMPUTE",misc[[#This Row],[Compute]],"**CPU**CORE",misc[[#This Row],[location]],splitchar,"THREAD"&amp;"*",splitchar,"DCU*CR*MC1*STATUS**")</f>
        <v>*SOCKET0**COMPUTE1**CPU**CORE84__THREAD*__DCU*CR*MC1*STATUS**</v>
      </c>
      <c r="N87">
        <f>COUNTIFS(core_mc[TestName],misc[[#This Row],[DCU_MCA_String]],core_mc[VisualId],MC_Check!$H$2)</f>
        <v>0</v>
      </c>
      <c r="O87" t="str">
        <f>_xlfn.TEXTJOIN("",,"*SOCKET0**COMPUTE",misc[[#This Row],[Compute]],"**CPU**CORE",misc[[#This Row],[location]],splitchar,"DTLB*CR*MC2*STATUS**")</f>
        <v>*SOCKET0**COMPUTE1**CPU**CORE84__DTLB*CR*MC2*STATUS**</v>
      </c>
      <c r="P87">
        <f>COUNTIFS(core_mc[TestName],misc[[#This Row],[DTLB_MCA_String]],core_mc[VisualId],MC_Check!$H$2)</f>
        <v>0</v>
      </c>
      <c r="Q87" t="str">
        <f>_xlfn.TEXTJOIN("",,"*SOCKET0**COMPUTE",misc[[#This Row],[Compute]],"**CPU**CORE",misc[[#This Row],[location]],splitchar,"THREAD"&amp;"*",splitchar,"IFU*CR*MC0*STATUS**")</f>
        <v>*SOCKET0**COMPUTE1**CPU**CORE84__THREAD*__IFU*CR*MC0*STATUS**</v>
      </c>
      <c r="R87">
        <f>COUNTIFS(core_mc[TestName],misc[[#This Row],[IFU_MCA_String]],core_mc[VisualId],MC_Check!$H$2)</f>
        <v>0</v>
      </c>
      <c r="S87" t="str">
        <f>_xlfn.TEXTJOIN("",,"*SOCKET0**COMPUTE",misc[[#This Row],[Compute]],"**CPU**CORE",misc[[#This Row],[location]],splitchar,"ML2*CR*MC3*STATUS*")</f>
        <v>*SOCKET0**COMPUTE1**CPU**CORE84__ML2*CR*MC3*STATUS*</v>
      </c>
      <c r="T87">
        <f>COUNTIFS(core_mc[TestName],misc[[#This Row],[CORE_MCA_String]],core_mc[VisualId],MC_Check!$H$2)</f>
        <v>0</v>
      </c>
      <c r="U87">
        <f>misc[[#This Row],[Core_ML2_Count]]+misc[[#This Row],[Core_IFU_Count]]+misc[[#This Row],[Core_DCU_Count]]+misc[[#This Row],[Core_DTLB_Count]]</f>
        <v>0</v>
      </c>
      <c r="V87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87" t="str">
        <f>_xlfn.TEXTJOIN("",,"*SOCKET0**COMPUTE",misc[[#This Row],[Compute]],"**UNCORE**SCF**SCF*LLC**SCF*LLC",misc[[#This Row],[location]],splitchar,"MCI*STATUS*")</f>
        <v>*SOCKET0**COMPUTE1**UNCORE**SCF**SCF*LLC**SCF*LLC84__MCI*STATUS*</v>
      </c>
      <c r="X87">
        <f>COUNTIFS(cha_mc[TestName],misc[[#This Row],[LLC_MCA_String]],cha_mc[VisualId],MC_Check!$H$2)</f>
        <v>0</v>
      </c>
    </row>
    <row r="88" spans="6:24" x14ac:dyDescent="0.35">
      <c r="F88">
        <v>1</v>
      </c>
      <c r="G88">
        <f t="shared" si="0"/>
        <v>85</v>
      </c>
      <c r="H88" s="5" t="b">
        <f>misc[[#This Row],[Core_Hitter_Count]]&gt;0</f>
        <v>0</v>
      </c>
      <c r="I88" t="b">
        <f>misc[[#This Row],[LLC_Hitter_Count]]&gt;0</f>
        <v>0</v>
      </c>
      <c r="J88" t="b">
        <f>misc[[#This Row],[CHA_Hitter_Count]]&gt;0</f>
        <v>0</v>
      </c>
      <c r="K88" t="str">
        <f>_xlfn.TEXTJOIN("",,"*SOCKET0**COMPUTE",misc[[#This Row],[Compute]],"**UNCORE**CHA**CHA",misc[[#This Row],[location]],splitchar,"UTIL**MC*STATUS*")</f>
        <v>*SOCKET0**COMPUTE1**UNCORE**CHA**CHA85__UTIL**MC*STATUS*</v>
      </c>
      <c r="L88">
        <f>COUNTIFS(cha_mc[TestName],misc[[#This Row],[CHA_MCA_String]],cha_mc[VisualId],MC_Check!$H$2)</f>
        <v>0</v>
      </c>
      <c r="M88" t="str">
        <f>_xlfn.TEXTJOIN("",,"*SOCKET0**COMPUTE",misc[[#This Row],[Compute]],"**CPU**CORE",misc[[#This Row],[location]],splitchar,"THREAD"&amp;"*",splitchar,"DCU*CR*MC1*STATUS**")</f>
        <v>*SOCKET0**COMPUTE1**CPU**CORE85__THREAD*__DCU*CR*MC1*STATUS**</v>
      </c>
      <c r="N88">
        <f>COUNTIFS(core_mc[TestName],misc[[#This Row],[DCU_MCA_String]],core_mc[VisualId],MC_Check!$H$2)</f>
        <v>0</v>
      </c>
      <c r="O88" t="str">
        <f>_xlfn.TEXTJOIN("",,"*SOCKET0**COMPUTE",misc[[#This Row],[Compute]],"**CPU**CORE",misc[[#This Row],[location]],splitchar,"DTLB*CR*MC2*STATUS**")</f>
        <v>*SOCKET0**COMPUTE1**CPU**CORE85__DTLB*CR*MC2*STATUS**</v>
      </c>
      <c r="P88">
        <f>COUNTIFS(core_mc[TestName],misc[[#This Row],[DTLB_MCA_String]],core_mc[VisualId],MC_Check!$H$2)</f>
        <v>0</v>
      </c>
      <c r="Q88" t="str">
        <f>_xlfn.TEXTJOIN("",,"*SOCKET0**COMPUTE",misc[[#This Row],[Compute]],"**CPU**CORE",misc[[#This Row],[location]],splitchar,"THREAD"&amp;"*",splitchar,"IFU*CR*MC0*STATUS**")</f>
        <v>*SOCKET0**COMPUTE1**CPU**CORE85__THREAD*__IFU*CR*MC0*STATUS**</v>
      </c>
      <c r="R88">
        <f>COUNTIFS(core_mc[TestName],misc[[#This Row],[IFU_MCA_String]],core_mc[VisualId],MC_Check!$H$2)</f>
        <v>0</v>
      </c>
      <c r="S88" t="str">
        <f>_xlfn.TEXTJOIN("",,"*SOCKET0**COMPUTE",misc[[#This Row],[Compute]],"**CPU**CORE",misc[[#This Row],[location]],splitchar,"ML2*CR*MC3*STATUS*")</f>
        <v>*SOCKET0**COMPUTE1**CPU**CORE85__ML2*CR*MC3*STATUS*</v>
      </c>
      <c r="T88">
        <f>COUNTIFS(core_mc[TestName],misc[[#This Row],[CORE_MCA_String]],core_mc[VisualId],MC_Check!$H$2)</f>
        <v>0</v>
      </c>
      <c r="U88">
        <f>misc[[#This Row],[Core_ML2_Count]]+misc[[#This Row],[Core_IFU_Count]]+misc[[#This Row],[Core_DCU_Count]]+misc[[#This Row],[Core_DTLB_Count]]</f>
        <v>0</v>
      </c>
      <c r="V88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88" t="str">
        <f>_xlfn.TEXTJOIN("",,"*SOCKET0**COMPUTE",misc[[#This Row],[Compute]],"**UNCORE**SCF**SCF*LLC**SCF*LLC",misc[[#This Row],[location]],splitchar,"MCI*STATUS*")</f>
        <v>*SOCKET0**COMPUTE1**UNCORE**SCF**SCF*LLC**SCF*LLC85__MCI*STATUS*</v>
      </c>
      <c r="X88">
        <f>COUNTIFS(cha_mc[TestName],misc[[#This Row],[LLC_MCA_String]],cha_mc[VisualId],MC_Check!$H$2)</f>
        <v>0</v>
      </c>
    </row>
    <row r="89" spans="6:24" x14ac:dyDescent="0.35">
      <c r="F89">
        <v>1</v>
      </c>
      <c r="G89">
        <f t="shared" si="0"/>
        <v>86</v>
      </c>
      <c r="H89" s="5" t="b">
        <f>misc[[#This Row],[Core_Hitter_Count]]&gt;0</f>
        <v>0</v>
      </c>
      <c r="I89" t="b">
        <f>misc[[#This Row],[LLC_Hitter_Count]]&gt;0</f>
        <v>0</v>
      </c>
      <c r="J89" t="b">
        <f>misc[[#This Row],[CHA_Hitter_Count]]&gt;0</f>
        <v>0</v>
      </c>
      <c r="K89" t="str">
        <f>_xlfn.TEXTJOIN("",,"*SOCKET0**COMPUTE",misc[[#This Row],[Compute]],"**UNCORE**CHA**CHA",misc[[#This Row],[location]],splitchar,"UTIL**MC*STATUS*")</f>
        <v>*SOCKET0**COMPUTE1**UNCORE**CHA**CHA86__UTIL**MC*STATUS*</v>
      </c>
      <c r="L89">
        <f>COUNTIFS(cha_mc[TestName],misc[[#This Row],[CHA_MCA_String]],cha_mc[VisualId],MC_Check!$H$2)</f>
        <v>0</v>
      </c>
      <c r="M89" t="str">
        <f>_xlfn.TEXTJOIN("",,"*SOCKET0**COMPUTE",misc[[#This Row],[Compute]],"**CPU**CORE",misc[[#This Row],[location]],splitchar,"THREAD"&amp;"*",splitchar,"DCU*CR*MC1*STATUS**")</f>
        <v>*SOCKET0**COMPUTE1**CPU**CORE86__THREAD*__DCU*CR*MC1*STATUS**</v>
      </c>
      <c r="N89">
        <f>COUNTIFS(core_mc[TestName],misc[[#This Row],[DCU_MCA_String]],core_mc[VisualId],MC_Check!$H$2)</f>
        <v>0</v>
      </c>
      <c r="O89" t="str">
        <f>_xlfn.TEXTJOIN("",,"*SOCKET0**COMPUTE",misc[[#This Row],[Compute]],"**CPU**CORE",misc[[#This Row],[location]],splitchar,"DTLB*CR*MC2*STATUS**")</f>
        <v>*SOCKET0**COMPUTE1**CPU**CORE86__DTLB*CR*MC2*STATUS**</v>
      </c>
      <c r="P89">
        <f>COUNTIFS(core_mc[TestName],misc[[#This Row],[DTLB_MCA_String]],core_mc[VisualId],MC_Check!$H$2)</f>
        <v>0</v>
      </c>
      <c r="Q89" t="str">
        <f>_xlfn.TEXTJOIN("",,"*SOCKET0**COMPUTE",misc[[#This Row],[Compute]],"**CPU**CORE",misc[[#This Row],[location]],splitchar,"THREAD"&amp;"*",splitchar,"IFU*CR*MC0*STATUS**")</f>
        <v>*SOCKET0**COMPUTE1**CPU**CORE86__THREAD*__IFU*CR*MC0*STATUS**</v>
      </c>
      <c r="R89">
        <f>COUNTIFS(core_mc[TestName],misc[[#This Row],[IFU_MCA_String]],core_mc[VisualId],MC_Check!$H$2)</f>
        <v>0</v>
      </c>
      <c r="S89" t="str">
        <f>_xlfn.TEXTJOIN("",,"*SOCKET0**COMPUTE",misc[[#This Row],[Compute]],"**CPU**CORE",misc[[#This Row],[location]],splitchar,"ML2*CR*MC3*STATUS*")</f>
        <v>*SOCKET0**COMPUTE1**CPU**CORE86__ML2*CR*MC3*STATUS*</v>
      </c>
      <c r="T89">
        <f>COUNTIFS(core_mc[TestName],misc[[#This Row],[CORE_MCA_String]],core_mc[VisualId],MC_Check!$H$2)</f>
        <v>0</v>
      </c>
      <c r="U89">
        <f>misc[[#This Row],[Core_ML2_Count]]+misc[[#This Row],[Core_IFU_Count]]+misc[[#This Row],[Core_DCU_Count]]+misc[[#This Row],[Core_DTLB_Count]]</f>
        <v>0</v>
      </c>
      <c r="V89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89" t="str">
        <f>_xlfn.TEXTJOIN("",,"*SOCKET0**COMPUTE",misc[[#This Row],[Compute]],"**UNCORE**SCF**SCF*LLC**SCF*LLC",misc[[#This Row],[location]],splitchar,"MCI*STATUS*")</f>
        <v>*SOCKET0**COMPUTE1**UNCORE**SCF**SCF*LLC**SCF*LLC86__MCI*STATUS*</v>
      </c>
      <c r="X89">
        <f>COUNTIFS(cha_mc[TestName],misc[[#This Row],[LLC_MCA_String]],cha_mc[VisualId],MC_Check!$H$2)</f>
        <v>0</v>
      </c>
    </row>
    <row r="90" spans="6:24" x14ac:dyDescent="0.35">
      <c r="F90">
        <v>1</v>
      </c>
      <c r="G90">
        <f t="shared" si="0"/>
        <v>87</v>
      </c>
      <c r="H90" s="5" t="b">
        <f>misc[[#This Row],[Core_Hitter_Count]]&gt;0</f>
        <v>0</v>
      </c>
      <c r="I90" t="b">
        <f>misc[[#This Row],[LLC_Hitter_Count]]&gt;0</f>
        <v>0</v>
      </c>
      <c r="J90" t="b">
        <f>misc[[#This Row],[CHA_Hitter_Count]]&gt;0</f>
        <v>0</v>
      </c>
      <c r="K90" t="str">
        <f>_xlfn.TEXTJOIN("",,"*SOCKET0**COMPUTE",misc[[#This Row],[Compute]],"**UNCORE**CHA**CHA",misc[[#This Row],[location]],splitchar,"UTIL**MC*STATUS*")</f>
        <v>*SOCKET0**COMPUTE1**UNCORE**CHA**CHA87__UTIL**MC*STATUS*</v>
      </c>
      <c r="L90">
        <f>COUNTIFS(cha_mc[TestName],misc[[#This Row],[CHA_MCA_String]],cha_mc[VisualId],MC_Check!$H$2)</f>
        <v>0</v>
      </c>
      <c r="M90" t="str">
        <f>_xlfn.TEXTJOIN("",,"*SOCKET0**COMPUTE",misc[[#This Row],[Compute]],"**CPU**CORE",misc[[#This Row],[location]],splitchar,"THREAD"&amp;"*",splitchar,"DCU*CR*MC1*STATUS**")</f>
        <v>*SOCKET0**COMPUTE1**CPU**CORE87__THREAD*__DCU*CR*MC1*STATUS**</v>
      </c>
      <c r="N90">
        <f>COUNTIFS(core_mc[TestName],misc[[#This Row],[DCU_MCA_String]],core_mc[VisualId],MC_Check!$H$2)</f>
        <v>0</v>
      </c>
      <c r="O90" t="str">
        <f>_xlfn.TEXTJOIN("",,"*SOCKET0**COMPUTE",misc[[#This Row],[Compute]],"**CPU**CORE",misc[[#This Row],[location]],splitchar,"DTLB*CR*MC2*STATUS**")</f>
        <v>*SOCKET0**COMPUTE1**CPU**CORE87__DTLB*CR*MC2*STATUS**</v>
      </c>
      <c r="P90">
        <f>COUNTIFS(core_mc[TestName],misc[[#This Row],[DTLB_MCA_String]],core_mc[VisualId],MC_Check!$H$2)</f>
        <v>0</v>
      </c>
      <c r="Q90" t="str">
        <f>_xlfn.TEXTJOIN("",,"*SOCKET0**COMPUTE",misc[[#This Row],[Compute]],"**CPU**CORE",misc[[#This Row],[location]],splitchar,"THREAD"&amp;"*",splitchar,"IFU*CR*MC0*STATUS**")</f>
        <v>*SOCKET0**COMPUTE1**CPU**CORE87__THREAD*__IFU*CR*MC0*STATUS**</v>
      </c>
      <c r="R90">
        <f>COUNTIFS(core_mc[TestName],misc[[#This Row],[IFU_MCA_String]],core_mc[VisualId],MC_Check!$H$2)</f>
        <v>0</v>
      </c>
      <c r="S90" t="str">
        <f>_xlfn.TEXTJOIN("",,"*SOCKET0**COMPUTE",misc[[#This Row],[Compute]],"**CPU**CORE",misc[[#This Row],[location]],splitchar,"ML2*CR*MC3*STATUS*")</f>
        <v>*SOCKET0**COMPUTE1**CPU**CORE87__ML2*CR*MC3*STATUS*</v>
      </c>
      <c r="T90">
        <f>COUNTIFS(core_mc[TestName],misc[[#This Row],[CORE_MCA_String]],core_mc[VisualId],MC_Check!$H$2)</f>
        <v>0</v>
      </c>
      <c r="U90">
        <f>misc[[#This Row],[Core_ML2_Count]]+misc[[#This Row],[Core_IFU_Count]]+misc[[#This Row],[Core_DCU_Count]]+misc[[#This Row],[Core_DTLB_Count]]</f>
        <v>0</v>
      </c>
      <c r="V90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90" t="str">
        <f>_xlfn.TEXTJOIN("",,"*SOCKET0**COMPUTE",misc[[#This Row],[Compute]],"**UNCORE**SCF**SCF*LLC**SCF*LLC",misc[[#This Row],[location]],splitchar,"MCI*STATUS*")</f>
        <v>*SOCKET0**COMPUTE1**UNCORE**SCF**SCF*LLC**SCF*LLC87__MCI*STATUS*</v>
      </c>
      <c r="X90">
        <f>COUNTIFS(cha_mc[TestName],misc[[#This Row],[LLC_MCA_String]],cha_mc[VisualId],MC_Check!$H$2)</f>
        <v>0</v>
      </c>
    </row>
    <row r="91" spans="6:24" x14ac:dyDescent="0.35">
      <c r="F91">
        <v>1</v>
      </c>
      <c r="G91">
        <f t="shared" si="0"/>
        <v>88</v>
      </c>
      <c r="H91" s="5" t="b">
        <f>misc[[#This Row],[Core_Hitter_Count]]&gt;0</f>
        <v>0</v>
      </c>
      <c r="I91" t="b">
        <f>misc[[#This Row],[LLC_Hitter_Count]]&gt;0</f>
        <v>0</v>
      </c>
      <c r="J91" t="b">
        <f>misc[[#This Row],[CHA_Hitter_Count]]&gt;0</f>
        <v>0</v>
      </c>
      <c r="K91" t="str">
        <f>_xlfn.TEXTJOIN("",,"*SOCKET0**COMPUTE",misc[[#This Row],[Compute]],"**UNCORE**CHA**CHA",misc[[#This Row],[location]],splitchar,"UTIL**MC*STATUS*")</f>
        <v>*SOCKET0**COMPUTE1**UNCORE**CHA**CHA88__UTIL**MC*STATUS*</v>
      </c>
      <c r="L91">
        <f>COUNTIFS(cha_mc[TestName],misc[[#This Row],[CHA_MCA_String]],cha_mc[VisualId],MC_Check!$H$2)</f>
        <v>0</v>
      </c>
      <c r="M91" t="str">
        <f>_xlfn.TEXTJOIN("",,"*SOCKET0**COMPUTE",misc[[#This Row],[Compute]],"**CPU**CORE",misc[[#This Row],[location]],splitchar,"THREAD"&amp;"*",splitchar,"DCU*CR*MC1*STATUS**")</f>
        <v>*SOCKET0**COMPUTE1**CPU**CORE88__THREAD*__DCU*CR*MC1*STATUS**</v>
      </c>
      <c r="N91">
        <f>COUNTIFS(core_mc[TestName],misc[[#This Row],[DCU_MCA_String]],core_mc[VisualId],MC_Check!$H$2)</f>
        <v>0</v>
      </c>
      <c r="O91" t="str">
        <f>_xlfn.TEXTJOIN("",,"*SOCKET0**COMPUTE",misc[[#This Row],[Compute]],"**CPU**CORE",misc[[#This Row],[location]],splitchar,"DTLB*CR*MC2*STATUS**")</f>
        <v>*SOCKET0**COMPUTE1**CPU**CORE88__DTLB*CR*MC2*STATUS**</v>
      </c>
      <c r="P91">
        <f>COUNTIFS(core_mc[TestName],misc[[#This Row],[DTLB_MCA_String]],core_mc[VisualId],MC_Check!$H$2)</f>
        <v>0</v>
      </c>
      <c r="Q91" t="str">
        <f>_xlfn.TEXTJOIN("",,"*SOCKET0**COMPUTE",misc[[#This Row],[Compute]],"**CPU**CORE",misc[[#This Row],[location]],splitchar,"THREAD"&amp;"*",splitchar,"IFU*CR*MC0*STATUS**")</f>
        <v>*SOCKET0**COMPUTE1**CPU**CORE88__THREAD*__IFU*CR*MC0*STATUS**</v>
      </c>
      <c r="R91">
        <f>COUNTIFS(core_mc[TestName],misc[[#This Row],[IFU_MCA_String]],core_mc[VisualId],MC_Check!$H$2)</f>
        <v>0</v>
      </c>
      <c r="S91" t="str">
        <f>_xlfn.TEXTJOIN("",,"*SOCKET0**COMPUTE",misc[[#This Row],[Compute]],"**CPU**CORE",misc[[#This Row],[location]],splitchar,"ML2*CR*MC3*STATUS*")</f>
        <v>*SOCKET0**COMPUTE1**CPU**CORE88__ML2*CR*MC3*STATUS*</v>
      </c>
      <c r="T91">
        <f>COUNTIFS(core_mc[TestName],misc[[#This Row],[CORE_MCA_String]],core_mc[VisualId],MC_Check!$H$2)</f>
        <v>0</v>
      </c>
      <c r="U91">
        <f>misc[[#This Row],[Core_ML2_Count]]+misc[[#This Row],[Core_IFU_Count]]+misc[[#This Row],[Core_DCU_Count]]+misc[[#This Row],[Core_DTLB_Count]]</f>
        <v>0</v>
      </c>
      <c r="V91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91" t="str">
        <f>_xlfn.TEXTJOIN("",,"*SOCKET0**COMPUTE",misc[[#This Row],[Compute]],"**UNCORE**SCF**SCF*LLC**SCF*LLC",misc[[#This Row],[location]],splitchar,"MCI*STATUS*")</f>
        <v>*SOCKET0**COMPUTE1**UNCORE**SCF**SCF*LLC**SCF*LLC88__MCI*STATUS*</v>
      </c>
      <c r="X91">
        <f>COUNTIFS(cha_mc[TestName],misc[[#This Row],[LLC_MCA_String]],cha_mc[VisualId],MC_Check!$H$2)</f>
        <v>0</v>
      </c>
    </row>
    <row r="92" spans="6:24" x14ac:dyDescent="0.35">
      <c r="F92">
        <v>1</v>
      </c>
      <c r="G92">
        <f t="shared" si="0"/>
        <v>89</v>
      </c>
      <c r="H92" s="5" t="b">
        <f>misc[[#This Row],[Core_Hitter_Count]]&gt;0</f>
        <v>0</v>
      </c>
      <c r="I92" t="b">
        <f>misc[[#This Row],[LLC_Hitter_Count]]&gt;0</f>
        <v>0</v>
      </c>
      <c r="J92" t="b">
        <f>misc[[#This Row],[CHA_Hitter_Count]]&gt;0</f>
        <v>0</v>
      </c>
      <c r="K92" t="str">
        <f>_xlfn.TEXTJOIN("",,"*SOCKET0**COMPUTE",misc[[#This Row],[Compute]],"**UNCORE**CHA**CHA",misc[[#This Row],[location]],splitchar,"UTIL**MC*STATUS*")</f>
        <v>*SOCKET0**COMPUTE1**UNCORE**CHA**CHA89__UTIL**MC*STATUS*</v>
      </c>
      <c r="L92">
        <f>COUNTIFS(cha_mc[TestName],misc[[#This Row],[CHA_MCA_String]],cha_mc[VisualId],MC_Check!$H$2)</f>
        <v>0</v>
      </c>
      <c r="M92" t="str">
        <f>_xlfn.TEXTJOIN("",,"*SOCKET0**COMPUTE",misc[[#This Row],[Compute]],"**CPU**CORE",misc[[#This Row],[location]],splitchar,"THREAD"&amp;"*",splitchar,"DCU*CR*MC1*STATUS**")</f>
        <v>*SOCKET0**COMPUTE1**CPU**CORE89__THREAD*__DCU*CR*MC1*STATUS**</v>
      </c>
      <c r="N92">
        <f>COUNTIFS(core_mc[TestName],misc[[#This Row],[DCU_MCA_String]],core_mc[VisualId],MC_Check!$H$2)</f>
        <v>0</v>
      </c>
      <c r="O92" t="str">
        <f>_xlfn.TEXTJOIN("",,"*SOCKET0**COMPUTE",misc[[#This Row],[Compute]],"**CPU**CORE",misc[[#This Row],[location]],splitchar,"DTLB*CR*MC2*STATUS**")</f>
        <v>*SOCKET0**COMPUTE1**CPU**CORE89__DTLB*CR*MC2*STATUS**</v>
      </c>
      <c r="P92">
        <f>COUNTIFS(core_mc[TestName],misc[[#This Row],[DTLB_MCA_String]],core_mc[VisualId],MC_Check!$H$2)</f>
        <v>0</v>
      </c>
      <c r="Q92" t="str">
        <f>_xlfn.TEXTJOIN("",,"*SOCKET0**COMPUTE",misc[[#This Row],[Compute]],"**CPU**CORE",misc[[#This Row],[location]],splitchar,"THREAD"&amp;"*",splitchar,"IFU*CR*MC0*STATUS**")</f>
        <v>*SOCKET0**COMPUTE1**CPU**CORE89__THREAD*__IFU*CR*MC0*STATUS**</v>
      </c>
      <c r="R92">
        <f>COUNTIFS(core_mc[TestName],misc[[#This Row],[IFU_MCA_String]],core_mc[VisualId],MC_Check!$H$2)</f>
        <v>0</v>
      </c>
      <c r="S92" t="str">
        <f>_xlfn.TEXTJOIN("",,"*SOCKET0**COMPUTE",misc[[#This Row],[Compute]],"**CPU**CORE",misc[[#This Row],[location]],splitchar,"ML2*CR*MC3*STATUS*")</f>
        <v>*SOCKET0**COMPUTE1**CPU**CORE89__ML2*CR*MC3*STATUS*</v>
      </c>
      <c r="T92">
        <f>COUNTIFS(core_mc[TestName],misc[[#This Row],[CORE_MCA_String]],core_mc[VisualId],MC_Check!$H$2)</f>
        <v>0</v>
      </c>
      <c r="U92">
        <f>misc[[#This Row],[Core_ML2_Count]]+misc[[#This Row],[Core_IFU_Count]]+misc[[#This Row],[Core_DCU_Count]]+misc[[#This Row],[Core_DTLB_Count]]</f>
        <v>0</v>
      </c>
      <c r="V92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92" t="str">
        <f>_xlfn.TEXTJOIN("",,"*SOCKET0**COMPUTE",misc[[#This Row],[Compute]],"**UNCORE**SCF**SCF*LLC**SCF*LLC",misc[[#This Row],[location]],splitchar,"MCI*STATUS*")</f>
        <v>*SOCKET0**COMPUTE1**UNCORE**SCF**SCF*LLC**SCF*LLC89__MCI*STATUS*</v>
      </c>
      <c r="X92">
        <f>COUNTIFS(cha_mc[TestName],misc[[#This Row],[LLC_MCA_String]],cha_mc[VisualId],MC_Check!$H$2)</f>
        <v>0</v>
      </c>
    </row>
    <row r="93" spans="6:24" x14ac:dyDescent="0.35">
      <c r="F93">
        <v>1</v>
      </c>
      <c r="G93">
        <f t="shared" si="0"/>
        <v>90</v>
      </c>
      <c r="H93" s="5" t="b">
        <f>misc[[#This Row],[Core_Hitter_Count]]&gt;0</f>
        <v>0</v>
      </c>
      <c r="I93" t="b">
        <f>misc[[#This Row],[LLC_Hitter_Count]]&gt;0</f>
        <v>0</v>
      </c>
      <c r="J93" t="b">
        <f>misc[[#This Row],[CHA_Hitter_Count]]&gt;0</f>
        <v>0</v>
      </c>
      <c r="K93" t="str">
        <f>_xlfn.TEXTJOIN("",,"*SOCKET0**COMPUTE",misc[[#This Row],[Compute]],"**UNCORE**CHA**CHA",misc[[#This Row],[location]],splitchar,"UTIL**MC*STATUS*")</f>
        <v>*SOCKET0**COMPUTE1**UNCORE**CHA**CHA90__UTIL**MC*STATUS*</v>
      </c>
      <c r="L93">
        <f>COUNTIFS(cha_mc[TestName],misc[[#This Row],[CHA_MCA_String]],cha_mc[VisualId],MC_Check!$H$2)</f>
        <v>0</v>
      </c>
      <c r="M93" t="str">
        <f>_xlfn.TEXTJOIN("",,"*SOCKET0**COMPUTE",misc[[#This Row],[Compute]],"**CPU**CORE",misc[[#This Row],[location]],splitchar,"THREAD"&amp;"*",splitchar,"DCU*CR*MC1*STATUS**")</f>
        <v>*SOCKET0**COMPUTE1**CPU**CORE90__THREAD*__DCU*CR*MC1*STATUS**</v>
      </c>
      <c r="N93">
        <f>COUNTIFS(core_mc[TestName],misc[[#This Row],[DCU_MCA_String]],core_mc[VisualId],MC_Check!$H$2)</f>
        <v>0</v>
      </c>
      <c r="O93" t="str">
        <f>_xlfn.TEXTJOIN("",,"*SOCKET0**COMPUTE",misc[[#This Row],[Compute]],"**CPU**CORE",misc[[#This Row],[location]],splitchar,"DTLB*CR*MC2*STATUS**")</f>
        <v>*SOCKET0**COMPUTE1**CPU**CORE90__DTLB*CR*MC2*STATUS**</v>
      </c>
      <c r="P93">
        <f>COUNTIFS(core_mc[TestName],misc[[#This Row],[DTLB_MCA_String]],core_mc[VisualId],MC_Check!$H$2)</f>
        <v>0</v>
      </c>
      <c r="Q93" t="str">
        <f>_xlfn.TEXTJOIN("",,"*SOCKET0**COMPUTE",misc[[#This Row],[Compute]],"**CPU**CORE",misc[[#This Row],[location]],splitchar,"THREAD"&amp;"*",splitchar,"IFU*CR*MC0*STATUS**")</f>
        <v>*SOCKET0**COMPUTE1**CPU**CORE90__THREAD*__IFU*CR*MC0*STATUS**</v>
      </c>
      <c r="R93">
        <f>COUNTIFS(core_mc[TestName],misc[[#This Row],[IFU_MCA_String]],core_mc[VisualId],MC_Check!$H$2)</f>
        <v>0</v>
      </c>
      <c r="S93" t="str">
        <f>_xlfn.TEXTJOIN("",,"*SOCKET0**COMPUTE",misc[[#This Row],[Compute]],"**CPU**CORE",misc[[#This Row],[location]],splitchar,"ML2*CR*MC3*STATUS*")</f>
        <v>*SOCKET0**COMPUTE1**CPU**CORE90__ML2*CR*MC3*STATUS*</v>
      </c>
      <c r="T93">
        <f>COUNTIFS(core_mc[TestName],misc[[#This Row],[CORE_MCA_String]],core_mc[VisualId],MC_Check!$H$2)</f>
        <v>0</v>
      </c>
      <c r="U93">
        <f>misc[[#This Row],[Core_ML2_Count]]+misc[[#This Row],[Core_IFU_Count]]+misc[[#This Row],[Core_DCU_Count]]+misc[[#This Row],[Core_DTLB_Count]]</f>
        <v>0</v>
      </c>
      <c r="V93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93" t="str">
        <f>_xlfn.TEXTJOIN("",,"*SOCKET0**COMPUTE",misc[[#This Row],[Compute]],"**UNCORE**SCF**SCF*LLC**SCF*LLC",misc[[#This Row],[location]],splitchar,"MCI*STATUS*")</f>
        <v>*SOCKET0**COMPUTE1**UNCORE**SCF**SCF*LLC**SCF*LLC90__MCI*STATUS*</v>
      </c>
      <c r="X93">
        <f>COUNTIFS(cha_mc[TestName],misc[[#This Row],[LLC_MCA_String]],cha_mc[VisualId],MC_Check!$H$2)</f>
        <v>0</v>
      </c>
    </row>
    <row r="94" spans="6:24" x14ac:dyDescent="0.35">
      <c r="F94">
        <v>1</v>
      </c>
      <c r="G94">
        <f t="shared" si="0"/>
        <v>91</v>
      </c>
      <c r="H94" s="5" t="b">
        <f>misc[[#This Row],[Core_Hitter_Count]]&gt;0</f>
        <v>0</v>
      </c>
      <c r="I94" t="b">
        <f>misc[[#This Row],[LLC_Hitter_Count]]&gt;0</f>
        <v>0</v>
      </c>
      <c r="J94" t="b">
        <f>misc[[#This Row],[CHA_Hitter_Count]]&gt;0</f>
        <v>0</v>
      </c>
      <c r="K94" t="str">
        <f>_xlfn.TEXTJOIN("",,"*SOCKET0**COMPUTE",misc[[#This Row],[Compute]],"**UNCORE**CHA**CHA",misc[[#This Row],[location]],splitchar,"UTIL**MC*STATUS*")</f>
        <v>*SOCKET0**COMPUTE1**UNCORE**CHA**CHA91__UTIL**MC*STATUS*</v>
      </c>
      <c r="L94">
        <f>COUNTIFS(cha_mc[TestName],misc[[#This Row],[CHA_MCA_String]],cha_mc[VisualId],MC_Check!$H$2)</f>
        <v>0</v>
      </c>
      <c r="M94" t="str">
        <f>_xlfn.TEXTJOIN("",,"*SOCKET0**COMPUTE",misc[[#This Row],[Compute]],"**CPU**CORE",misc[[#This Row],[location]],splitchar,"THREAD"&amp;"*",splitchar,"DCU*CR*MC1*STATUS**")</f>
        <v>*SOCKET0**COMPUTE1**CPU**CORE91__THREAD*__DCU*CR*MC1*STATUS**</v>
      </c>
      <c r="N94">
        <f>COUNTIFS(core_mc[TestName],misc[[#This Row],[DCU_MCA_String]],core_mc[VisualId],MC_Check!$H$2)</f>
        <v>0</v>
      </c>
      <c r="O94" t="str">
        <f>_xlfn.TEXTJOIN("",,"*SOCKET0**COMPUTE",misc[[#This Row],[Compute]],"**CPU**CORE",misc[[#This Row],[location]],splitchar,"DTLB*CR*MC2*STATUS**")</f>
        <v>*SOCKET0**COMPUTE1**CPU**CORE91__DTLB*CR*MC2*STATUS**</v>
      </c>
      <c r="P94">
        <f>COUNTIFS(core_mc[TestName],misc[[#This Row],[DTLB_MCA_String]],core_mc[VisualId],MC_Check!$H$2)</f>
        <v>0</v>
      </c>
      <c r="Q94" t="str">
        <f>_xlfn.TEXTJOIN("",,"*SOCKET0**COMPUTE",misc[[#This Row],[Compute]],"**CPU**CORE",misc[[#This Row],[location]],splitchar,"THREAD"&amp;"*",splitchar,"IFU*CR*MC0*STATUS**")</f>
        <v>*SOCKET0**COMPUTE1**CPU**CORE91__THREAD*__IFU*CR*MC0*STATUS**</v>
      </c>
      <c r="R94">
        <f>COUNTIFS(core_mc[TestName],misc[[#This Row],[IFU_MCA_String]],core_mc[VisualId],MC_Check!$H$2)</f>
        <v>0</v>
      </c>
      <c r="S94" t="str">
        <f>_xlfn.TEXTJOIN("",,"*SOCKET0**COMPUTE",misc[[#This Row],[Compute]],"**CPU**CORE",misc[[#This Row],[location]],splitchar,"ML2*CR*MC3*STATUS*")</f>
        <v>*SOCKET0**COMPUTE1**CPU**CORE91__ML2*CR*MC3*STATUS*</v>
      </c>
      <c r="T94">
        <f>COUNTIFS(core_mc[TestName],misc[[#This Row],[CORE_MCA_String]],core_mc[VisualId],MC_Check!$H$2)</f>
        <v>0</v>
      </c>
      <c r="U94">
        <f>misc[[#This Row],[Core_ML2_Count]]+misc[[#This Row],[Core_IFU_Count]]+misc[[#This Row],[Core_DCU_Count]]+misc[[#This Row],[Core_DTLB_Count]]</f>
        <v>0</v>
      </c>
      <c r="V94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94" t="str">
        <f>_xlfn.TEXTJOIN("",,"*SOCKET0**COMPUTE",misc[[#This Row],[Compute]],"**UNCORE**SCF**SCF*LLC**SCF*LLC",misc[[#This Row],[location]],splitchar,"MCI*STATUS*")</f>
        <v>*SOCKET0**COMPUTE1**UNCORE**SCF**SCF*LLC**SCF*LLC91__MCI*STATUS*</v>
      </c>
      <c r="X94">
        <f>COUNTIFS(cha_mc[TestName],misc[[#This Row],[LLC_MCA_String]],cha_mc[VisualId],MC_Check!$H$2)</f>
        <v>0</v>
      </c>
    </row>
    <row r="95" spans="6:24" x14ac:dyDescent="0.35">
      <c r="F95">
        <v>1</v>
      </c>
      <c r="G95">
        <f t="shared" ref="G95:G126" si="1">G94+1</f>
        <v>92</v>
      </c>
      <c r="H95" s="5" t="b">
        <f>misc[[#This Row],[Core_Hitter_Count]]&gt;0</f>
        <v>0</v>
      </c>
      <c r="I95" t="b">
        <f>misc[[#This Row],[LLC_Hitter_Count]]&gt;0</f>
        <v>0</v>
      </c>
      <c r="J95" t="b">
        <f>misc[[#This Row],[CHA_Hitter_Count]]&gt;0</f>
        <v>0</v>
      </c>
      <c r="K95" t="str">
        <f>_xlfn.TEXTJOIN("",,"*SOCKET0**COMPUTE",misc[[#This Row],[Compute]],"**UNCORE**CHA**CHA",misc[[#This Row],[location]],splitchar,"UTIL**MC*STATUS*")</f>
        <v>*SOCKET0**COMPUTE1**UNCORE**CHA**CHA92__UTIL**MC*STATUS*</v>
      </c>
      <c r="L95">
        <f>COUNTIFS(cha_mc[TestName],misc[[#This Row],[CHA_MCA_String]],cha_mc[VisualId],MC_Check!$H$2)</f>
        <v>0</v>
      </c>
      <c r="M95" t="str">
        <f>_xlfn.TEXTJOIN("",,"*SOCKET0**COMPUTE",misc[[#This Row],[Compute]],"**CPU**CORE",misc[[#This Row],[location]],splitchar,"THREAD"&amp;"*",splitchar,"DCU*CR*MC1*STATUS**")</f>
        <v>*SOCKET0**COMPUTE1**CPU**CORE92__THREAD*__DCU*CR*MC1*STATUS**</v>
      </c>
      <c r="N95">
        <f>COUNTIFS(core_mc[TestName],misc[[#This Row],[DCU_MCA_String]],core_mc[VisualId],MC_Check!$H$2)</f>
        <v>0</v>
      </c>
      <c r="O95" t="str">
        <f>_xlfn.TEXTJOIN("",,"*SOCKET0**COMPUTE",misc[[#This Row],[Compute]],"**CPU**CORE",misc[[#This Row],[location]],splitchar,"DTLB*CR*MC2*STATUS**")</f>
        <v>*SOCKET0**COMPUTE1**CPU**CORE92__DTLB*CR*MC2*STATUS**</v>
      </c>
      <c r="P95">
        <f>COUNTIFS(core_mc[TestName],misc[[#This Row],[DTLB_MCA_String]],core_mc[VisualId],MC_Check!$H$2)</f>
        <v>0</v>
      </c>
      <c r="Q95" t="str">
        <f>_xlfn.TEXTJOIN("",,"*SOCKET0**COMPUTE",misc[[#This Row],[Compute]],"**CPU**CORE",misc[[#This Row],[location]],splitchar,"THREAD"&amp;"*",splitchar,"IFU*CR*MC0*STATUS**")</f>
        <v>*SOCKET0**COMPUTE1**CPU**CORE92__THREAD*__IFU*CR*MC0*STATUS**</v>
      </c>
      <c r="R95">
        <f>COUNTIFS(core_mc[TestName],misc[[#This Row],[IFU_MCA_String]],core_mc[VisualId],MC_Check!$H$2)</f>
        <v>0</v>
      </c>
      <c r="S95" t="str">
        <f>_xlfn.TEXTJOIN("",,"*SOCKET0**COMPUTE",misc[[#This Row],[Compute]],"**CPU**CORE",misc[[#This Row],[location]],splitchar,"ML2*CR*MC3*STATUS*")</f>
        <v>*SOCKET0**COMPUTE1**CPU**CORE92__ML2*CR*MC3*STATUS*</v>
      </c>
      <c r="T95">
        <f>COUNTIFS(core_mc[TestName],misc[[#This Row],[CORE_MCA_String]],core_mc[VisualId],MC_Check!$H$2)</f>
        <v>0</v>
      </c>
      <c r="U95">
        <f>misc[[#This Row],[Core_ML2_Count]]+misc[[#This Row],[Core_IFU_Count]]+misc[[#This Row],[Core_DCU_Count]]+misc[[#This Row],[Core_DTLB_Count]]</f>
        <v>0</v>
      </c>
      <c r="V95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95" t="str">
        <f>_xlfn.TEXTJOIN("",,"*SOCKET0**COMPUTE",misc[[#This Row],[Compute]],"**UNCORE**SCF**SCF*LLC**SCF*LLC",misc[[#This Row],[location]],splitchar,"MCI*STATUS*")</f>
        <v>*SOCKET0**COMPUTE1**UNCORE**SCF**SCF*LLC**SCF*LLC92__MCI*STATUS*</v>
      </c>
      <c r="X95">
        <f>COUNTIFS(cha_mc[TestName],misc[[#This Row],[LLC_MCA_String]],cha_mc[VisualId],MC_Check!$H$2)</f>
        <v>0</v>
      </c>
    </row>
    <row r="96" spans="6:24" x14ac:dyDescent="0.35">
      <c r="F96">
        <v>1</v>
      </c>
      <c r="G96">
        <f t="shared" si="1"/>
        <v>93</v>
      </c>
      <c r="H96" s="5" t="b">
        <f>misc[[#This Row],[Core_Hitter_Count]]&gt;0</f>
        <v>0</v>
      </c>
      <c r="I96" t="b">
        <f>misc[[#This Row],[LLC_Hitter_Count]]&gt;0</f>
        <v>0</v>
      </c>
      <c r="J96" t="b">
        <f>misc[[#This Row],[CHA_Hitter_Count]]&gt;0</f>
        <v>0</v>
      </c>
      <c r="K96" t="str">
        <f>_xlfn.TEXTJOIN("",,"*SOCKET0**COMPUTE",misc[[#This Row],[Compute]],"**UNCORE**CHA**CHA",misc[[#This Row],[location]],splitchar,"UTIL**MC*STATUS*")</f>
        <v>*SOCKET0**COMPUTE1**UNCORE**CHA**CHA93__UTIL**MC*STATUS*</v>
      </c>
      <c r="L96">
        <f>COUNTIFS(cha_mc[TestName],misc[[#This Row],[CHA_MCA_String]],cha_mc[VisualId],MC_Check!$H$2)</f>
        <v>0</v>
      </c>
      <c r="M96" t="str">
        <f>_xlfn.TEXTJOIN("",,"*SOCKET0**COMPUTE",misc[[#This Row],[Compute]],"**CPU**CORE",misc[[#This Row],[location]],splitchar,"THREAD"&amp;"*",splitchar,"DCU*CR*MC1*STATUS**")</f>
        <v>*SOCKET0**COMPUTE1**CPU**CORE93__THREAD*__DCU*CR*MC1*STATUS**</v>
      </c>
      <c r="N96">
        <f>COUNTIFS(core_mc[TestName],misc[[#This Row],[DCU_MCA_String]],core_mc[VisualId],MC_Check!$H$2)</f>
        <v>0</v>
      </c>
      <c r="O96" t="str">
        <f>_xlfn.TEXTJOIN("",,"*SOCKET0**COMPUTE",misc[[#This Row],[Compute]],"**CPU**CORE",misc[[#This Row],[location]],splitchar,"DTLB*CR*MC2*STATUS**")</f>
        <v>*SOCKET0**COMPUTE1**CPU**CORE93__DTLB*CR*MC2*STATUS**</v>
      </c>
      <c r="P96">
        <f>COUNTIFS(core_mc[TestName],misc[[#This Row],[DTLB_MCA_String]],core_mc[VisualId],MC_Check!$H$2)</f>
        <v>0</v>
      </c>
      <c r="Q96" t="str">
        <f>_xlfn.TEXTJOIN("",,"*SOCKET0**COMPUTE",misc[[#This Row],[Compute]],"**CPU**CORE",misc[[#This Row],[location]],splitchar,"THREAD"&amp;"*",splitchar,"IFU*CR*MC0*STATUS**")</f>
        <v>*SOCKET0**COMPUTE1**CPU**CORE93__THREAD*__IFU*CR*MC0*STATUS**</v>
      </c>
      <c r="R96">
        <f>COUNTIFS(core_mc[TestName],misc[[#This Row],[IFU_MCA_String]],core_mc[VisualId],MC_Check!$H$2)</f>
        <v>0</v>
      </c>
      <c r="S96" t="str">
        <f>_xlfn.TEXTJOIN("",,"*SOCKET0**COMPUTE",misc[[#This Row],[Compute]],"**CPU**CORE",misc[[#This Row],[location]],splitchar,"ML2*CR*MC3*STATUS*")</f>
        <v>*SOCKET0**COMPUTE1**CPU**CORE93__ML2*CR*MC3*STATUS*</v>
      </c>
      <c r="T96">
        <f>COUNTIFS(core_mc[TestName],misc[[#This Row],[CORE_MCA_String]],core_mc[VisualId],MC_Check!$H$2)</f>
        <v>0</v>
      </c>
      <c r="U96">
        <f>misc[[#This Row],[Core_ML2_Count]]+misc[[#This Row],[Core_IFU_Count]]+misc[[#This Row],[Core_DCU_Count]]+misc[[#This Row],[Core_DTLB_Count]]</f>
        <v>0</v>
      </c>
      <c r="V96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96" t="str">
        <f>_xlfn.TEXTJOIN("",,"*SOCKET0**COMPUTE",misc[[#This Row],[Compute]],"**UNCORE**SCF**SCF*LLC**SCF*LLC",misc[[#This Row],[location]],splitchar,"MCI*STATUS*")</f>
        <v>*SOCKET0**COMPUTE1**UNCORE**SCF**SCF*LLC**SCF*LLC93__MCI*STATUS*</v>
      </c>
      <c r="X96">
        <f>COUNTIFS(cha_mc[TestName],misc[[#This Row],[LLC_MCA_String]],cha_mc[VisualId],MC_Check!$H$2)</f>
        <v>0</v>
      </c>
    </row>
    <row r="97" spans="6:24" x14ac:dyDescent="0.35">
      <c r="F97">
        <v>1</v>
      </c>
      <c r="G97">
        <f t="shared" si="1"/>
        <v>94</v>
      </c>
      <c r="H97" s="5" t="b">
        <f>misc[[#This Row],[Core_Hitter_Count]]&gt;0</f>
        <v>0</v>
      </c>
      <c r="I97" t="b">
        <f>misc[[#This Row],[LLC_Hitter_Count]]&gt;0</f>
        <v>0</v>
      </c>
      <c r="J97" t="b">
        <f>misc[[#This Row],[CHA_Hitter_Count]]&gt;0</f>
        <v>0</v>
      </c>
      <c r="K97" t="str">
        <f>_xlfn.TEXTJOIN("",,"*SOCKET0**COMPUTE",misc[[#This Row],[Compute]],"**UNCORE**CHA**CHA",misc[[#This Row],[location]],splitchar,"UTIL**MC*STATUS*")</f>
        <v>*SOCKET0**COMPUTE1**UNCORE**CHA**CHA94__UTIL**MC*STATUS*</v>
      </c>
      <c r="L97">
        <f>COUNTIFS(cha_mc[TestName],misc[[#This Row],[CHA_MCA_String]],cha_mc[VisualId],MC_Check!$H$2)</f>
        <v>0</v>
      </c>
      <c r="M97" t="str">
        <f>_xlfn.TEXTJOIN("",,"*SOCKET0**COMPUTE",misc[[#This Row],[Compute]],"**CPU**CORE",misc[[#This Row],[location]],splitchar,"THREAD"&amp;"*",splitchar,"DCU*CR*MC1*STATUS**")</f>
        <v>*SOCKET0**COMPUTE1**CPU**CORE94__THREAD*__DCU*CR*MC1*STATUS**</v>
      </c>
      <c r="N97">
        <f>COUNTIFS(core_mc[TestName],misc[[#This Row],[DCU_MCA_String]],core_mc[VisualId],MC_Check!$H$2)</f>
        <v>0</v>
      </c>
      <c r="O97" t="str">
        <f>_xlfn.TEXTJOIN("",,"*SOCKET0**COMPUTE",misc[[#This Row],[Compute]],"**CPU**CORE",misc[[#This Row],[location]],splitchar,"DTLB*CR*MC2*STATUS**")</f>
        <v>*SOCKET0**COMPUTE1**CPU**CORE94__DTLB*CR*MC2*STATUS**</v>
      </c>
      <c r="P97">
        <f>COUNTIFS(core_mc[TestName],misc[[#This Row],[DTLB_MCA_String]],core_mc[VisualId],MC_Check!$H$2)</f>
        <v>0</v>
      </c>
      <c r="Q97" t="str">
        <f>_xlfn.TEXTJOIN("",,"*SOCKET0**COMPUTE",misc[[#This Row],[Compute]],"**CPU**CORE",misc[[#This Row],[location]],splitchar,"THREAD"&amp;"*",splitchar,"IFU*CR*MC0*STATUS**")</f>
        <v>*SOCKET0**COMPUTE1**CPU**CORE94__THREAD*__IFU*CR*MC0*STATUS**</v>
      </c>
      <c r="R97">
        <f>COUNTIFS(core_mc[TestName],misc[[#This Row],[IFU_MCA_String]],core_mc[VisualId],MC_Check!$H$2)</f>
        <v>0</v>
      </c>
      <c r="S97" t="str">
        <f>_xlfn.TEXTJOIN("",,"*SOCKET0**COMPUTE",misc[[#This Row],[Compute]],"**CPU**CORE",misc[[#This Row],[location]],splitchar,"ML2*CR*MC3*STATUS*")</f>
        <v>*SOCKET0**COMPUTE1**CPU**CORE94__ML2*CR*MC3*STATUS*</v>
      </c>
      <c r="T97">
        <f>COUNTIFS(core_mc[TestName],misc[[#This Row],[CORE_MCA_String]],core_mc[VisualId],MC_Check!$H$2)</f>
        <v>0</v>
      </c>
      <c r="U97">
        <f>misc[[#This Row],[Core_ML2_Count]]+misc[[#This Row],[Core_IFU_Count]]+misc[[#This Row],[Core_DCU_Count]]+misc[[#This Row],[Core_DTLB_Count]]</f>
        <v>0</v>
      </c>
      <c r="V97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97" t="str">
        <f>_xlfn.TEXTJOIN("",,"*SOCKET0**COMPUTE",misc[[#This Row],[Compute]],"**UNCORE**SCF**SCF*LLC**SCF*LLC",misc[[#This Row],[location]],splitchar,"MCI*STATUS*")</f>
        <v>*SOCKET0**COMPUTE1**UNCORE**SCF**SCF*LLC**SCF*LLC94__MCI*STATUS*</v>
      </c>
      <c r="X97">
        <f>COUNTIFS(cha_mc[TestName],misc[[#This Row],[LLC_MCA_String]],cha_mc[VisualId],MC_Check!$H$2)</f>
        <v>0</v>
      </c>
    </row>
    <row r="98" spans="6:24" x14ac:dyDescent="0.35">
      <c r="F98">
        <v>1</v>
      </c>
      <c r="G98">
        <f t="shared" si="1"/>
        <v>95</v>
      </c>
      <c r="H98" s="5" t="b">
        <f>misc[[#This Row],[Core_Hitter_Count]]&gt;0</f>
        <v>0</v>
      </c>
      <c r="I98" t="b">
        <f>misc[[#This Row],[LLC_Hitter_Count]]&gt;0</f>
        <v>0</v>
      </c>
      <c r="J98" t="b">
        <f>misc[[#This Row],[CHA_Hitter_Count]]&gt;0</f>
        <v>0</v>
      </c>
      <c r="K98" t="str">
        <f>_xlfn.TEXTJOIN("",,"*SOCKET0**COMPUTE",misc[[#This Row],[Compute]],"**UNCORE**CHA**CHA",misc[[#This Row],[location]],splitchar,"UTIL**MC*STATUS*")</f>
        <v>*SOCKET0**COMPUTE1**UNCORE**CHA**CHA95__UTIL**MC*STATUS*</v>
      </c>
      <c r="L98">
        <f>COUNTIFS(cha_mc[TestName],misc[[#This Row],[CHA_MCA_String]],cha_mc[VisualId],MC_Check!$H$2)</f>
        <v>0</v>
      </c>
      <c r="M98" t="str">
        <f>_xlfn.TEXTJOIN("",,"*SOCKET0**COMPUTE",misc[[#This Row],[Compute]],"**CPU**CORE",misc[[#This Row],[location]],splitchar,"THREAD"&amp;"*",splitchar,"DCU*CR*MC1*STATUS**")</f>
        <v>*SOCKET0**COMPUTE1**CPU**CORE95__THREAD*__DCU*CR*MC1*STATUS**</v>
      </c>
      <c r="N98">
        <f>COUNTIFS(core_mc[TestName],misc[[#This Row],[DCU_MCA_String]],core_mc[VisualId],MC_Check!$H$2)</f>
        <v>0</v>
      </c>
      <c r="O98" t="str">
        <f>_xlfn.TEXTJOIN("",,"*SOCKET0**COMPUTE",misc[[#This Row],[Compute]],"**CPU**CORE",misc[[#This Row],[location]],splitchar,"DTLB*CR*MC2*STATUS**")</f>
        <v>*SOCKET0**COMPUTE1**CPU**CORE95__DTLB*CR*MC2*STATUS**</v>
      </c>
      <c r="P98">
        <f>COUNTIFS(core_mc[TestName],misc[[#This Row],[DTLB_MCA_String]],core_mc[VisualId],MC_Check!$H$2)</f>
        <v>0</v>
      </c>
      <c r="Q98" t="str">
        <f>_xlfn.TEXTJOIN("",,"*SOCKET0**COMPUTE",misc[[#This Row],[Compute]],"**CPU**CORE",misc[[#This Row],[location]],splitchar,"THREAD"&amp;"*",splitchar,"IFU*CR*MC0*STATUS**")</f>
        <v>*SOCKET0**COMPUTE1**CPU**CORE95__THREAD*__IFU*CR*MC0*STATUS**</v>
      </c>
      <c r="R98">
        <f>COUNTIFS(core_mc[TestName],misc[[#This Row],[IFU_MCA_String]],core_mc[VisualId],MC_Check!$H$2)</f>
        <v>0</v>
      </c>
      <c r="S98" t="str">
        <f>_xlfn.TEXTJOIN("",,"*SOCKET0**COMPUTE",misc[[#This Row],[Compute]],"**CPU**CORE",misc[[#This Row],[location]],splitchar,"ML2*CR*MC3*STATUS*")</f>
        <v>*SOCKET0**COMPUTE1**CPU**CORE95__ML2*CR*MC3*STATUS*</v>
      </c>
      <c r="T98">
        <f>COUNTIFS(core_mc[TestName],misc[[#This Row],[CORE_MCA_String]],core_mc[VisualId],MC_Check!$H$2)</f>
        <v>0</v>
      </c>
      <c r="U98">
        <f>misc[[#This Row],[Core_ML2_Count]]+misc[[#This Row],[Core_IFU_Count]]+misc[[#This Row],[Core_DCU_Count]]+misc[[#This Row],[Core_DTLB_Count]]</f>
        <v>0</v>
      </c>
      <c r="V98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98" t="str">
        <f>_xlfn.TEXTJOIN("",,"*SOCKET0**COMPUTE",misc[[#This Row],[Compute]],"**UNCORE**SCF**SCF*LLC**SCF*LLC",misc[[#This Row],[location]],splitchar,"MCI*STATUS*")</f>
        <v>*SOCKET0**COMPUTE1**UNCORE**SCF**SCF*LLC**SCF*LLC95__MCI*STATUS*</v>
      </c>
      <c r="X98">
        <f>COUNTIFS(cha_mc[TestName],misc[[#This Row],[LLC_MCA_String]],cha_mc[VisualId],MC_Check!$H$2)</f>
        <v>0</v>
      </c>
    </row>
    <row r="99" spans="6:24" x14ac:dyDescent="0.35">
      <c r="F99">
        <v>1</v>
      </c>
      <c r="G99">
        <f t="shared" si="1"/>
        <v>96</v>
      </c>
      <c r="H99" s="5" t="b">
        <f>misc[[#This Row],[Core_Hitter_Count]]&gt;0</f>
        <v>0</v>
      </c>
      <c r="I99" t="b">
        <f>misc[[#This Row],[LLC_Hitter_Count]]&gt;0</f>
        <v>0</v>
      </c>
      <c r="J99" t="b">
        <f>misc[[#This Row],[CHA_Hitter_Count]]&gt;0</f>
        <v>0</v>
      </c>
      <c r="K99" t="str">
        <f>_xlfn.TEXTJOIN("",,"*SOCKET0**COMPUTE",misc[[#This Row],[Compute]],"**UNCORE**CHA**CHA",misc[[#This Row],[location]],splitchar,"UTIL**MC*STATUS*")</f>
        <v>*SOCKET0**COMPUTE1**UNCORE**CHA**CHA96__UTIL**MC*STATUS*</v>
      </c>
      <c r="L99">
        <f>COUNTIFS(cha_mc[TestName],misc[[#This Row],[CHA_MCA_String]],cha_mc[VisualId],MC_Check!$H$2)</f>
        <v>0</v>
      </c>
      <c r="M99" t="str">
        <f>_xlfn.TEXTJOIN("",,"*SOCKET0**COMPUTE",misc[[#This Row],[Compute]],"**CPU**CORE",misc[[#This Row],[location]],splitchar,"THREAD"&amp;"*",splitchar,"DCU*CR*MC1*STATUS**")</f>
        <v>*SOCKET0**COMPUTE1**CPU**CORE96__THREAD*__DCU*CR*MC1*STATUS**</v>
      </c>
      <c r="N99">
        <f>COUNTIFS(core_mc[TestName],misc[[#This Row],[DCU_MCA_String]],core_mc[VisualId],MC_Check!$H$2)</f>
        <v>0</v>
      </c>
      <c r="O99" t="str">
        <f>_xlfn.TEXTJOIN("",,"*SOCKET0**COMPUTE",misc[[#This Row],[Compute]],"**CPU**CORE",misc[[#This Row],[location]],splitchar,"DTLB*CR*MC2*STATUS**")</f>
        <v>*SOCKET0**COMPUTE1**CPU**CORE96__DTLB*CR*MC2*STATUS**</v>
      </c>
      <c r="P99">
        <f>COUNTIFS(core_mc[TestName],misc[[#This Row],[DTLB_MCA_String]],core_mc[VisualId],MC_Check!$H$2)</f>
        <v>0</v>
      </c>
      <c r="Q99" t="str">
        <f>_xlfn.TEXTJOIN("",,"*SOCKET0**COMPUTE",misc[[#This Row],[Compute]],"**CPU**CORE",misc[[#This Row],[location]],splitchar,"THREAD"&amp;"*",splitchar,"IFU*CR*MC0*STATUS**")</f>
        <v>*SOCKET0**COMPUTE1**CPU**CORE96__THREAD*__IFU*CR*MC0*STATUS**</v>
      </c>
      <c r="R99">
        <f>COUNTIFS(core_mc[TestName],misc[[#This Row],[IFU_MCA_String]],core_mc[VisualId],MC_Check!$H$2)</f>
        <v>0</v>
      </c>
      <c r="S99" t="str">
        <f>_xlfn.TEXTJOIN("",,"*SOCKET0**COMPUTE",misc[[#This Row],[Compute]],"**CPU**CORE",misc[[#This Row],[location]],splitchar,"ML2*CR*MC3*STATUS*")</f>
        <v>*SOCKET0**COMPUTE1**CPU**CORE96__ML2*CR*MC3*STATUS*</v>
      </c>
      <c r="T99">
        <f>COUNTIFS(core_mc[TestName],misc[[#This Row],[CORE_MCA_String]],core_mc[VisualId],MC_Check!$H$2)</f>
        <v>0</v>
      </c>
      <c r="U99">
        <f>misc[[#This Row],[Core_ML2_Count]]+misc[[#This Row],[Core_IFU_Count]]+misc[[#This Row],[Core_DCU_Count]]+misc[[#This Row],[Core_DTLB_Count]]</f>
        <v>0</v>
      </c>
      <c r="V99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99" t="str">
        <f>_xlfn.TEXTJOIN("",,"*SOCKET0**COMPUTE",misc[[#This Row],[Compute]],"**UNCORE**SCF**SCF*LLC**SCF*LLC",misc[[#This Row],[location]],splitchar,"MCI*STATUS*")</f>
        <v>*SOCKET0**COMPUTE1**UNCORE**SCF**SCF*LLC**SCF*LLC96__MCI*STATUS*</v>
      </c>
      <c r="X99">
        <f>COUNTIFS(cha_mc[TestName],misc[[#This Row],[LLC_MCA_String]],cha_mc[VisualId],MC_Check!$H$2)</f>
        <v>0</v>
      </c>
    </row>
    <row r="100" spans="6:24" x14ac:dyDescent="0.35">
      <c r="F100">
        <v>1</v>
      </c>
      <c r="G100">
        <f t="shared" si="1"/>
        <v>97</v>
      </c>
      <c r="H100" s="5" t="b">
        <f>misc[[#This Row],[Core_Hitter_Count]]&gt;0</f>
        <v>0</v>
      </c>
      <c r="I100" t="b">
        <f>misc[[#This Row],[LLC_Hitter_Count]]&gt;0</f>
        <v>0</v>
      </c>
      <c r="J100" t="b">
        <f>misc[[#This Row],[CHA_Hitter_Count]]&gt;0</f>
        <v>0</v>
      </c>
      <c r="K100" t="str">
        <f>_xlfn.TEXTJOIN("",,"*SOCKET0**COMPUTE",misc[[#This Row],[Compute]],"**UNCORE**CHA**CHA",misc[[#This Row],[location]],splitchar,"UTIL**MC*STATUS*")</f>
        <v>*SOCKET0**COMPUTE1**UNCORE**CHA**CHA97__UTIL**MC*STATUS*</v>
      </c>
      <c r="L100">
        <f>COUNTIFS(cha_mc[TestName],misc[[#This Row],[CHA_MCA_String]],cha_mc[VisualId],MC_Check!$H$2)</f>
        <v>0</v>
      </c>
      <c r="M100" t="str">
        <f>_xlfn.TEXTJOIN("",,"*SOCKET0**COMPUTE",misc[[#This Row],[Compute]],"**CPU**CORE",misc[[#This Row],[location]],splitchar,"THREAD"&amp;"*",splitchar,"DCU*CR*MC1*STATUS**")</f>
        <v>*SOCKET0**COMPUTE1**CPU**CORE97__THREAD*__DCU*CR*MC1*STATUS**</v>
      </c>
      <c r="N100">
        <f>COUNTIFS(core_mc[TestName],misc[[#This Row],[DCU_MCA_String]],core_mc[VisualId],MC_Check!$H$2)</f>
        <v>0</v>
      </c>
      <c r="O100" t="str">
        <f>_xlfn.TEXTJOIN("",,"*SOCKET0**COMPUTE",misc[[#This Row],[Compute]],"**CPU**CORE",misc[[#This Row],[location]],splitchar,"DTLB*CR*MC2*STATUS**")</f>
        <v>*SOCKET0**COMPUTE1**CPU**CORE97__DTLB*CR*MC2*STATUS**</v>
      </c>
      <c r="P100">
        <f>COUNTIFS(core_mc[TestName],misc[[#This Row],[DTLB_MCA_String]],core_mc[VisualId],MC_Check!$H$2)</f>
        <v>0</v>
      </c>
      <c r="Q100" t="str">
        <f>_xlfn.TEXTJOIN("",,"*SOCKET0**COMPUTE",misc[[#This Row],[Compute]],"**CPU**CORE",misc[[#This Row],[location]],splitchar,"THREAD"&amp;"*",splitchar,"IFU*CR*MC0*STATUS**")</f>
        <v>*SOCKET0**COMPUTE1**CPU**CORE97__THREAD*__IFU*CR*MC0*STATUS**</v>
      </c>
      <c r="R100">
        <f>COUNTIFS(core_mc[TestName],misc[[#This Row],[IFU_MCA_String]],core_mc[VisualId],MC_Check!$H$2)</f>
        <v>0</v>
      </c>
      <c r="S100" t="str">
        <f>_xlfn.TEXTJOIN("",,"*SOCKET0**COMPUTE",misc[[#This Row],[Compute]],"**CPU**CORE",misc[[#This Row],[location]],splitchar,"ML2*CR*MC3*STATUS*")</f>
        <v>*SOCKET0**COMPUTE1**CPU**CORE97__ML2*CR*MC3*STATUS*</v>
      </c>
      <c r="T100">
        <f>COUNTIFS(core_mc[TestName],misc[[#This Row],[CORE_MCA_String]],core_mc[VisualId],MC_Check!$H$2)</f>
        <v>0</v>
      </c>
      <c r="U100">
        <f>misc[[#This Row],[Core_ML2_Count]]+misc[[#This Row],[Core_IFU_Count]]+misc[[#This Row],[Core_DCU_Count]]+misc[[#This Row],[Core_DTLB_Count]]</f>
        <v>0</v>
      </c>
      <c r="V100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00" t="str">
        <f>_xlfn.TEXTJOIN("",,"*SOCKET0**COMPUTE",misc[[#This Row],[Compute]],"**UNCORE**SCF**SCF*LLC**SCF*LLC",misc[[#This Row],[location]],splitchar,"MCI*STATUS*")</f>
        <v>*SOCKET0**COMPUTE1**UNCORE**SCF**SCF*LLC**SCF*LLC97__MCI*STATUS*</v>
      </c>
      <c r="X100">
        <f>COUNTIFS(cha_mc[TestName],misc[[#This Row],[LLC_MCA_String]],cha_mc[VisualId],MC_Check!$H$2)</f>
        <v>0</v>
      </c>
    </row>
    <row r="101" spans="6:24" x14ac:dyDescent="0.35">
      <c r="F101">
        <v>1</v>
      </c>
      <c r="G101">
        <f t="shared" si="1"/>
        <v>98</v>
      </c>
      <c r="H101" s="5" t="b">
        <f>misc[[#This Row],[Core_Hitter_Count]]&gt;0</f>
        <v>0</v>
      </c>
      <c r="I101" t="b">
        <f>misc[[#This Row],[LLC_Hitter_Count]]&gt;0</f>
        <v>0</v>
      </c>
      <c r="J101" t="b">
        <f>misc[[#This Row],[CHA_Hitter_Count]]&gt;0</f>
        <v>0</v>
      </c>
      <c r="K101" t="str">
        <f>_xlfn.TEXTJOIN("",,"*SOCKET0**COMPUTE",misc[[#This Row],[Compute]],"**UNCORE**CHA**CHA",misc[[#This Row],[location]],splitchar,"UTIL**MC*STATUS*")</f>
        <v>*SOCKET0**COMPUTE1**UNCORE**CHA**CHA98__UTIL**MC*STATUS*</v>
      </c>
      <c r="L101">
        <f>COUNTIFS(cha_mc[TestName],misc[[#This Row],[CHA_MCA_String]],cha_mc[VisualId],MC_Check!$H$2)</f>
        <v>0</v>
      </c>
      <c r="M101" t="str">
        <f>_xlfn.TEXTJOIN("",,"*SOCKET0**COMPUTE",misc[[#This Row],[Compute]],"**CPU**CORE",misc[[#This Row],[location]],splitchar,"THREAD"&amp;"*",splitchar,"DCU*CR*MC1*STATUS**")</f>
        <v>*SOCKET0**COMPUTE1**CPU**CORE98__THREAD*__DCU*CR*MC1*STATUS**</v>
      </c>
      <c r="N101">
        <f>COUNTIFS(core_mc[TestName],misc[[#This Row],[DCU_MCA_String]],core_mc[VisualId],MC_Check!$H$2)</f>
        <v>0</v>
      </c>
      <c r="O101" t="str">
        <f>_xlfn.TEXTJOIN("",,"*SOCKET0**COMPUTE",misc[[#This Row],[Compute]],"**CPU**CORE",misc[[#This Row],[location]],splitchar,"DTLB*CR*MC2*STATUS**")</f>
        <v>*SOCKET0**COMPUTE1**CPU**CORE98__DTLB*CR*MC2*STATUS**</v>
      </c>
      <c r="P101">
        <f>COUNTIFS(core_mc[TestName],misc[[#This Row],[DTLB_MCA_String]],core_mc[VisualId],MC_Check!$H$2)</f>
        <v>0</v>
      </c>
      <c r="Q101" t="str">
        <f>_xlfn.TEXTJOIN("",,"*SOCKET0**COMPUTE",misc[[#This Row],[Compute]],"**CPU**CORE",misc[[#This Row],[location]],splitchar,"THREAD"&amp;"*",splitchar,"IFU*CR*MC0*STATUS**")</f>
        <v>*SOCKET0**COMPUTE1**CPU**CORE98__THREAD*__IFU*CR*MC0*STATUS**</v>
      </c>
      <c r="R101">
        <f>COUNTIFS(core_mc[TestName],misc[[#This Row],[IFU_MCA_String]],core_mc[VisualId],MC_Check!$H$2)</f>
        <v>0</v>
      </c>
      <c r="S101" t="str">
        <f>_xlfn.TEXTJOIN("",,"*SOCKET0**COMPUTE",misc[[#This Row],[Compute]],"**CPU**CORE",misc[[#This Row],[location]],splitchar,"ML2*CR*MC3*STATUS*")</f>
        <v>*SOCKET0**COMPUTE1**CPU**CORE98__ML2*CR*MC3*STATUS*</v>
      </c>
      <c r="T101">
        <f>COUNTIFS(core_mc[TestName],misc[[#This Row],[CORE_MCA_String]],core_mc[VisualId],MC_Check!$H$2)</f>
        <v>0</v>
      </c>
      <c r="U101">
        <f>misc[[#This Row],[Core_ML2_Count]]+misc[[#This Row],[Core_IFU_Count]]+misc[[#This Row],[Core_DCU_Count]]+misc[[#This Row],[Core_DTLB_Count]]</f>
        <v>0</v>
      </c>
      <c r="V101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01" t="str">
        <f>_xlfn.TEXTJOIN("",,"*SOCKET0**COMPUTE",misc[[#This Row],[Compute]],"**UNCORE**SCF**SCF*LLC**SCF*LLC",misc[[#This Row],[location]],splitchar,"MCI*STATUS*")</f>
        <v>*SOCKET0**COMPUTE1**UNCORE**SCF**SCF*LLC**SCF*LLC98__MCI*STATUS*</v>
      </c>
      <c r="X101">
        <f>COUNTIFS(cha_mc[TestName],misc[[#This Row],[LLC_MCA_String]],cha_mc[VisualId],MC_Check!$H$2)</f>
        <v>0</v>
      </c>
    </row>
    <row r="102" spans="6:24" x14ac:dyDescent="0.35">
      <c r="F102">
        <v>1</v>
      </c>
      <c r="G102">
        <f t="shared" si="1"/>
        <v>99</v>
      </c>
      <c r="H102" s="5" t="b">
        <f>misc[[#This Row],[Core_Hitter_Count]]&gt;0</f>
        <v>0</v>
      </c>
      <c r="I102" t="b">
        <f>misc[[#This Row],[LLC_Hitter_Count]]&gt;0</f>
        <v>0</v>
      </c>
      <c r="J102" t="b">
        <f>misc[[#This Row],[CHA_Hitter_Count]]&gt;0</f>
        <v>0</v>
      </c>
      <c r="K102" t="str">
        <f>_xlfn.TEXTJOIN("",,"*SOCKET0**COMPUTE",misc[[#This Row],[Compute]],"**UNCORE**CHA**CHA",misc[[#This Row],[location]],splitchar,"UTIL**MC*STATUS*")</f>
        <v>*SOCKET0**COMPUTE1**UNCORE**CHA**CHA99__UTIL**MC*STATUS*</v>
      </c>
      <c r="L102">
        <f>COUNTIFS(cha_mc[TestName],misc[[#This Row],[CHA_MCA_String]],cha_mc[VisualId],MC_Check!$H$2)</f>
        <v>0</v>
      </c>
      <c r="M102" t="str">
        <f>_xlfn.TEXTJOIN("",,"*SOCKET0**COMPUTE",misc[[#This Row],[Compute]],"**CPU**CORE",misc[[#This Row],[location]],splitchar,"THREAD"&amp;"*",splitchar,"DCU*CR*MC1*STATUS**")</f>
        <v>*SOCKET0**COMPUTE1**CPU**CORE99__THREAD*__DCU*CR*MC1*STATUS**</v>
      </c>
      <c r="N102">
        <f>COUNTIFS(core_mc[TestName],misc[[#This Row],[DCU_MCA_String]],core_mc[VisualId],MC_Check!$H$2)</f>
        <v>0</v>
      </c>
      <c r="O102" t="str">
        <f>_xlfn.TEXTJOIN("",,"*SOCKET0**COMPUTE",misc[[#This Row],[Compute]],"**CPU**CORE",misc[[#This Row],[location]],splitchar,"DTLB*CR*MC2*STATUS**")</f>
        <v>*SOCKET0**COMPUTE1**CPU**CORE99__DTLB*CR*MC2*STATUS**</v>
      </c>
      <c r="P102">
        <f>COUNTIFS(core_mc[TestName],misc[[#This Row],[DTLB_MCA_String]],core_mc[VisualId],MC_Check!$H$2)</f>
        <v>0</v>
      </c>
      <c r="Q102" t="str">
        <f>_xlfn.TEXTJOIN("",,"*SOCKET0**COMPUTE",misc[[#This Row],[Compute]],"**CPU**CORE",misc[[#This Row],[location]],splitchar,"THREAD"&amp;"*",splitchar,"IFU*CR*MC0*STATUS**")</f>
        <v>*SOCKET0**COMPUTE1**CPU**CORE99__THREAD*__IFU*CR*MC0*STATUS**</v>
      </c>
      <c r="R102">
        <f>COUNTIFS(core_mc[TestName],misc[[#This Row],[IFU_MCA_String]],core_mc[VisualId],MC_Check!$H$2)</f>
        <v>0</v>
      </c>
      <c r="S102" t="str">
        <f>_xlfn.TEXTJOIN("",,"*SOCKET0**COMPUTE",misc[[#This Row],[Compute]],"**CPU**CORE",misc[[#This Row],[location]],splitchar,"ML2*CR*MC3*STATUS*")</f>
        <v>*SOCKET0**COMPUTE1**CPU**CORE99__ML2*CR*MC3*STATUS*</v>
      </c>
      <c r="T102">
        <f>COUNTIFS(core_mc[TestName],misc[[#This Row],[CORE_MCA_String]],core_mc[VisualId],MC_Check!$H$2)</f>
        <v>0</v>
      </c>
      <c r="U102">
        <f>misc[[#This Row],[Core_ML2_Count]]+misc[[#This Row],[Core_IFU_Count]]+misc[[#This Row],[Core_DCU_Count]]+misc[[#This Row],[Core_DTLB_Count]]</f>
        <v>0</v>
      </c>
      <c r="V102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02" t="str">
        <f>_xlfn.TEXTJOIN("",,"*SOCKET0**COMPUTE",misc[[#This Row],[Compute]],"**UNCORE**SCF**SCF*LLC**SCF*LLC",misc[[#This Row],[location]],splitchar,"MCI*STATUS*")</f>
        <v>*SOCKET0**COMPUTE1**UNCORE**SCF**SCF*LLC**SCF*LLC99__MCI*STATUS*</v>
      </c>
      <c r="X102">
        <f>COUNTIFS(cha_mc[TestName],misc[[#This Row],[LLC_MCA_String]],cha_mc[VisualId],MC_Check!$H$2)</f>
        <v>0</v>
      </c>
    </row>
    <row r="103" spans="6:24" x14ac:dyDescent="0.35">
      <c r="F103">
        <v>1</v>
      </c>
      <c r="G103">
        <f t="shared" si="1"/>
        <v>100</v>
      </c>
      <c r="H103" s="5" t="b">
        <f>misc[[#This Row],[Core_Hitter_Count]]&gt;0</f>
        <v>0</v>
      </c>
      <c r="I103" t="b">
        <f>misc[[#This Row],[LLC_Hitter_Count]]&gt;0</f>
        <v>0</v>
      </c>
      <c r="J103" t="b">
        <f>misc[[#This Row],[CHA_Hitter_Count]]&gt;0</f>
        <v>0</v>
      </c>
      <c r="K103" t="str">
        <f>_xlfn.TEXTJOIN("",,"*SOCKET0**COMPUTE",misc[[#This Row],[Compute]],"**UNCORE**CHA**CHA",misc[[#This Row],[location]],splitchar,"UTIL**MC*STATUS*")</f>
        <v>*SOCKET0**COMPUTE1**UNCORE**CHA**CHA100__UTIL**MC*STATUS*</v>
      </c>
      <c r="L103">
        <f>COUNTIFS(cha_mc[TestName],misc[[#This Row],[CHA_MCA_String]],cha_mc[VisualId],MC_Check!$H$2)</f>
        <v>0</v>
      </c>
      <c r="M103" t="str">
        <f>_xlfn.TEXTJOIN("",,"*SOCKET0**COMPUTE",misc[[#This Row],[Compute]],"**CPU**CORE",misc[[#This Row],[location]],splitchar,"THREAD"&amp;"*",splitchar,"DCU*CR*MC1*STATUS**")</f>
        <v>*SOCKET0**COMPUTE1**CPU**CORE100__THREAD*__DCU*CR*MC1*STATUS**</v>
      </c>
      <c r="N103">
        <f>COUNTIFS(core_mc[TestName],misc[[#This Row],[DCU_MCA_String]],core_mc[VisualId],MC_Check!$H$2)</f>
        <v>0</v>
      </c>
      <c r="O103" t="str">
        <f>_xlfn.TEXTJOIN("",,"*SOCKET0**COMPUTE",misc[[#This Row],[Compute]],"**CPU**CORE",misc[[#This Row],[location]],splitchar,"DTLB*CR*MC2*STATUS**")</f>
        <v>*SOCKET0**COMPUTE1**CPU**CORE100__DTLB*CR*MC2*STATUS**</v>
      </c>
      <c r="P103">
        <f>COUNTIFS(core_mc[TestName],misc[[#This Row],[DTLB_MCA_String]],core_mc[VisualId],MC_Check!$H$2)</f>
        <v>0</v>
      </c>
      <c r="Q103" t="str">
        <f>_xlfn.TEXTJOIN("",,"*SOCKET0**COMPUTE",misc[[#This Row],[Compute]],"**CPU**CORE",misc[[#This Row],[location]],splitchar,"THREAD"&amp;"*",splitchar,"IFU*CR*MC0*STATUS**")</f>
        <v>*SOCKET0**COMPUTE1**CPU**CORE100__THREAD*__IFU*CR*MC0*STATUS**</v>
      </c>
      <c r="R103">
        <f>COUNTIFS(core_mc[TestName],misc[[#This Row],[IFU_MCA_String]],core_mc[VisualId],MC_Check!$H$2)</f>
        <v>0</v>
      </c>
      <c r="S103" t="str">
        <f>_xlfn.TEXTJOIN("",,"*SOCKET0**COMPUTE",misc[[#This Row],[Compute]],"**CPU**CORE",misc[[#This Row],[location]],splitchar,"ML2*CR*MC3*STATUS*")</f>
        <v>*SOCKET0**COMPUTE1**CPU**CORE100__ML2*CR*MC3*STATUS*</v>
      </c>
      <c r="T103">
        <f>COUNTIFS(core_mc[TestName],misc[[#This Row],[CORE_MCA_String]],core_mc[VisualId],MC_Check!$H$2)</f>
        <v>0</v>
      </c>
      <c r="U103">
        <f>misc[[#This Row],[Core_ML2_Count]]+misc[[#This Row],[Core_IFU_Count]]+misc[[#This Row],[Core_DCU_Count]]+misc[[#This Row],[Core_DTLB_Count]]</f>
        <v>0</v>
      </c>
      <c r="V103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03" t="str">
        <f>_xlfn.TEXTJOIN("",,"*SOCKET0**COMPUTE",misc[[#This Row],[Compute]],"**UNCORE**SCF**SCF*LLC**SCF*LLC",misc[[#This Row],[location]],splitchar,"MCI*STATUS*")</f>
        <v>*SOCKET0**COMPUTE1**UNCORE**SCF**SCF*LLC**SCF*LLC100__MCI*STATUS*</v>
      </c>
      <c r="X103">
        <f>COUNTIFS(cha_mc[TestName],misc[[#This Row],[LLC_MCA_String]],cha_mc[VisualId],MC_Check!$H$2)</f>
        <v>0</v>
      </c>
    </row>
    <row r="104" spans="6:24" x14ac:dyDescent="0.35">
      <c r="F104">
        <v>1</v>
      </c>
      <c r="G104">
        <f t="shared" si="1"/>
        <v>101</v>
      </c>
      <c r="H104" s="5" t="b">
        <f>misc[[#This Row],[Core_Hitter_Count]]&gt;0</f>
        <v>0</v>
      </c>
      <c r="I104" t="b">
        <f>misc[[#This Row],[LLC_Hitter_Count]]&gt;0</f>
        <v>0</v>
      </c>
      <c r="J104" t="b">
        <f>misc[[#This Row],[CHA_Hitter_Count]]&gt;0</f>
        <v>0</v>
      </c>
      <c r="K104" t="str">
        <f>_xlfn.TEXTJOIN("",,"*SOCKET0**COMPUTE",misc[[#This Row],[Compute]],"**UNCORE**CHA**CHA",misc[[#This Row],[location]],splitchar,"UTIL**MC*STATUS*")</f>
        <v>*SOCKET0**COMPUTE1**UNCORE**CHA**CHA101__UTIL**MC*STATUS*</v>
      </c>
      <c r="L104">
        <f>COUNTIFS(cha_mc[TestName],misc[[#This Row],[CHA_MCA_String]],cha_mc[VisualId],MC_Check!$H$2)</f>
        <v>0</v>
      </c>
      <c r="M104" t="str">
        <f>_xlfn.TEXTJOIN("",,"*SOCKET0**COMPUTE",misc[[#This Row],[Compute]],"**CPU**CORE",misc[[#This Row],[location]],splitchar,"THREAD"&amp;"*",splitchar,"DCU*CR*MC1*STATUS**")</f>
        <v>*SOCKET0**COMPUTE1**CPU**CORE101__THREAD*__DCU*CR*MC1*STATUS**</v>
      </c>
      <c r="N104">
        <f>COUNTIFS(core_mc[TestName],misc[[#This Row],[DCU_MCA_String]],core_mc[VisualId],MC_Check!$H$2)</f>
        <v>0</v>
      </c>
      <c r="O104" t="str">
        <f>_xlfn.TEXTJOIN("",,"*SOCKET0**COMPUTE",misc[[#This Row],[Compute]],"**CPU**CORE",misc[[#This Row],[location]],splitchar,"DTLB*CR*MC2*STATUS**")</f>
        <v>*SOCKET0**COMPUTE1**CPU**CORE101__DTLB*CR*MC2*STATUS**</v>
      </c>
      <c r="P104">
        <f>COUNTIFS(core_mc[TestName],misc[[#This Row],[DTLB_MCA_String]],core_mc[VisualId],MC_Check!$H$2)</f>
        <v>0</v>
      </c>
      <c r="Q104" t="str">
        <f>_xlfn.TEXTJOIN("",,"*SOCKET0**COMPUTE",misc[[#This Row],[Compute]],"**CPU**CORE",misc[[#This Row],[location]],splitchar,"THREAD"&amp;"*",splitchar,"IFU*CR*MC0*STATUS**")</f>
        <v>*SOCKET0**COMPUTE1**CPU**CORE101__THREAD*__IFU*CR*MC0*STATUS**</v>
      </c>
      <c r="R104">
        <f>COUNTIFS(core_mc[TestName],misc[[#This Row],[IFU_MCA_String]],core_mc[VisualId],MC_Check!$H$2)</f>
        <v>0</v>
      </c>
      <c r="S104" t="str">
        <f>_xlfn.TEXTJOIN("",,"*SOCKET0**COMPUTE",misc[[#This Row],[Compute]],"**CPU**CORE",misc[[#This Row],[location]],splitchar,"ML2*CR*MC3*STATUS*")</f>
        <v>*SOCKET0**COMPUTE1**CPU**CORE101__ML2*CR*MC3*STATUS*</v>
      </c>
      <c r="T104">
        <f>COUNTIFS(core_mc[TestName],misc[[#This Row],[CORE_MCA_String]],core_mc[VisualId],MC_Check!$H$2)</f>
        <v>0</v>
      </c>
      <c r="U104">
        <f>misc[[#This Row],[Core_ML2_Count]]+misc[[#This Row],[Core_IFU_Count]]+misc[[#This Row],[Core_DCU_Count]]+misc[[#This Row],[Core_DTLB_Count]]</f>
        <v>0</v>
      </c>
      <c r="V104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04" t="str">
        <f>_xlfn.TEXTJOIN("",,"*SOCKET0**COMPUTE",misc[[#This Row],[Compute]],"**UNCORE**SCF**SCF*LLC**SCF*LLC",misc[[#This Row],[location]],splitchar,"MCI*STATUS*")</f>
        <v>*SOCKET0**COMPUTE1**UNCORE**SCF**SCF*LLC**SCF*LLC101__MCI*STATUS*</v>
      </c>
      <c r="X104">
        <f>COUNTIFS(cha_mc[TestName],misc[[#This Row],[LLC_MCA_String]],cha_mc[VisualId],MC_Check!$H$2)</f>
        <v>0</v>
      </c>
    </row>
    <row r="105" spans="6:24" x14ac:dyDescent="0.35">
      <c r="F105">
        <v>1</v>
      </c>
      <c r="G105">
        <f t="shared" si="1"/>
        <v>102</v>
      </c>
      <c r="H105" s="5" t="b">
        <f>misc[[#This Row],[Core_Hitter_Count]]&gt;0</f>
        <v>0</v>
      </c>
      <c r="I105" t="b">
        <f>misc[[#This Row],[LLC_Hitter_Count]]&gt;0</f>
        <v>0</v>
      </c>
      <c r="J105" t="b">
        <f>misc[[#This Row],[CHA_Hitter_Count]]&gt;0</f>
        <v>0</v>
      </c>
      <c r="K105" t="str">
        <f>_xlfn.TEXTJOIN("",,"*SOCKET0**COMPUTE",misc[[#This Row],[Compute]],"**UNCORE**CHA**CHA",misc[[#This Row],[location]],splitchar,"UTIL**MC*STATUS*")</f>
        <v>*SOCKET0**COMPUTE1**UNCORE**CHA**CHA102__UTIL**MC*STATUS*</v>
      </c>
      <c r="L105">
        <f>COUNTIFS(cha_mc[TestName],misc[[#This Row],[CHA_MCA_String]],cha_mc[VisualId],MC_Check!$H$2)</f>
        <v>0</v>
      </c>
      <c r="M105" t="str">
        <f>_xlfn.TEXTJOIN("",,"*SOCKET0**COMPUTE",misc[[#This Row],[Compute]],"**CPU**CORE",misc[[#This Row],[location]],splitchar,"THREAD"&amp;"*",splitchar,"DCU*CR*MC1*STATUS**")</f>
        <v>*SOCKET0**COMPUTE1**CPU**CORE102__THREAD*__DCU*CR*MC1*STATUS**</v>
      </c>
      <c r="N105">
        <f>COUNTIFS(core_mc[TestName],misc[[#This Row],[DCU_MCA_String]],core_mc[VisualId],MC_Check!$H$2)</f>
        <v>0</v>
      </c>
      <c r="O105" t="str">
        <f>_xlfn.TEXTJOIN("",,"*SOCKET0**COMPUTE",misc[[#This Row],[Compute]],"**CPU**CORE",misc[[#This Row],[location]],splitchar,"DTLB*CR*MC2*STATUS**")</f>
        <v>*SOCKET0**COMPUTE1**CPU**CORE102__DTLB*CR*MC2*STATUS**</v>
      </c>
      <c r="P105">
        <f>COUNTIFS(core_mc[TestName],misc[[#This Row],[DTLB_MCA_String]],core_mc[VisualId],MC_Check!$H$2)</f>
        <v>0</v>
      </c>
      <c r="Q105" t="str">
        <f>_xlfn.TEXTJOIN("",,"*SOCKET0**COMPUTE",misc[[#This Row],[Compute]],"**CPU**CORE",misc[[#This Row],[location]],splitchar,"THREAD"&amp;"*",splitchar,"IFU*CR*MC0*STATUS**")</f>
        <v>*SOCKET0**COMPUTE1**CPU**CORE102__THREAD*__IFU*CR*MC0*STATUS**</v>
      </c>
      <c r="R105">
        <f>COUNTIFS(core_mc[TestName],misc[[#This Row],[IFU_MCA_String]],core_mc[VisualId],MC_Check!$H$2)</f>
        <v>0</v>
      </c>
      <c r="S105" t="str">
        <f>_xlfn.TEXTJOIN("",,"*SOCKET0**COMPUTE",misc[[#This Row],[Compute]],"**CPU**CORE",misc[[#This Row],[location]],splitchar,"ML2*CR*MC3*STATUS*")</f>
        <v>*SOCKET0**COMPUTE1**CPU**CORE102__ML2*CR*MC3*STATUS*</v>
      </c>
      <c r="T105">
        <f>COUNTIFS(core_mc[TestName],misc[[#This Row],[CORE_MCA_String]],core_mc[VisualId],MC_Check!$H$2)</f>
        <v>0</v>
      </c>
      <c r="U105">
        <f>misc[[#This Row],[Core_ML2_Count]]+misc[[#This Row],[Core_IFU_Count]]+misc[[#This Row],[Core_DCU_Count]]+misc[[#This Row],[Core_DTLB_Count]]</f>
        <v>0</v>
      </c>
      <c r="V105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05" t="str">
        <f>_xlfn.TEXTJOIN("",,"*SOCKET0**COMPUTE",misc[[#This Row],[Compute]],"**UNCORE**SCF**SCF*LLC**SCF*LLC",misc[[#This Row],[location]],splitchar,"MCI*STATUS*")</f>
        <v>*SOCKET0**COMPUTE1**UNCORE**SCF**SCF*LLC**SCF*LLC102__MCI*STATUS*</v>
      </c>
      <c r="X105">
        <f>COUNTIFS(cha_mc[TestName],misc[[#This Row],[LLC_MCA_String]],cha_mc[VisualId],MC_Check!$H$2)</f>
        <v>0</v>
      </c>
    </row>
    <row r="106" spans="6:24" x14ac:dyDescent="0.35">
      <c r="F106">
        <v>1</v>
      </c>
      <c r="G106">
        <f t="shared" si="1"/>
        <v>103</v>
      </c>
      <c r="H106" s="5" t="b">
        <f>misc[[#This Row],[Core_Hitter_Count]]&gt;0</f>
        <v>0</v>
      </c>
      <c r="I106" t="b">
        <f>misc[[#This Row],[LLC_Hitter_Count]]&gt;0</f>
        <v>0</v>
      </c>
      <c r="J106" t="b">
        <f>misc[[#This Row],[CHA_Hitter_Count]]&gt;0</f>
        <v>0</v>
      </c>
      <c r="K106" t="str">
        <f>_xlfn.TEXTJOIN("",,"*SOCKET0**COMPUTE",misc[[#This Row],[Compute]],"**UNCORE**CHA**CHA",misc[[#This Row],[location]],splitchar,"UTIL**MC*STATUS*")</f>
        <v>*SOCKET0**COMPUTE1**UNCORE**CHA**CHA103__UTIL**MC*STATUS*</v>
      </c>
      <c r="L106">
        <f>COUNTIFS(cha_mc[TestName],misc[[#This Row],[CHA_MCA_String]],cha_mc[VisualId],MC_Check!$H$2)</f>
        <v>0</v>
      </c>
      <c r="M106" t="str">
        <f>_xlfn.TEXTJOIN("",,"*SOCKET0**COMPUTE",misc[[#This Row],[Compute]],"**CPU**CORE",misc[[#This Row],[location]],splitchar,"THREAD"&amp;"*",splitchar,"DCU*CR*MC1*STATUS**")</f>
        <v>*SOCKET0**COMPUTE1**CPU**CORE103__THREAD*__DCU*CR*MC1*STATUS**</v>
      </c>
      <c r="N106">
        <f>COUNTIFS(core_mc[TestName],misc[[#This Row],[DCU_MCA_String]],core_mc[VisualId],MC_Check!$H$2)</f>
        <v>0</v>
      </c>
      <c r="O106" t="str">
        <f>_xlfn.TEXTJOIN("",,"*SOCKET0**COMPUTE",misc[[#This Row],[Compute]],"**CPU**CORE",misc[[#This Row],[location]],splitchar,"DTLB*CR*MC2*STATUS**")</f>
        <v>*SOCKET0**COMPUTE1**CPU**CORE103__DTLB*CR*MC2*STATUS**</v>
      </c>
      <c r="P106">
        <f>COUNTIFS(core_mc[TestName],misc[[#This Row],[DTLB_MCA_String]],core_mc[VisualId],MC_Check!$H$2)</f>
        <v>0</v>
      </c>
      <c r="Q106" t="str">
        <f>_xlfn.TEXTJOIN("",,"*SOCKET0**COMPUTE",misc[[#This Row],[Compute]],"**CPU**CORE",misc[[#This Row],[location]],splitchar,"THREAD"&amp;"*",splitchar,"IFU*CR*MC0*STATUS**")</f>
        <v>*SOCKET0**COMPUTE1**CPU**CORE103__THREAD*__IFU*CR*MC0*STATUS**</v>
      </c>
      <c r="R106">
        <f>COUNTIFS(core_mc[TestName],misc[[#This Row],[IFU_MCA_String]],core_mc[VisualId],MC_Check!$H$2)</f>
        <v>0</v>
      </c>
      <c r="S106" t="str">
        <f>_xlfn.TEXTJOIN("",,"*SOCKET0**COMPUTE",misc[[#This Row],[Compute]],"**CPU**CORE",misc[[#This Row],[location]],splitchar,"ML2*CR*MC3*STATUS*")</f>
        <v>*SOCKET0**COMPUTE1**CPU**CORE103__ML2*CR*MC3*STATUS*</v>
      </c>
      <c r="T106">
        <f>COUNTIFS(core_mc[TestName],misc[[#This Row],[CORE_MCA_String]],core_mc[VisualId],MC_Check!$H$2)</f>
        <v>0</v>
      </c>
      <c r="U106">
        <f>misc[[#This Row],[Core_ML2_Count]]+misc[[#This Row],[Core_IFU_Count]]+misc[[#This Row],[Core_DCU_Count]]+misc[[#This Row],[Core_DTLB_Count]]</f>
        <v>0</v>
      </c>
      <c r="V106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06" t="str">
        <f>_xlfn.TEXTJOIN("",,"*SOCKET0**COMPUTE",misc[[#This Row],[Compute]],"**UNCORE**SCF**SCF*LLC**SCF*LLC",misc[[#This Row],[location]],splitchar,"MCI*STATUS*")</f>
        <v>*SOCKET0**COMPUTE1**UNCORE**SCF**SCF*LLC**SCF*LLC103__MCI*STATUS*</v>
      </c>
      <c r="X106">
        <f>COUNTIFS(cha_mc[TestName],misc[[#This Row],[LLC_MCA_String]],cha_mc[VisualId],MC_Check!$H$2)</f>
        <v>0</v>
      </c>
    </row>
    <row r="107" spans="6:24" x14ac:dyDescent="0.35">
      <c r="F107">
        <v>1</v>
      </c>
      <c r="G107">
        <f t="shared" si="1"/>
        <v>104</v>
      </c>
      <c r="H107" s="5" t="b">
        <f>misc[[#This Row],[Core_Hitter_Count]]&gt;0</f>
        <v>0</v>
      </c>
      <c r="I107" t="b">
        <f>misc[[#This Row],[LLC_Hitter_Count]]&gt;0</f>
        <v>0</v>
      </c>
      <c r="J107" t="b">
        <f>misc[[#This Row],[CHA_Hitter_Count]]&gt;0</f>
        <v>0</v>
      </c>
      <c r="K107" t="str">
        <f>_xlfn.TEXTJOIN("",,"*SOCKET0**COMPUTE",misc[[#This Row],[Compute]],"**UNCORE**CHA**CHA",misc[[#This Row],[location]],splitchar,"UTIL**MC*STATUS*")</f>
        <v>*SOCKET0**COMPUTE1**UNCORE**CHA**CHA104__UTIL**MC*STATUS*</v>
      </c>
      <c r="L107">
        <f>COUNTIFS(cha_mc[TestName],misc[[#This Row],[CHA_MCA_String]],cha_mc[VisualId],MC_Check!$H$2)</f>
        <v>0</v>
      </c>
      <c r="M107" t="str">
        <f>_xlfn.TEXTJOIN("",,"*SOCKET0**COMPUTE",misc[[#This Row],[Compute]],"**CPU**CORE",misc[[#This Row],[location]],splitchar,"THREAD"&amp;"*",splitchar,"DCU*CR*MC1*STATUS**")</f>
        <v>*SOCKET0**COMPUTE1**CPU**CORE104__THREAD*__DCU*CR*MC1*STATUS**</v>
      </c>
      <c r="N107">
        <f>COUNTIFS(core_mc[TestName],misc[[#This Row],[DCU_MCA_String]],core_mc[VisualId],MC_Check!$H$2)</f>
        <v>0</v>
      </c>
      <c r="O107" t="str">
        <f>_xlfn.TEXTJOIN("",,"*SOCKET0**COMPUTE",misc[[#This Row],[Compute]],"**CPU**CORE",misc[[#This Row],[location]],splitchar,"DTLB*CR*MC2*STATUS**")</f>
        <v>*SOCKET0**COMPUTE1**CPU**CORE104__DTLB*CR*MC2*STATUS**</v>
      </c>
      <c r="P107">
        <f>COUNTIFS(core_mc[TestName],misc[[#This Row],[DTLB_MCA_String]],core_mc[VisualId],MC_Check!$H$2)</f>
        <v>0</v>
      </c>
      <c r="Q107" t="str">
        <f>_xlfn.TEXTJOIN("",,"*SOCKET0**COMPUTE",misc[[#This Row],[Compute]],"**CPU**CORE",misc[[#This Row],[location]],splitchar,"THREAD"&amp;"*",splitchar,"IFU*CR*MC0*STATUS**")</f>
        <v>*SOCKET0**COMPUTE1**CPU**CORE104__THREAD*__IFU*CR*MC0*STATUS**</v>
      </c>
      <c r="R107">
        <f>COUNTIFS(core_mc[TestName],misc[[#This Row],[IFU_MCA_String]],core_mc[VisualId],MC_Check!$H$2)</f>
        <v>0</v>
      </c>
      <c r="S107" t="str">
        <f>_xlfn.TEXTJOIN("",,"*SOCKET0**COMPUTE",misc[[#This Row],[Compute]],"**CPU**CORE",misc[[#This Row],[location]],splitchar,"ML2*CR*MC3*STATUS*")</f>
        <v>*SOCKET0**COMPUTE1**CPU**CORE104__ML2*CR*MC3*STATUS*</v>
      </c>
      <c r="T107">
        <f>COUNTIFS(core_mc[TestName],misc[[#This Row],[CORE_MCA_String]],core_mc[VisualId],MC_Check!$H$2)</f>
        <v>0</v>
      </c>
      <c r="U107">
        <f>misc[[#This Row],[Core_ML2_Count]]+misc[[#This Row],[Core_IFU_Count]]+misc[[#This Row],[Core_DCU_Count]]+misc[[#This Row],[Core_DTLB_Count]]</f>
        <v>0</v>
      </c>
      <c r="V107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07" t="str">
        <f>_xlfn.TEXTJOIN("",,"*SOCKET0**COMPUTE",misc[[#This Row],[Compute]],"**UNCORE**SCF**SCF*LLC**SCF*LLC",misc[[#This Row],[location]],splitchar,"MCI*STATUS*")</f>
        <v>*SOCKET0**COMPUTE1**UNCORE**SCF**SCF*LLC**SCF*LLC104__MCI*STATUS*</v>
      </c>
      <c r="X107">
        <f>COUNTIFS(cha_mc[TestName],misc[[#This Row],[LLC_MCA_String]],cha_mc[VisualId],MC_Check!$H$2)</f>
        <v>0</v>
      </c>
    </row>
    <row r="108" spans="6:24" x14ac:dyDescent="0.35">
      <c r="F108">
        <v>1</v>
      </c>
      <c r="G108">
        <f t="shared" si="1"/>
        <v>105</v>
      </c>
      <c r="H108" s="5" t="b">
        <f>misc[[#This Row],[Core_Hitter_Count]]&gt;0</f>
        <v>0</v>
      </c>
      <c r="I108" t="b">
        <f>misc[[#This Row],[LLC_Hitter_Count]]&gt;0</f>
        <v>0</v>
      </c>
      <c r="J108" t="b">
        <f>misc[[#This Row],[CHA_Hitter_Count]]&gt;0</f>
        <v>0</v>
      </c>
      <c r="K108" t="str">
        <f>_xlfn.TEXTJOIN("",,"*SOCKET0**COMPUTE",misc[[#This Row],[Compute]],"**UNCORE**CHA**CHA",misc[[#This Row],[location]],splitchar,"UTIL**MC*STATUS*")</f>
        <v>*SOCKET0**COMPUTE1**UNCORE**CHA**CHA105__UTIL**MC*STATUS*</v>
      </c>
      <c r="L108">
        <f>COUNTIFS(cha_mc[TestName],misc[[#This Row],[CHA_MCA_String]],cha_mc[VisualId],MC_Check!$H$2)</f>
        <v>0</v>
      </c>
      <c r="M108" t="str">
        <f>_xlfn.TEXTJOIN("",,"*SOCKET0**COMPUTE",misc[[#This Row],[Compute]],"**CPU**CORE",misc[[#This Row],[location]],splitchar,"THREAD"&amp;"*",splitchar,"DCU*CR*MC1*STATUS**")</f>
        <v>*SOCKET0**COMPUTE1**CPU**CORE105__THREAD*__DCU*CR*MC1*STATUS**</v>
      </c>
      <c r="N108">
        <f>COUNTIFS(core_mc[TestName],misc[[#This Row],[DCU_MCA_String]],core_mc[VisualId],MC_Check!$H$2)</f>
        <v>0</v>
      </c>
      <c r="O108" t="str">
        <f>_xlfn.TEXTJOIN("",,"*SOCKET0**COMPUTE",misc[[#This Row],[Compute]],"**CPU**CORE",misc[[#This Row],[location]],splitchar,"DTLB*CR*MC2*STATUS**")</f>
        <v>*SOCKET0**COMPUTE1**CPU**CORE105__DTLB*CR*MC2*STATUS**</v>
      </c>
      <c r="P108">
        <f>COUNTIFS(core_mc[TestName],misc[[#This Row],[DTLB_MCA_String]],core_mc[VisualId],MC_Check!$H$2)</f>
        <v>0</v>
      </c>
      <c r="Q108" t="str">
        <f>_xlfn.TEXTJOIN("",,"*SOCKET0**COMPUTE",misc[[#This Row],[Compute]],"**CPU**CORE",misc[[#This Row],[location]],splitchar,"THREAD"&amp;"*",splitchar,"IFU*CR*MC0*STATUS**")</f>
        <v>*SOCKET0**COMPUTE1**CPU**CORE105__THREAD*__IFU*CR*MC0*STATUS**</v>
      </c>
      <c r="R108">
        <f>COUNTIFS(core_mc[TestName],misc[[#This Row],[IFU_MCA_String]],core_mc[VisualId],MC_Check!$H$2)</f>
        <v>0</v>
      </c>
      <c r="S108" t="str">
        <f>_xlfn.TEXTJOIN("",,"*SOCKET0**COMPUTE",misc[[#This Row],[Compute]],"**CPU**CORE",misc[[#This Row],[location]],splitchar,"ML2*CR*MC3*STATUS*")</f>
        <v>*SOCKET0**COMPUTE1**CPU**CORE105__ML2*CR*MC3*STATUS*</v>
      </c>
      <c r="T108">
        <f>COUNTIFS(core_mc[TestName],misc[[#This Row],[CORE_MCA_String]],core_mc[VisualId],MC_Check!$H$2)</f>
        <v>0</v>
      </c>
      <c r="U108">
        <f>misc[[#This Row],[Core_ML2_Count]]+misc[[#This Row],[Core_IFU_Count]]+misc[[#This Row],[Core_DCU_Count]]+misc[[#This Row],[Core_DTLB_Count]]</f>
        <v>0</v>
      </c>
      <c r="V108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08" t="str">
        <f>_xlfn.TEXTJOIN("",,"*SOCKET0**COMPUTE",misc[[#This Row],[Compute]],"**UNCORE**SCF**SCF*LLC**SCF*LLC",misc[[#This Row],[location]],splitchar,"MCI*STATUS*")</f>
        <v>*SOCKET0**COMPUTE1**UNCORE**SCF**SCF*LLC**SCF*LLC105__MCI*STATUS*</v>
      </c>
      <c r="X108">
        <f>COUNTIFS(cha_mc[TestName],misc[[#This Row],[LLC_MCA_String]],cha_mc[VisualId],MC_Check!$H$2)</f>
        <v>0</v>
      </c>
    </row>
    <row r="109" spans="6:24" x14ac:dyDescent="0.35">
      <c r="F109">
        <v>1</v>
      </c>
      <c r="G109">
        <f t="shared" si="1"/>
        <v>106</v>
      </c>
      <c r="H109" s="5" t="b">
        <f>misc[[#This Row],[Core_Hitter_Count]]&gt;0</f>
        <v>0</v>
      </c>
      <c r="I109" t="b">
        <f>misc[[#This Row],[LLC_Hitter_Count]]&gt;0</f>
        <v>0</v>
      </c>
      <c r="J109" t="b">
        <f>misc[[#This Row],[CHA_Hitter_Count]]&gt;0</f>
        <v>0</v>
      </c>
      <c r="K109" t="str">
        <f>_xlfn.TEXTJOIN("",,"*SOCKET0**COMPUTE",misc[[#This Row],[Compute]],"**UNCORE**CHA**CHA",misc[[#This Row],[location]],splitchar,"UTIL**MC*STATUS*")</f>
        <v>*SOCKET0**COMPUTE1**UNCORE**CHA**CHA106__UTIL**MC*STATUS*</v>
      </c>
      <c r="L109">
        <f>COUNTIFS(cha_mc[TestName],misc[[#This Row],[CHA_MCA_String]],cha_mc[VisualId],MC_Check!$H$2)</f>
        <v>0</v>
      </c>
      <c r="M109" t="str">
        <f>_xlfn.TEXTJOIN("",,"*SOCKET0**COMPUTE",misc[[#This Row],[Compute]],"**CPU**CORE",misc[[#This Row],[location]],splitchar,"THREAD"&amp;"*",splitchar,"DCU*CR*MC1*STATUS**")</f>
        <v>*SOCKET0**COMPUTE1**CPU**CORE106__THREAD*__DCU*CR*MC1*STATUS**</v>
      </c>
      <c r="N109">
        <f>COUNTIFS(core_mc[TestName],misc[[#This Row],[DCU_MCA_String]],core_mc[VisualId],MC_Check!$H$2)</f>
        <v>0</v>
      </c>
      <c r="O109" t="str">
        <f>_xlfn.TEXTJOIN("",,"*SOCKET0**COMPUTE",misc[[#This Row],[Compute]],"**CPU**CORE",misc[[#This Row],[location]],splitchar,"DTLB*CR*MC2*STATUS**")</f>
        <v>*SOCKET0**COMPUTE1**CPU**CORE106__DTLB*CR*MC2*STATUS**</v>
      </c>
      <c r="P109">
        <f>COUNTIFS(core_mc[TestName],misc[[#This Row],[DTLB_MCA_String]],core_mc[VisualId],MC_Check!$H$2)</f>
        <v>0</v>
      </c>
      <c r="Q109" t="str">
        <f>_xlfn.TEXTJOIN("",,"*SOCKET0**COMPUTE",misc[[#This Row],[Compute]],"**CPU**CORE",misc[[#This Row],[location]],splitchar,"THREAD"&amp;"*",splitchar,"IFU*CR*MC0*STATUS**")</f>
        <v>*SOCKET0**COMPUTE1**CPU**CORE106__THREAD*__IFU*CR*MC0*STATUS**</v>
      </c>
      <c r="R109">
        <f>COUNTIFS(core_mc[TestName],misc[[#This Row],[IFU_MCA_String]],core_mc[VisualId],MC_Check!$H$2)</f>
        <v>0</v>
      </c>
      <c r="S109" t="str">
        <f>_xlfn.TEXTJOIN("",,"*SOCKET0**COMPUTE",misc[[#This Row],[Compute]],"**CPU**CORE",misc[[#This Row],[location]],splitchar,"ML2*CR*MC3*STATUS*")</f>
        <v>*SOCKET0**COMPUTE1**CPU**CORE106__ML2*CR*MC3*STATUS*</v>
      </c>
      <c r="T109">
        <f>COUNTIFS(core_mc[TestName],misc[[#This Row],[CORE_MCA_String]],core_mc[VisualId],MC_Check!$H$2)</f>
        <v>0</v>
      </c>
      <c r="U109">
        <f>misc[[#This Row],[Core_ML2_Count]]+misc[[#This Row],[Core_IFU_Count]]+misc[[#This Row],[Core_DCU_Count]]+misc[[#This Row],[Core_DTLB_Count]]</f>
        <v>0</v>
      </c>
      <c r="V109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09" t="str">
        <f>_xlfn.TEXTJOIN("",,"*SOCKET0**COMPUTE",misc[[#This Row],[Compute]],"**UNCORE**SCF**SCF*LLC**SCF*LLC",misc[[#This Row],[location]],splitchar,"MCI*STATUS*")</f>
        <v>*SOCKET0**COMPUTE1**UNCORE**SCF**SCF*LLC**SCF*LLC106__MCI*STATUS*</v>
      </c>
      <c r="X109">
        <f>COUNTIFS(cha_mc[TestName],misc[[#This Row],[LLC_MCA_String]],cha_mc[VisualId],MC_Check!$H$2)</f>
        <v>0</v>
      </c>
    </row>
    <row r="110" spans="6:24" x14ac:dyDescent="0.35">
      <c r="F110">
        <v>1</v>
      </c>
      <c r="G110">
        <f t="shared" si="1"/>
        <v>107</v>
      </c>
      <c r="H110" s="5" t="b">
        <f>misc[[#This Row],[Core_Hitter_Count]]&gt;0</f>
        <v>0</v>
      </c>
      <c r="I110" t="b">
        <f>misc[[#This Row],[LLC_Hitter_Count]]&gt;0</f>
        <v>0</v>
      </c>
      <c r="J110" t="b">
        <f>misc[[#This Row],[CHA_Hitter_Count]]&gt;0</f>
        <v>0</v>
      </c>
      <c r="K110" t="str">
        <f>_xlfn.TEXTJOIN("",,"*SOCKET0**COMPUTE",misc[[#This Row],[Compute]],"**UNCORE**CHA**CHA",misc[[#This Row],[location]],splitchar,"UTIL**MC*STATUS*")</f>
        <v>*SOCKET0**COMPUTE1**UNCORE**CHA**CHA107__UTIL**MC*STATUS*</v>
      </c>
      <c r="L110">
        <f>COUNTIFS(cha_mc[TestName],misc[[#This Row],[CHA_MCA_String]],cha_mc[VisualId],MC_Check!$H$2)</f>
        <v>0</v>
      </c>
      <c r="M110" t="str">
        <f>_xlfn.TEXTJOIN("",,"*SOCKET0**COMPUTE",misc[[#This Row],[Compute]],"**CPU**CORE",misc[[#This Row],[location]],splitchar,"THREAD"&amp;"*",splitchar,"DCU*CR*MC1*STATUS**")</f>
        <v>*SOCKET0**COMPUTE1**CPU**CORE107__THREAD*__DCU*CR*MC1*STATUS**</v>
      </c>
      <c r="N110">
        <f>COUNTIFS(core_mc[TestName],misc[[#This Row],[DCU_MCA_String]],core_mc[VisualId],MC_Check!$H$2)</f>
        <v>0</v>
      </c>
      <c r="O110" t="str">
        <f>_xlfn.TEXTJOIN("",,"*SOCKET0**COMPUTE",misc[[#This Row],[Compute]],"**CPU**CORE",misc[[#This Row],[location]],splitchar,"DTLB*CR*MC2*STATUS**")</f>
        <v>*SOCKET0**COMPUTE1**CPU**CORE107__DTLB*CR*MC2*STATUS**</v>
      </c>
      <c r="P110">
        <f>COUNTIFS(core_mc[TestName],misc[[#This Row],[DTLB_MCA_String]],core_mc[VisualId],MC_Check!$H$2)</f>
        <v>0</v>
      </c>
      <c r="Q110" t="str">
        <f>_xlfn.TEXTJOIN("",,"*SOCKET0**COMPUTE",misc[[#This Row],[Compute]],"**CPU**CORE",misc[[#This Row],[location]],splitchar,"THREAD"&amp;"*",splitchar,"IFU*CR*MC0*STATUS**")</f>
        <v>*SOCKET0**COMPUTE1**CPU**CORE107__THREAD*__IFU*CR*MC0*STATUS**</v>
      </c>
      <c r="R110">
        <f>COUNTIFS(core_mc[TestName],misc[[#This Row],[IFU_MCA_String]],core_mc[VisualId],MC_Check!$H$2)</f>
        <v>0</v>
      </c>
      <c r="S110" t="str">
        <f>_xlfn.TEXTJOIN("",,"*SOCKET0**COMPUTE",misc[[#This Row],[Compute]],"**CPU**CORE",misc[[#This Row],[location]],splitchar,"ML2*CR*MC3*STATUS*")</f>
        <v>*SOCKET0**COMPUTE1**CPU**CORE107__ML2*CR*MC3*STATUS*</v>
      </c>
      <c r="T110">
        <f>COUNTIFS(core_mc[TestName],misc[[#This Row],[CORE_MCA_String]],core_mc[VisualId],MC_Check!$H$2)</f>
        <v>0</v>
      </c>
      <c r="U110">
        <f>misc[[#This Row],[Core_ML2_Count]]+misc[[#This Row],[Core_IFU_Count]]+misc[[#This Row],[Core_DCU_Count]]+misc[[#This Row],[Core_DTLB_Count]]</f>
        <v>0</v>
      </c>
      <c r="V110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10" t="str">
        <f>_xlfn.TEXTJOIN("",,"*SOCKET0**COMPUTE",misc[[#This Row],[Compute]],"**UNCORE**SCF**SCF*LLC**SCF*LLC",misc[[#This Row],[location]],splitchar,"MCI*STATUS*")</f>
        <v>*SOCKET0**COMPUTE1**UNCORE**SCF**SCF*LLC**SCF*LLC107__MCI*STATUS*</v>
      </c>
      <c r="X110">
        <f>COUNTIFS(cha_mc[TestName],misc[[#This Row],[LLC_MCA_String]],cha_mc[VisualId],MC_Check!$H$2)</f>
        <v>0</v>
      </c>
    </row>
    <row r="111" spans="6:24" x14ac:dyDescent="0.35">
      <c r="F111">
        <v>1</v>
      </c>
      <c r="G111">
        <f t="shared" si="1"/>
        <v>108</v>
      </c>
      <c r="H111" s="5" t="b">
        <f>misc[[#This Row],[Core_Hitter_Count]]&gt;0</f>
        <v>0</v>
      </c>
      <c r="I111" t="b">
        <f>misc[[#This Row],[LLC_Hitter_Count]]&gt;0</f>
        <v>0</v>
      </c>
      <c r="J111" t="b">
        <f>misc[[#This Row],[CHA_Hitter_Count]]&gt;0</f>
        <v>0</v>
      </c>
      <c r="K111" t="str">
        <f>_xlfn.TEXTJOIN("",,"*SOCKET0**COMPUTE",misc[[#This Row],[Compute]],"**UNCORE**CHA**CHA",misc[[#This Row],[location]],splitchar,"UTIL**MC*STATUS*")</f>
        <v>*SOCKET0**COMPUTE1**UNCORE**CHA**CHA108__UTIL**MC*STATUS*</v>
      </c>
      <c r="L111">
        <f>COUNTIFS(cha_mc[TestName],misc[[#This Row],[CHA_MCA_String]],cha_mc[VisualId],MC_Check!$H$2)</f>
        <v>0</v>
      </c>
      <c r="M111" t="str">
        <f>_xlfn.TEXTJOIN("",,"*SOCKET0**COMPUTE",misc[[#This Row],[Compute]],"**CPU**CORE",misc[[#This Row],[location]],splitchar,"THREAD"&amp;"*",splitchar,"DCU*CR*MC1*STATUS**")</f>
        <v>*SOCKET0**COMPUTE1**CPU**CORE108__THREAD*__DCU*CR*MC1*STATUS**</v>
      </c>
      <c r="N111">
        <f>COUNTIFS(core_mc[TestName],misc[[#This Row],[DCU_MCA_String]],core_mc[VisualId],MC_Check!$H$2)</f>
        <v>0</v>
      </c>
      <c r="O111" t="str">
        <f>_xlfn.TEXTJOIN("",,"*SOCKET0**COMPUTE",misc[[#This Row],[Compute]],"**CPU**CORE",misc[[#This Row],[location]],splitchar,"DTLB*CR*MC2*STATUS**")</f>
        <v>*SOCKET0**COMPUTE1**CPU**CORE108__DTLB*CR*MC2*STATUS**</v>
      </c>
      <c r="P111">
        <f>COUNTIFS(core_mc[TestName],misc[[#This Row],[DTLB_MCA_String]],core_mc[VisualId],MC_Check!$H$2)</f>
        <v>0</v>
      </c>
      <c r="Q111" t="str">
        <f>_xlfn.TEXTJOIN("",,"*SOCKET0**COMPUTE",misc[[#This Row],[Compute]],"**CPU**CORE",misc[[#This Row],[location]],splitchar,"THREAD"&amp;"*",splitchar,"IFU*CR*MC0*STATUS**")</f>
        <v>*SOCKET0**COMPUTE1**CPU**CORE108__THREAD*__IFU*CR*MC0*STATUS**</v>
      </c>
      <c r="R111">
        <f>COUNTIFS(core_mc[TestName],misc[[#This Row],[IFU_MCA_String]],core_mc[VisualId],MC_Check!$H$2)</f>
        <v>0</v>
      </c>
      <c r="S111" t="str">
        <f>_xlfn.TEXTJOIN("",,"*SOCKET0**COMPUTE",misc[[#This Row],[Compute]],"**CPU**CORE",misc[[#This Row],[location]],splitchar,"ML2*CR*MC3*STATUS*")</f>
        <v>*SOCKET0**COMPUTE1**CPU**CORE108__ML2*CR*MC3*STATUS*</v>
      </c>
      <c r="T111">
        <f>COUNTIFS(core_mc[TestName],misc[[#This Row],[CORE_MCA_String]],core_mc[VisualId],MC_Check!$H$2)</f>
        <v>0</v>
      </c>
      <c r="U111">
        <f>misc[[#This Row],[Core_ML2_Count]]+misc[[#This Row],[Core_IFU_Count]]+misc[[#This Row],[Core_DCU_Count]]+misc[[#This Row],[Core_DTLB_Count]]</f>
        <v>0</v>
      </c>
      <c r="V111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11" t="str">
        <f>_xlfn.TEXTJOIN("",,"*SOCKET0**COMPUTE",misc[[#This Row],[Compute]],"**UNCORE**SCF**SCF*LLC**SCF*LLC",misc[[#This Row],[location]],splitchar,"MCI*STATUS*")</f>
        <v>*SOCKET0**COMPUTE1**UNCORE**SCF**SCF*LLC**SCF*LLC108__MCI*STATUS*</v>
      </c>
      <c r="X111">
        <f>COUNTIFS(cha_mc[TestName],misc[[#This Row],[LLC_MCA_String]],cha_mc[VisualId],MC_Check!$H$2)</f>
        <v>0</v>
      </c>
    </row>
    <row r="112" spans="6:24" x14ac:dyDescent="0.35">
      <c r="F112">
        <v>1</v>
      </c>
      <c r="G112">
        <f t="shared" si="1"/>
        <v>109</v>
      </c>
      <c r="H112" s="5" t="b">
        <f>misc[[#This Row],[Core_Hitter_Count]]&gt;0</f>
        <v>0</v>
      </c>
      <c r="I112" t="b">
        <f>misc[[#This Row],[LLC_Hitter_Count]]&gt;0</f>
        <v>0</v>
      </c>
      <c r="J112" t="b">
        <f>misc[[#This Row],[CHA_Hitter_Count]]&gt;0</f>
        <v>0</v>
      </c>
      <c r="K112" t="str">
        <f>_xlfn.TEXTJOIN("",,"*SOCKET0**COMPUTE",misc[[#This Row],[Compute]],"**UNCORE**CHA**CHA",misc[[#This Row],[location]],splitchar,"UTIL**MC*STATUS*")</f>
        <v>*SOCKET0**COMPUTE1**UNCORE**CHA**CHA109__UTIL**MC*STATUS*</v>
      </c>
      <c r="L112">
        <f>COUNTIFS(cha_mc[TestName],misc[[#This Row],[CHA_MCA_String]],cha_mc[VisualId],MC_Check!$H$2)</f>
        <v>0</v>
      </c>
      <c r="M112" t="str">
        <f>_xlfn.TEXTJOIN("",,"*SOCKET0**COMPUTE",misc[[#This Row],[Compute]],"**CPU**CORE",misc[[#This Row],[location]],splitchar,"THREAD"&amp;"*",splitchar,"DCU*CR*MC1*STATUS**")</f>
        <v>*SOCKET0**COMPUTE1**CPU**CORE109__THREAD*__DCU*CR*MC1*STATUS**</v>
      </c>
      <c r="N112">
        <f>COUNTIFS(core_mc[TestName],misc[[#This Row],[DCU_MCA_String]],core_mc[VisualId],MC_Check!$H$2)</f>
        <v>0</v>
      </c>
      <c r="O112" t="str">
        <f>_xlfn.TEXTJOIN("",,"*SOCKET0**COMPUTE",misc[[#This Row],[Compute]],"**CPU**CORE",misc[[#This Row],[location]],splitchar,"DTLB*CR*MC2*STATUS**")</f>
        <v>*SOCKET0**COMPUTE1**CPU**CORE109__DTLB*CR*MC2*STATUS**</v>
      </c>
      <c r="P112">
        <f>COUNTIFS(core_mc[TestName],misc[[#This Row],[DTLB_MCA_String]],core_mc[VisualId],MC_Check!$H$2)</f>
        <v>0</v>
      </c>
      <c r="Q112" t="str">
        <f>_xlfn.TEXTJOIN("",,"*SOCKET0**COMPUTE",misc[[#This Row],[Compute]],"**CPU**CORE",misc[[#This Row],[location]],splitchar,"THREAD"&amp;"*",splitchar,"IFU*CR*MC0*STATUS**")</f>
        <v>*SOCKET0**COMPUTE1**CPU**CORE109__THREAD*__IFU*CR*MC0*STATUS**</v>
      </c>
      <c r="R112">
        <f>COUNTIFS(core_mc[TestName],misc[[#This Row],[IFU_MCA_String]],core_mc[VisualId],MC_Check!$H$2)</f>
        <v>0</v>
      </c>
      <c r="S112" t="str">
        <f>_xlfn.TEXTJOIN("",,"*SOCKET0**COMPUTE",misc[[#This Row],[Compute]],"**CPU**CORE",misc[[#This Row],[location]],splitchar,"ML2*CR*MC3*STATUS*")</f>
        <v>*SOCKET0**COMPUTE1**CPU**CORE109__ML2*CR*MC3*STATUS*</v>
      </c>
      <c r="T112">
        <f>COUNTIFS(core_mc[TestName],misc[[#This Row],[CORE_MCA_String]],core_mc[VisualId],MC_Check!$H$2)</f>
        <v>0</v>
      </c>
      <c r="U112">
        <f>misc[[#This Row],[Core_ML2_Count]]+misc[[#This Row],[Core_IFU_Count]]+misc[[#This Row],[Core_DCU_Count]]+misc[[#This Row],[Core_DTLB_Count]]</f>
        <v>0</v>
      </c>
      <c r="V112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12" t="str">
        <f>_xlfn.TEXTJOIN("",,"*SOCKET0**COMPUTE",misc[[#This Row],[Compute]],"**UNCORE**SCF**SCF*LLC**SCF*LLC",misc[[#This Row],[location]],splitchar,"MCI*STATUS*")</f>
        <v>*SOCKET0**COMPUTE1**UNCORE**SCF**SCF*LLC**SCF*LLC109__MCI*STATUS*</v>
      </c>
      <c r="X112">
        <f>COUNTIFS(cha_mc[TestName],misc[[#This Row],[LLC_MCA_String]],cha_mc[VisualId],MC_Check!$H$2)</f>
        <v>0</v>
      </c>
    </row>
    <row r="113" spans="6:24" x14ac:dyDescent="0.35">
      <c r="F113">
        <v>1</v>
      </c>
      <c r="G113">
        <f t="shared" si="1"/>
        <v>110</v>
      </c>
      <c r="H113" s="5" t="b">
        <f>misc[[#This Row],[Core_Hitter_Count]]&gt;0</f>
        <v>0</v>
      </c>
      <c r="I113" t="b">
        <f>misc[[#This Row],[LLC_Hitter_Count]]&gt;0</f>
        <v>0</v>
      </c>
      <c r="J113" t="b">
        <f>misc[[#This Row],[CHA_Hitter_Count]]&gt;0</f>
        <v>0</v>
      </c>
      <c r="K113" t="str">
        <f>_xlfn.TEXTJOIN("",,"*SOCKET0**COMPUTE",misc[[#This Row],[Compute]],"**UNCORE**CHA**CHA",misc[[#This Row],[location]],splitchar,"UTIL**MC*STATUS*")</f>
        <v>*SOCKET0**COMPUTE1**UNCORE**CHA**CHA110__UTIL**MC*STATUS*</v>
      </c>
      <c r="L113">
        <f>COUNTIFS(cha_mc[TestName],misc[[#This Row],[CHA_MCA_String]],cha_mc[VisualId],MC_Check!$H$2)</f>
        <v>0</v>
      </c>
      <c r="M113" t="str">
        <f>_xlfn.TEXTJOIN("",,"*SOCKET0**COMPUTE",misc[[#This Row],[Compute]],"**CPU**CORE",misc[[#This Row],[location]],splitchar,"THREAD"&amp;"*",splitchar,"DCU*CR*MC1*STATUS**")</f>
        <v>*SOCKET0**COMPUTE1**CPU**CORE110__THREAD*__DCU*CR*MC1*STATUS**</v>
      </c>
      <c r="N113">
        <f>COUNTIFS(core_mc[TestName],misc[[#This Row],[DCU_MCA_String]],core_mc[VisualId],MC_Check!$H$2)</f>
        <v>0</v>
      </c>
      <c r="O113" t="str">
        <f>_xlfn.TEXTJOIN("",,"*SOCKET0**COMPUTE",misc[[#This Row],[Compute]],"**CPU**CORE",misc[[#This Row],[location]],splitchar,"DTLB*CR*MC2*STATUS**")</f>
        <v>*SOCKET0**COMPUTE1**CPU**CORE110__DTLB*CR*MC2*STATUS**</v>
      </c>
      <c r="P113">
        <f>COUNTIFS(core_mc[TestName],misc[[#This Row],[DTLB_MCA_String]],core_mc[VisualId],MC_Check!$H$2)</f>
        <v>0</v>
      </c>
      <c r="Q113" t="str">
        <f>_xlfn.TEXTJOIN("",,"*SOCKET0**COMPUTE",misc[[#This Row],[Compute]],"**CPU**CORE",misc[[#This Row],[location]],splitchar,"THREAD"&amp;"*",splitchar,"IFU*CR*MC0*STATUS**")</f>
        <v>*SOCKET0**COMPUTE1**CPU**CORE110__THREAD*__IFU*CR*MC0*STATUS**</v>
      </c>
      <c r="R113">
        <f>COUNTIFS(core_mc[TestName],misc[[#This Row],[IFU_MCA_String]],core_mc[VisualId],MC_Check!$H$2)</f>
        <v>0</v>
      </c>
      <c r="S113" t="str">
        <f>_xlfn.TEXTJOIN("",,"*SOCKET0**COMPUTE",misc[[#This Row],[Compute]],"**CPU**CORE",misc[[#This Row],[location]],splitchar,"ML2*CR*MC3*STATUS*")</f>
        <v>*SOCKET0**COMPUTE1**CPU**CORE110__ML2*CR*MC3*STATUS*</v>
      </c>
      <c r="T113">
        <f>COUNTIFS(core_mc[TestName],misc[[#This Row],[CORE_MCA_String]],core_mc[VisualId],MC_Check!$H$2)</f>
        <v>0</v>
      </c>
      <c r="U113">
        <f>misc[[#This Row],[Core_ML2_Count]]+misc[[#This Row],[Core_IFU_Count]]+misc[[#This Row],[Core_DCU_Count]]+misc[[#This Row],[Core_DTLB_Count]]</f>
        <v>0</v>
      </c>
      <c r="V113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13" t="str">
        <f>_xlfn.TEXTJOIN("",,"*SOCKET0**COMPUTE",misc[[#This Row],[Compute]],"**UNCORE**SCF**SCF*LLC**SCF*LLC",misc[[#This Row],[location]],splitchar,"MCI*STATUS*")</f>
        <v>*SOCKET0**COMPUTE1**UNCORE**SCF**SCF*LLC**SCF*LLC110__MCI*STATUS*</v>
      </c>
      <c r="X113">
        <f>COUNTIFS(cha_mc[TestName],misc[[#This Row],[LLC_MCA_String]],cha_mc[VisualId],MC_Check!$H$2)</f>
        <v>0</v>
      </c>
    </row>
    <row r="114" spans="6:24" x14ac:dyDescent="0.35">
      <c r="F114">
        <v>1</v>
      </c>
      <c r="G114">
        <f t="shared" si="1"/>
        <v>111</v>
      </c>
      <c r="H114" s="5" t="b">
        <f>misc[[#This Row],[Core_Hitter_Count]]&gt;0</f>
        <v>0</v>
      </c>
      <c r="I114" t="b">
        <f>misc[[#This Row],[LLC_Hitter_Count]]&gt;0</f>
        <v>0</v>
      </c>
      <c r="J114" t="b">
        <f>misc[[#This Row],[CHA_Hitter_Count]]&gt;0</f>
        <v>0</v>
      </c>
      <c r="K114" t="str">
        <f>_xlfn.TEXTJOIN("",,"*SOCKET0**COMPUTE",misc[[#This Row],[Compute]],"**UNCORE**CHA**CHA",misc[[#This Row],[location]],splitchar,"UTIL**MC*STATUS*")</f>
        <v>*SOCKET0**COMPUTE1**UNCORE**CHA**CHA111__UTIL**MC*STATUS*</v>
      </c>
      <c r="L114">
        <f>COUNTIFS(cha_mc[TestName],misc[[#This Row],[CHA_MCA_String]],cha_mc[VisualId],MC_Check!$H$2)</f>
        <v>0</v>
      </c>
      <c r="M114" t="str">
        <f>_xlfn.TEXTJOIN("",,"*SOCKET0**COMPUTE",misc[[#This Row],[Compute]],"**CPU**CORE",misc[[#This Row],[location]],splitchar,"THREAD"&amp;"*",splitchar,"DCU*CR*MC1*STATUS**")</f>
        <v>*SOCKET0**COMPUTE1**CPU**CORE111__THREAD*__DCU*CR*MC1*STATUS**</v>
      </c>
      <c r="N114">
        <f>COUNTIFS(core_mc[TestName],misc[[#This Row],[DCU_MCA_String]],core_mc[VisualId],MC_Check!$H$2)</f>
        <v>0</v>
      </c>
      <c r="O114" t="str">
        <f>_xlfn.TEXTJOIN("",,"*SOCKET0**COMPUTE",misc[[#This Row],[Compute]],"**CPU**CORE",misc[[#This Row],[location]],splitchar,"DTLB*CR*MC2*STATUS**")</f>
        <v>*SOCKET0**COMPUTE1**CPU**CORE111__DTLB*CR*MC2*STATUS**</v>
      </c>
      <c r="P114">
        <f>COUNTIFS(core_mc[TestName],misc[[#This Row],[DTLB_MCA_String]],core_mc[VisualId],MC_Check!$H$2)</f>
        <v>0</v>
      </c>
      <c r="Q114" t="str">
        <f>_xlfn.TEXTJOIN("",,"*SOCKET0**COMPUTE",misc[[#This Row],[Compute]],"**CPU**CORE",misc[[#This Row],[location]],splitchar,"THREAD"&amp;"*",splitchar,"IFU*CR*MC0*STATUS**")</f>
        <v>*SOCKET0**COMPUTE1**CPU**CORE111__THREAD*__IFU*CR*MC0*STATUS**</v>
      </c>
      <c r="R114">
        <f>COUNTIFS(core_mc[TestName],misc[[#This Row],[IFU_MCA_String]],core_mc[VisualId],MC_Check!$H$2)</f>
        <v>0</v>
      </c>
      <c r="S114" t="str">
        <f>_xlfn.TEXTJOIN("",,"*SOCKET0**COMPUTE",misc[[#This Row],[Compute]],"**CPU**CORE",misc[[#This Row],[location]],splitchar,"ML2*CR*MC3*STATUS*")</f>
        <v>*SOCKET0**COMPUTE1**CPU**CORE111__ML2*CR*MC3*STATUS*</v>
      </c>
      <c r="T114">
        <f>COUNTIFS(core_mc[TestName],misc[[#This Row],[CORE_MCA_String]],core_mc[VisualId],MC_Check!$H$2)</f>
        <v>0</v>
      </c>
      <c r="U114">
        <f>misc[[#This Row],[Core_ML2_Count]]+misc[[#This Row],[Core_IFU_Count]]+misc[[#This Row],[Core_DCU_Count]]+misc[[#This Row],[Core_DTLB_Count]]</f>
        <v>0</v>
      </c>
      <c r="V114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14" t="str">
        <f>_xlfn.TEXTJOIN("",,"*SOCKET0**COMPUTE",misc[[#This Row],[Compute]],"**UNCORE**SCF**SCF*LLC**SCF*LLC",misc[[#This Row],[location]],splitchar,"MCI*STATUS*")</f>
        <v>*SOCKET0**COMPUTE1**UNCORE**SCF**SCF*LLC**SCF*LLC111__MCI*STATUS*</v>
      </c>
      <c r="X114">
        <f>COUNTIFS(cha_mc[TestName],misc[[#This Row],[LLC_MCA_String]],cha_mc[VisualId],MC_Check!$H$2)</f>
        <v>0</v>
      </c>
    </row>
    <row r="115" spans="6:24" x14ac:dyDescent="0.35">
      <c r="F115">
        <v>1</v>
      </c>
      <c r="G115">
        <f t="shared" si="1"/>
        <v>112</v>
      </c>
      <c r="H115" s="5" t="b">
        <f>misc[[#This Row],[Core_Hitter_Count]]&gt;0</f>
        <v>0</v>
      </c>
      <c r="I115" t="b">
        <f>misc[[#This Row],[LLC_Hitter_Count]]&gt;0</f>
        <v>0</v>
      </c>
      <c r="J115" t="b">
        <f>misc[[#This Row],[CHA_Hitter_Count]]&gt;0</f>
        <v>0</v>
      </c>
      <c r="K115" t="str">
        <f>_xlfn.TEXTJOIN("",,"*SOCKET0**COMPUTE",misc[[#This Row],[Compute]],"**UNCORE**CHA**CHA",misc[[#This Row],[location]],splitchar,"UTIL**MC*STATUS*")</f>
        <v>*SOCKET0**COMPUTE1**UNCORE**CHA**CHA112__UTIL**MC*STATUS*</v>
      </c>
      <c r="L115">
        <f>COUNTIFS(cha_mc[TestName],misc[[#This Row],[CHA_MCA_String]],cha_mc[VisualId],MC_Check!$H$2)</f>
        <v>0</v>
      </c>
      <c r="M115" t="str">
        <f>_xlfn.TEXTJOIN("",,"*SOCKET0**COMPUTE",misc[[#This Row],[Compute]],"**CPU**CORE",misc[[#This Row],[location]],splitchar,"THREAD"&amp;"*",splitchar,"DCU*CR*MC1*STATUS**")</f>
        <v>*SOCKET0**COMPUTE1**CPU**CORE112__THREAD*__DCU*CR*MC1*STATUS**</v>
      </c>
      <c r="N115">
        <f>COUNTIFS(core_mc[TestName],misc[[#This Row],[DCU_MCA_String]],core_mc[VisualId],MC_Check!$H$2)</f>
        <v>0</v>
      </c>
      <c r="O115" t="str">
        <f>_xlfn.TEXTJOIN("",,"*SOCKET0**COMPUTE",misc[[#This Row],[Compute]],"**CPU**CORE",misc[[#This Row],[location]],splitchar,"DTLB*CR*MC2*STATUS**")</f>
        <v>*SOCKET0**COMPUTE1**CPU**CORE112__DTLB*CR*MC2*STATUS**</v>
      </c>
      <c r="P115">
        <f>COUNTIFS(core_mc[TestName],misc[[#This Row],[DTLB_MCA_String]],core_mc[VisualId],MC_Check!$H$2)</f>
        <v>0</v>
      </c>
      <c r="Q115" t="str">
        <f>_xlfn.TEXTJOIN("",,"*SOCKET0**COMPUTE",misc[[#This Row],[Compute]],"**CPU**CORE",misc[[#This Row],[location]],splitchar,"THREAD"&amp;"*",splitchar,"IFU*CR*MC0*STATUS**")</f>
        <v>*SOCKET0**COMPUTE1**CPU**CORE112__THREAD*__IFU*CR*MC0*STATUS**</v>
      </c>
      <c r="R115">
        <f>COUNTIFS(core_mc[TestName],misc[[#This Row],[IFU_MCA_String]],core_mc[VisualId],MC_Check!$H$2)</f>
        <v>0</v>
      </c>
      <c r="S115" t="str">
        <f>_xlfn.TEXTJOIN("",,"*SOCKET0**COMPUTE",misc[[#This Row],[Compute]],"**CPU**CORE",misc[[#This Row],[location]],splitchar,"ML2*CR*MC3*STATUS*")</f>
        <v>*SOCKET0**COMPUTE1**CPU**CORE112__ML2*CR*MC3*STATUS*</v>
      </c>
      <c r="T115">
        <f>COUNTIFS(core_mc[TestName],misc[[#This Row],[CORE_MCA_String]],core_mc[VisualId],MC_Check!$H$2)</f>
        <v>0</v>
      </c>
      <c r="U115">
        <f>misc[[#This Row],[Core_ML2_Count]]+misc[[#This Row],[Core_IFU_Count]]+misc[[#This Row],[Core_DCU_Count]]+misc[[#This Row],[Core_DTLB_Count]]</f>
        <v>0</v>
      </c>
      <c r="V115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15" t="str">
        <f>_xlfn.TEXTJOIN("",,"*SOCKET0**COMPUTE",misc[[#This Row],[Compute]],"**UNCORE**SCF**SCF*LLC**SCF*LLC",misc[[#This Row],[location]],splitchar,"MCI*STATUS*")</f>
        <v>*SOCKET0**COMPUTE1**UNCORE**SCF**SCF*LLC**SCF*LLC112__MCI*STATUS*</v>
      </c>
      <c r="X115">
        <f>COUNTIFS(cha_mc[TestName],misc[[#This Row],[LLC_MCA_String]],cha_mc[VisualId],MC_Check!$H$2)</f>
        <v>0</v>
      </c>
    </row>
    <row r="116" spans="6:24" x14ac:dyDescent="0.35">
      <c r="F116">
        <v>1</v>
      </c>
      <c r="G116">
        <f t="shared" si="1"/>
        <v>113</v>
      </c>
      <c r="H116" s="5" t="b">
        <f>misc[[#This Row],[Core_Hitter_Count]]&gt;0</f>
        <v>0</v>
      </c>
      <c r="I116" t="b">
        <f>misc[[#This Row],[LLC_Hitter_Count]]&gt;0</f>
        <v>0</v>
      </c>
      <c r="J116" t="b">
        <f>misc[[#This Row],[CHA_Hitter_Count]]&gt;0</f>
        <v>0</v>
      </c>
      <c r="K116" t="str">
        <f>_xlfn.TEXTJOIN("",,"*SOCKET0**COMPUTE",misc[[#This Row],[Compute]],"**UNCORE**CHA**CHA",misc[[#This Row],[location]],splitchar,"UTIL**MC*STATUS*")</f>
        <v>*SOCKET0**COMPUTE1**UNCORE**CHA**CHA113__UTIL**MC*STATUS*</v>
      </c>
      <c r="L116">
        <f>COUNTIFS(cha_mc[TestName],misc[[#This Row],[CHA_MCA_String]],cha_mc[VisualId],MC_Check!$H$2)</f>
        <v>0</v>
      </c>
      <c r="M116" t="str">
        <f>_xlfn.TEXTJOIN("",,"*SOCKET0**COMPUTE",misc[[#This Row],[Compute]],"**CPU**CORE",misc[[#This Row],[location]],splitchar,"THREAD"&amp;"*",splitchar,"DCU*CR*MC1*STATUS**")</f>
        <v>*SOCKET0**COMPUTE1**CPU**CORE113__THREAD*__DCU*CR*MC1*STATUS**</v>
      </c>
      <c r="N116">
        <f>COUNTIFS(core_mc[TestName],misc[[#This Row],[DCU_MCA_String]],core_mc[VisualId],MC_Check!$H$2)</f>
        <v>0</v>
      </c>
      <c r="O116" t="str">
        <f>_xlfn.TEXTJOIN("",,"*SOCKET0**COMPUTE",misc[[#This Row],[Compute]],"**CPU**CORE",misc[[#This Row],[location]],splitchar,"DTLB*CR*MC2*STATUS**")</f>
        <v>*SOCKET0**COMPUTE1**CPU**CORE113__DTLB*CR*MC2*STATUS**</v>
      </c>
      <c r="P116">
        <f>COUNTIFS(core_mc[TestName],misc[[#This Row],[DTLB_MCA_String]],core_mc[VisualId],MC_Check!$H$2)</f>
        <v>0</v>
      </c>
      <c r="Q116" t="str">
        <f>_xlfn.TEXTJOIN("",,"*SOCKET0**COMPUTE",misc[[#This Row],[Compute]],"**CPU**CORE",misc[[#This Row],[location]],splitchar,"THREAD"&amp;"*",splitchar,"IFU*CR*MC0*STATUS**")</f>
        <v>*SOCKET0**COMPUTE1**CPU**CORE113__THREAD*__IFU*CR*MC0*STATUS**</v>
      </c>
      <c r="R116">
        <f>COUNTIFS(core_mc[TestName],misc[[#This Row],[IFU_MCA_String]],core_mc[VisualId],MC_Check!$H$2)</f>
        <v>0</v>
      </c>
      <c r="S116" t="str">
        <f>_xlfn.TEXTJOIN("",,"*SOCKET0**COMPUTE",misc[[#This Row],[Compute]],"**CPU**CORE",misc[[#This Row],[location]],splitchar,"ML2*CR*MC3*STATUS*")</f>
        <v>*SOCKET0**COMPUTE1**CPU**CORE113__ML2*CR*MC3*STATUS*</v>
      </c>
      <c r="T116">
        <f>COUNTIFS(core_mc[TestName],misc[[#This Row],[CORE_MCA_String]],core_mc[VisualId],MC_Check!$H$2)</f>
        <v>0</v>
      </c>
      <c r="U116">
        <f>misc[[#This Row],[Core_ML2_Count]]+misc[[#This Row],[Core_IFU_Count]]+misc[[#This Row],[Core_DCU_Count]]+misc[[#This Row],[Core_DTLB_Count]]</f>
        <v>0</v>
      </c>
      <c r="V116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16" t="str">
        <f>_xlfn.TEXTJOIN("",,"*SOCKET0**COMPUTE",misc[[#This Row],[Compute]],"**UNCORE**SCF**SCF*LLC**SCF*LLC",misc[[#This Row],[location]],splitchar,"MCI*STATUS*")</f>
        <v>*SOCKET0**COMPUTE1**UNCORE**SCF**SCF*LLC**SCF*LLC113__MCI*STATUS*</v>
      </c>
      <c r="X116">
        <f>COUNTIFS(cha_mc[TestName],misc[[#This Row],[LLC_MCA_String]],cha_mc[VisualId],MC_Check!$H$2)</f>
        <v>0</v>
      </c>
    </row>
    <row r="117" spans="6:24" x14ac:dyDescent="0.35">
      <c r="F117">
        <v>1</v>
      </c>
      <c r="G117">
        <f t="shared" si="1"/>
        <v>114</v>
      </c>
      <c r="H117" s="5" t="b">
        <f>misc[[#This Row],[Core_Hitter_Count]]&gt;0</f>
        <v>0</v>
      </c>
      <c r="I117" t="b">
        <f>misc[[#This Row],[LLC_Hitter_Count]]&gt;0</f>
        <v>0</v>
      </c>
      <c r="J117" t="b">
        <f>misc[[#This Row],[CHA_Hitter_Count]]&gt;0</f>
        <v>0</v>
      </c>
      <c r="K117" t="str">
        <f>_xlfn.TEXTJOIN("",,"*SOCKET0**COMPUTE",misc[[#This Row],[Compute]],"**UNCORE**CHA**CHA",misc[[#This Row],[location]],splitchar,"UTIL**MC*STATUS*")</f>
        <v>*SOCKET0**COMPUTE1**UNCORE**CHA**CHA114__UTIL**MC*STATUS*</v>
      </c>
      <c r="L117">
        <f>COUNTIFS(cha_mc[TestName],misc[[#This Row],[CHA_MCA_String]],cha_mc[VisualId],MC_Check!$H$2)</f>
        <v>0</v>
      </c>
      <c r="M117" t="str">
        <f>_xlfn.TEXTJOIN("",,"*SOCKET0**COMPUTE",misc[[#This Row],[Compute]],"**CPU**CORE",misc[[#This Row],[location]],splitchar,"THREAD"&amp;"*",splitchar,"DCU*CR*MC1*STATUS**")</f>
        <v>*SOCKET0**COMPUTE1**CPU**CORE114__THREAD*__DCU*CR*MC1*STATUS**</v>
      </c>
      <c r="N117">
        <f>COUNTIFS(core_mc[TestName],misc[[#This Row],[DCU_MCA_String]],core_mc[VisualId],MC_Check!$H$2)</f>
        <v>0</v>
      </c>
      <c r="O117" t="str">
        <f>_xlfn.TEXTJOIN("",,"*SOCKET0**COMPUTE",misc[[#This Row],[Compute]],"**CPU**CORE",misc[[#This Row],[location]],splitchar,"DTLB*CR*MC2*STATUS**")</f>
        <v>*SOCKET0**COMPUTE1**CPU**CORE114__DTLB*CR*MC2*STATUS**</v>
      </c>
      <c r="P117">
        <f>COUNTIFS(core_mc[TestName],misc[[#This Row],[DTLB_MCA_String]],core_mc[VisualId],MC_Check!$H$2)</f>
        <v>0</v>
      </c>
      <c r="Q117" t="str">
        <f>_xlfn.TEXTJOIN("",,"*SOCKET0**COMPUTE",misc[[#This Row],[Compute]],"**CPU**CORE",misc[[#This Row],[location]],splitchar,"THREAD"&amp;"*",splitchar,"IFU*CR*MC0*STATUS**")</f>
        <v>*SOCKET0**COMPUTE1**CPU**CORE114__THREAD*__IFU*CR*MC0*STATUS**</v>
      </c>
      <c r="R117">
        <f>COUNTIFS(core_mc[TestName],misc[[#This Row],[IFU_MCA_String]],core_mc[VisualId],MC_Check!$H$2)</f>
        <v>0</v>
      </c>
      <c r="S117" t="str">
        <f>_xlfn.TEXTJOIN("",,"*SOCKET0**COMPUTE",misc[[#This Row],[Compute]],"**CPU**CORE",misc[[#This Row],[location]],splitchar,"ML2*CR*MC3*STATUS*")</f>
        <v>*SOCKET0**COMPUTE1**CPU**CORE114__ML2*CR*MC3*STATUS*</v>
      </c>
      <c r="T117">
        <f>COUNTIFS(core_mc[TestName],misc[[#This Row],[CORE_MCA_String]],core_mc[VisualId],MC_Check!$H$2)</f>
        <v>0</v>
      </c>
      <c r="U117">
        <f>misc[[#This Row],[Core_ML2_Count]]+misc[[#This Row],[Core_IFU_Count]]+misc[[#This Row],[Core_DCU_Count]]+misc[[#This Row],[Core_DTLB_Count]]</f>
        <v>0</v>
      </c>
      <c r="V117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17" t="str">
        <f>_xlfn.TEXTJOIN("",,"*SOCKET0**COMPUTE",misc[[#This Row],[Compute]],"**UNCORE**SCF**SCF*LLC**SCF*LLC",misc[[#This Row],[location]],splitchar,"MCI*STATUS*")</f>
        <v>*SOCKET0**COMPUTE1**UNCORE**SCF**SCF*LLC**SCF*LLC114__MCI*STATUS*</v>
      </c>
      <c r="X117">
        <f>COUNTIFS(cha_mc[TestName],misc[[#This Row],[LLC_MCA_String]],cha_mc[VisualId],MC_Check!$H$2)</f>
        <v>0</v>
      </c>
    </row>
    <row r="118" spans="6:24" x14ac:dyDescent="0.35">
      <c r="F118">
        <v>1</v>
      </c>
      <c r="G118">
        <f t="shared" si="1"/>
        <v>115</v>
      </c>
      <c r="H118" s="5" t="b">
        <f>misc[[#This Row],[Core_Hitter_Count]]&gt;0</f>
        <v>0</v>
      </c>
      <c r="I118" t="b">
        <f>misc[[#This Row],[LLC_Hitter_Count]]&gt;0</f>
        <v>0</v>
      </c>
      <c r="J118" t="b">
        <f>misc[[#This Row],[CHA_Hitter_Count]]&gt;0</f>
        <v>0</v>
      </c>
      <c r="K118" t="str">
        <f>_xlfn.TEXTJOIN("",,"*SOCKET0**COMPUTE",misc[[#This Row],[Compute]],"**UNCORE**CHA**CHA",misc[[#This Row],[location]],splitchar,"UTIL**MC*STATUS*")</f>
        <v>*SOCKET0**COMPUTE1**UNCORE**CHA**CHA115__UTIL**MC*STATUS*</v>
      </c>
      <c r="L118">
        <f>COUNTIFS(cha_mc[TestName],misc[[#This Row],[CHA_MCA_String]],cha_mc[VisualId],MC_Check!$H$2)</f>
        <v>0</v>
      </c>
      <c r="M118" t="str">
        <f>_xlfn.TEXTJOIN("",,"*SOCKET0**COMPUTE",misc[[#This Row],[Compute]],"**CPU**CORE",misc[[#This Row],[location]],splitchar,"THREAD"&amp;"*",splitchar,"DCU*CR*MC1*STATUS**")</f>
        <v>*SOCKET0**COMPUTE1**CPU**CORE115__THREAD*__DCU*CR*MC1*STATUS**</v>
      </c>
      <c r="N118">
        <f>COUNTIFS(core_mc[TestName],misc[[#This Row],[DCU_MCA_String]],core_mc[VisualId],MC_Check!$H$2)</f>
        <v>0</v>
      </c>
      <c r="O118" t="str">
        <f>_xlfn.TEXTJOIN("",,"*SOCKET0**COMPUTE",misc[[#This Row],[Compute]],"**CPU**CORE",misc[[#This Row],[location]],splitchar,"DTLB*CR*MC2*STATUS**")</f>
        <v>*SOCKET0**COMPUTE1**CPU**CORE115__DTLB*CR*MC2*STATUS**</v>
      </c>
      <c r="P118">
        <f>COUNTIFS(core_mc[TestName],misc[[#This Row],[DTLB_MCA_String]],core_mc[VisualId],MC_Check!$H$2)</f>
        <v>0</v>
      </c>
      <c r="Q118" t="str">
        <f>_xlfn.TEXTJOIN("",,"*SOCKET0**COMPUTE",misc[[#This Row],[Compute]],"**CPU**CORE",misc[[#This Row],[location]],splitchar,"THREAD"&amp;"*",splitchar,"IFU*CR*MC0*STATUS**")</f>
        <v>*SOCKET0**COMPUTE1**CPU**CORE115__THREAD*__IFU*CR*MC0*STATUS**</v>
      </c>
      <c r="R118">
        <f>COUNTIFS(core_mc[TestName],misc[[#This Row],[IFU_MCA_String]],core_mc[VisualId],MC_Check!$H$2)</f>
        <v>0</v>
      </c>
      <c r="S118" t="str">
        <f>_xlfn.TEXTJOIN("",,"*SOCKET0**COMPUTE",misc[[#This Row],[Compute]],"**CPU**CORE",misc[[#This Row],[location]],splitchar,"ML2*CR*MC3*STATUS*")</f>
        <v>*SOCKET0**COMPUTE1**CPU**CORE115__ML2*CR*MC3*STATUS*</v>
      </c>
      <c r="T118">
        <f>COUNTIFS(core_mc[TestName],misc[[#This Row],[CORE_MCA_String]],core_mc[VisualId],MC_Check!$H$2)</f>
        <v>0</v>
      </c>
      <c r="U118">
        <f>misc[[#This Row],[Core_ML2_Count]]+misc[[#This Row],[Core_IFU_Count]]+misc[[#This Row],[Core_DCU_Count]]+misc[[#This Row],[Core_DTLB_Count]]</f>
        <v>0</v>
      </c>
      <c r="V118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18" t="str">
        <f>_xlfn.TEXTJOIN("",,"*SOCKET0**COMPUTE",misc[[#This Row],[Compute]],"**UNCORE**SCF**SCF*LLC**SCF*LLC",misc[[#This Row],[location]],splitchar,"MCI*STATUS*")</f>
        <v>*SOCKET0**COMPUTE1**UNCORE**SCF**SCF*LLC**SCF*LLC115__MCI*STATUS*</v>
      </c>
      <c r="X118">
        <f>COUNTIFS(cha_mc[TestName],misc[[#This Row],[LLC_MCA_String]],cha_mc[VisualId],MC_Check!$H$2)</f>
        <v>0</v>
      </c>
    </row>
    <row r="119" spans="6:24" x14ac:dyDescent="0.35">
      <c r="F119">
        <v>1</v>
      </c>
      <c r="G119">
        <f t="shared" si="1"/>
        <v>116</v>
      </c>
      <c r="H119" s="5" t="b">
        <f>misc[[#This Row],[Core_Hitter_Count]]&gt;0</f>
        <v>0</v>
      </c>
      <c r="I119" t="b">
        <f>misc[[#This Row],[LLC_Hitter_Count]]&gt;0</f>
        <v>0</v>
      </c>
      <c r="J119" t="b">
        <f>misc[[#This Row],[CHA_Hitter_Count]]&gt;0</f>
        <v>0</v>
      </c>
      <c r="K119" t="str">
        <f>_xlfn.TEXTJOIN("",,"*SOCKET0**COMPUTE",misc[[#This Row],[Compute]],"**UNCORE**CHA**CHA",misc[[#This Row],[location]],splitchar,"UTIL**MC*STATUS*")</f>
        <v>*SOCKET0**COMPUTE1**UNCORE**CHA**CHA116__UTIL**MC*STATUS*</v>
      </c>
      <c r="L119">
        <f>COUNTIFS(cha_mc[TestName],misc[[#This Row],[CHA_MCA_String]],cha_mc[VisualId],MC_Check!$H$2)</f>
        <v>0</v>
      </c>
      <c r="M119" t="str">
        <f>_xlfn.TEXTJOIN("",,"*SOCKET0**COMPUTE",misc[[#This Row],[Compute]],"**CPU**CORE",misc[[#This Row],[location]],splitchar,"THREAD"&amp;"*",splitchar,"DCU*CR*MC1*STATUS**")</f>
        <v>*SOCKET0**COMPUTE1**CPU**CORE116__THREAD*__DCU*CR*MC1*STATUS**</v>
      </c>
      <c r="N119">
        <f>COUNTIFS(core_mc[TestName],misc[[#This Row],[DCU_MCA_String]],core_mc[VisualId],MC_Check!$H$2)</f>
        <v>0</v>
      </c>
      <c r="O119" t="str">
        <f>_xlfn.TEXTJOIN("",,"*SOCKET0**COMPUTE",misc[[#This Row],[Compute]],"**CPU**CORE",misc[[#This Row],[location]],splitchar,"DTLB*CR*MC2*STATUS**")</f>
        <v>*SOCKET0**COMPUTE1**CPU**CORE116__DTLB*CR*MC2*STATUS**</v>
      </c>
      <c r="P119">
        <f>COUNTIFS(core_mc[TestName],misc[[#This Row],[DTLB_MCA_String]],core_mc[VisualId],MC_Check!$H$2)</f>
        <v>0</v>
      </c>
      <c r="Q119" t="str">
        <f>_xlfn.TEXTJOIN("",,"*SOCKET0**COMPUTE",misc[[#This Row],[Compute]],"**CPU**CORE",misc[[#This Row],[location]],splitchar,"THREAD"&amp;"*",splitchar,"IFU*CR*MC0*STATUS**")</f>
        <v>*SOCKET0**COMPUTE1**CPU**CORE116__THREAD*__IFU*CR*MC0*STATUS**</v>
      </c>
      <c r="R119">
        <f>COUNTIFS(core_mc[TestName],misc[[#This Row],[IFU_MCA_String]],core_mc[VisualId],MC_Check!$H$2)</f>
        <v>0</v>
      </c>
      <c r="S119" t="str">
        <f>_xlfn.TEXTJOIN("",,"*SOCKET0**COMPUTE",misc[[#This Row],[Compute]],"**CPU**CORE",misc[[#This Row],[location]],splitchar,"ML2*CR*MC3*STATUS*")</f>
        <v>*SOCKET0**COMPUTE1**CPU**CORE116__ML2*CR*MC3*STATUS*</v>
      </c>
      <c r="T119">
        <f>COUNTIFS(core_mc[TestName],misc[[#This Row],[CORE_MCA_String]],core_mc[VisualId],MC_Check!$H$2)</f>
        <v>0</v>
      </c>
      <c r="U119">
        <f>misc[[#This Row],[Core_ML2_Count]]+misc[[#This Row],[Core_IFU_Count]]+misc[[#This Row],[Core_DCU_Count]]+misc[[#This Row],[Core_DTLB_Count]]</f>
        <v>0</v>
      </c>
      <c r="V119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19" t="str">
        <f>_xlfn.TEXTJOIN("",,"*SOCKET0**COMPUTE",misc[[#This Row],[Compute]],"**UNCORE**SCF**SCF*LLC**SCF*LLC",misc[[#This Row],[location]],splitchar,"MCI*STATUS*")</f>
        <v>*SOCKET0**COMPUTE1**UNCORE**SCF**SCF*LLC**SCF*LLC116__MCI*STATUS*</v>
      </c>
      <c r="X119">
        <f>COUNTIFS(cha_mc[TestName],misc[[#This Row],[LLC_MCA_String]],cha_mc[VisualId],MC_Check!$H$2)</f>
        <v>0</v>
      </c>
    </row>
    <row r="120" spans="6:24" x14ac:dyDescent="0.35">
      <c r="F120">
        <v>1</v>
      </c>
      <c r="G120">
        <f t="shared" si="1"/>
        <v>117</v>
      </c>
      <c r="H120" s="5" t="b">
        <f>misc[[#This Row],[Core_Hitter_Count]]&gt;0</f>
        <v>0</v>
      </c>
      <c r="I120" t="b">
        <f>misc[[#This Row],[LLC_Hitter_Count]]&gt;0</f>
        <v>0</v>
      </c>
      <c r="J120" t="b">
        <f>misc[[#This Row],[CHA_Hitter_Count]]&gt;0</f>
        <v>0</v>
      </c>
      <c r="K120" t="str">
        <f>_xlfn.TEXTJOIN("",,"*SOCKET0**COMPUTE",misc[[#This Row],[Compute]],"**UNCORE**CHA**CHA",misc[[#This Row],[location]],splitchar,"UTIL**MC*STATUS*")</f>
        <v>*SOCKET0**COMPUTE1**UNCORE**CHA**CHA117__UTIL**MC*STATUS*</v>
      </c>
      <c r="L120">
        <f>COUNTIFS(cha_mc[TestName],misc[[#This Row],[CHA_MCA_String]],cha_mc[VisualId],MC_Check!$H$2)</f>
        <v>0</v>
      </c>
      <c r="M120" t="str">
        <f>_xlfn.TEXTJOIN("",,"*SOCKET0**COMPUTE",misc[[#This Row],[Compute]],"**CPU**CORE",misc[[#This Row],[location]],splitchar,"THREAD"&amp;"*",splitchar,"DCU*CR*MC1*STATUS**")</f>
        <v>*SOCKET0**COMPUTE1**CPU**CORE117__THREAD*__DCU*CR*MC1*STATUS**</v>
      </c>
      <c r="N120">
        <f>COUNTIFS(core_mc[TestName],misc[[#This Row],[DCU_MCA_String]],core_mc[VisualId],MC_Check!$H$2)</f>
        <v>0</v>
      </c>
      <c r="O120" t="str">
        <f>_xlfn.TEXTJOIN("",,"*SOCKET0**COMPUTE",misc[[#This Row],[Compute]],"**CPU**CORE",misc[[#This Row],[location]],splitchar,"DTLB*CR*MC2*STATUS**")</f>
        <v>*SOCKET0**COMPUTE1**CPU**CORE117__DTLB*CR*MC2*STATUS**</v>
      </c>
      <c r="P120">
        <f>COUNTIFS(core_mc[TestName],misc[[#This Row],[DTLB_MCA_String]],core_mc[VisualId],MC_Check!$H$2)</f>
        <v>0</v>
      </c>
      <c r="Q120" t="str">
        <f>_xlfn.TEXTJOIN("",,"*SOCKET0**COMPUTE",misc[[#This Row],[Compute]],"**CPU**CORE",misc[[#This Row],[location]],splitchar,"THREAD"&amp;"*",splitchar,"IFU*CR*MC0*STATUS**")</f>
        <v>*SOCKET0**COMPUTE1**CPU**CORE117__THREAD*__IFU*CR*MC0*STATUS**</v>
      </c>
      <c r="R120">
        <f>COUNTIFS(core_mc[TestName],misc[[#This Row],[IFU_MCA_String]],core_mc[VisualId],MC_Check!$H$2)</f>
        <v>0</v>
      </c>
      <c r="S120" t="str">
        <f>_xlfn.TEXTJOIN("",,"*SOCKET0**COMPUTE",misc[[#This Row],[Compute]],"**CPU**CORE",misc[[#This Row],[location]],splitchar,"ML2*CR*MC3*STATUS*")</f>
        <v>*SOCKET0**COMPUTE1**CPU**CORE117__ML2*CR*MC3*STATUS*</v>
      </c>
      <c r="T120">
        <f>COUNTIFS(core_mc[TestName],misc[[#This Row],[CORE_MCA_String]],core_mc[VisualId],MC_Check!$H$2)</f>
        <v>0</v>
      </c>
      <c r="U120">
        <f>misc[[#This Row],[Core_ML2_Count]]+misc[[#This Row],[Core_IFU_Count]]+misc[[#This Row],[Core_DCU_Count]]+misc[[#This Row],[Core_DTLB_Count]]</f>
        <v>0</v>
      </c>
      <c r="V120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20" t="str">
        <f>_xlfn.TEXTJOIN("",,"*SOCKET0**COMPUTE",misc[[#This Row],[Compute]],"**UNCORE**SCF**SCF*LLC**SCF*LLC",misc[[#This Row],[location]],splitchar,"MCI*STATUS*")</f>
        <v>*SOCKET0**COMPUTE1**UNCORE**SCF**SCF*LLC**SCF*LLC117__MCI*STATUS*</v>
      </c>
      <c r="X120">
        <f>COUNTIFS(cha_mc[TestName],misc[[#This Row],[LLC_MCA_String]],cha_mc[VisualId],MC_Check!$H$2)</f>
        <v>0</v>
      </c>
    </row>
    <row r="121" spans="6:24" x14ac:dyDescent="0.35">
      <c r="F121">
        <v>1</v>
      </c>
      <c r="G121">
        <f t="shared" si="1"/>
        <v>118</v>
      </c>
      <c r="H121" s="5" t="b">
        <f>misc[[#This Row],[Core_Hitter_Count]]&gt;0</f>
        <v>0</v>
      </c>
      <c r="I121" t="b">
        <f>misc[[#This Row],[LLC_Hitter_Count]]&gt;0</f>
        <v>0</v>
      </c>
      <c r="J121" t="b">
        <f>misc[[#This Row],[CHA_Hitter_Count]]&gt;0</f>
        <v>0</v>
      </c>
      <c r="K121" t="str">
        <f>_xlfn.TEXTJOIN("",,"*SOCKET0**COMPUTE",misc[[#This Row],[Compute]],"**UNCORE**CHA**CHA",misc[[#This Row],[location]],splitchar,"UTIL**MC*STATUS*")</f>
        <v>*SOCKET0**COMPUTE1**UNCORE**CHA**CHA118__UTIL**MC*STATUS*</v>
      </c>
      <c r="L121">
        <f>COUNTIFS(cha_mc[TestName],misc[[#This Row],[CHA_MCA_String]],cha_mc[VisualId],MC_Check!$H$2)</f>
        <v>0</v>
      </c>
      <c r="M121" t="str">
        <f>_xlfn.TEXTJOIN("",,"*SOCKET0**COMPUTE",misc[[#This Row],[Compute]],"**CPU**CORE",misc[[#This Row],[location]],splitchar,"THREAD"&amp;"*",splitchar,"DCU*CR*MC1*STATUS**")</f>
        <v>*SOCKET0**COMPUTE1**CPU**CORE118__THREAD*__DCU*CR*MC1*STATUS**</v>
      </c>
      <c r="N121">
        <f>COUNTIFS(core_mc[TestName],misc[[#This Row],[DCU_MCA_String]],core_mc[VisualId],MC_Check!$H$2)</f>
        <v>0</v>
      </c>
      <c r="O121" t="str">
        <f>_xlfn.TEXTJOIN("",,"*SOCKET0**COMPUTE",misc[[#This Row],[Compute]],"**CPU**CORE",misc[[#This Row],[location]],splitchar,"DTLB*CR*MC2*STATUS**")</f>
        <v>*SOCKET0**COMPUTE1**CPU**CORE118__DTLB*CR*MC2*STATUS**</v>
      </c>
      <c r="P121">
        <f>COUNTIFS(core_mc[TestName],misc[[#This Row],[DTLB_MCA_String]],core_mc[VisualId],MC_Check!$H$2)</f>
        <v>0</v>
      </c>
      <c r="Q121" t="str">
        <f>_xlfn.TEXTJOIN("",,"*SOCKET0**COMPUTE",misc[[#This Row],[Compute]],"**CPU**CORE",misc[[#This Row],[location]],splitchar,"THREAD"&amp;"*",splitchar,"IFU*CR*MC0*STATUS**")</f>
        <v>*SOCKET0**COMPUTE1**CPU**CORE118__THREAD*__IFU*CR*MC0*STATUS**</v>
      </c>
      <c r="R121">
        <f>COUNTIFS(core_mc[TestName],misc[[#This Row],[IFU_MCA_String]],core_mc[VisualId],MC_Check!$H$2)</f>
        <v>0</v>
      </c>
      <c r="S121" t="str">
        <f>_xlfn.TEXTJOIN("",,"*SOCKET0**COMPUTE",misc[[#This Row],[Compute]],"**CPU**CORE",misc[[#This Row],[location]],splitchar,"ML2*CR*MC3*STATUS*")</f>
        <v>*SOCKET0**COMPUTE1**CPU**CORE118__ML2*CR*MC3*STATUS*</v>
      </c>
      <c r="T121">
        <f>COUNTIFS(core_mc[TestName],misc[[#This Row],[CORE_MCA_String]],core_mc[VisualId],MC_Check!$H$2)</f>
        <v>0</v>
      </c>
      <c r="U121">
        <f>misc[[#This Row],[Core_ML2_Count]]+misc[[#This Row],[Core_IFU_Count]]+misc[[#This Row],[Core_DCU_Count]]+misc[[#This Row],[Core_DTLB_Count]]</f>
        <v>0</v>
      </c>
      <c r="V121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21" t="str">
        <f>_xlfn.TEXTJOIN("",,"*SOCKET0**COMPUTE",misc[[#This Row],[Compute]],"**UNCORE**SCF**SCF*LLC**SCF*LLC",misc[[#This Row],[location]],splitchar,"MCI*STATUS*")</f>
        <v>*SOCKET0**COMPUTE1**UNCORE**SCF**SCF*LLC**SCF*LLC118__MCI*STATUS*</v>
      </c>
      <c r="X121">
        <f>COUNTIFS(cha_mc[TestName],misc[[#This Row],[LLC_MCA_String]],cha_mc[VisualId],MC_Check!$H$2)</f>
        <v>0</v>
      </c>
    </row>
    <row r="122" spans="6:24" x14ac:dyDescent="0.35">
      <c r="F122">
        <v>1</v>
      </c>
      <c r="G122">
        <f t="shared" si="1"/>
        <v>119</v>
      </c>
      <c r="H122" s="5" t="b">
        <f>misc[[#This Row],[Core_Hitter_Count]]&gt;0</f>
        <v>0</v>
      </c>
      <c r="I122" t="b">
        <f>misc[[#This Row],[LLC_Hitter_Count]]&gt;0</f>
        <v>0</v>
      </c>
      <c r="J122" t="b">
        <f>misc[[#This Row],[CHA_Hitter_Count]]&gt;0</f>
        <v>0</v>
      </c>
      <c r="K122" t="str">
        <f>_xlfn.TEXTJOIN("",,"*SOCKET0**COMPUTE",misc[[#This Row],[Compute]],"**UNCORE**CHA**CHA",misc[[#This Row],[location]],splitchar,"UTIL**MC*STATUS*")</f>
        <v>*SOCKET0**COMPUTE1**UNCORE**CHA**CHA119__UTIL**MC*STATUS*</v>
      </c>
      <c r="L122">
        <f>COUNTIFS(cha_mc[TestName],misc[[#This Row],[CHA_MCA_String]],cha_mc[VisualId],MC_Check!$H$2)</f>
        <v>0</v>
      </c>
      <c r="M122" t="str">
        <f>_xlfn.TEXTJOIN("",,"*SOCKET0**COMPUTE",misc[[#This Row],[Compute]],"**CPU**CORE",misc[[#This Row],[location]],splitchar,"THREAD"&amp;"*",splitchar,"DCU*CR*MC1*STATUS**")</f>
        <v>*SOCKET0**COMPUTE1**CPU**CORE119__THREAD*__DCU*CR*MC1*STATUS**</v>
      </c>
      <c r="N122">
        <f>COUNTIFS(core_mc[TestName],misc[[#This Row],[DCU_MCA_String]],core_mc[VisualId],MC_Check!$H$2)</f>
        <v>0</v>
      </c>
      <c r="O122" t="str">
        <f>_xlfn.TEXTJOIN("",,"*SOCKET0**COMPUTE",misc[[#This Row],[Compute]],"**CPU**CORE",misc[[#This Row],[location]],splitchar,"DTLB*CR*MC2*STATUS**")</f>
        <v>*SOCKET0**COMPUTE1**CPU**CORE119__DTLB*CR*MC2*STATUS**</v>
      </c>
      <c r="P122">
        <f>COUNTIFS(core_mc[TestName],misc[[#This Row],[DTLB_MCA_String]],core_mc[VisualId],MC_Check!$H$2)</f>
        <v>0</v>
      </c>
      <c r="Q122" t="str">
        <f>_xlfn.TEXTJOIN("",,"*SOCKET0**COMPUTE",misc[[#This Row],[Compute]],"**CPU**CORE",misc[[#This Row],[location]],splitchar,"THREAD"&amp;"*",splitchar,"IFU*CR*MC0*STATUS**")</f>
        <v>*SOCKET0**COMPUTE1**CPU**CORE119__THREAD*__IFU*CR*MC0*STATUS**</v>
      </c>
      <c r="R122">
        <f>COUNTIFS(core_mc[TestName],misc[[#This Row],[IFU_MCA_String]],core_mc[VisualId],MC_Check!$H$2)</f>
        <v>0</v>
      </c>
      <c r="S122" t="str">
        <f>_xlfn.TEXTJOIN("",,"*SOCKET0**COMPUTE",misc[[#This Row],[Compute]],"**CPU**CORE",misc[[#This Row],[location]],splitchar,"ML2*CR*MC3*STATUS*")</f>
        <v>*SOCKET0**COMPUTE1**CPU**CORE119__ML2*CR*MC3*STATUS*</v>
      </c>
      <c r="T122">
        <f>COUNTIFS(core_mc[TestName],misc[[#This Row],[CORE_MCA_String]],core_mc[VisualId],MC_Check!$H$2)</f>
        <v>0</v>
      </c>
      <c r="U122">
        <f>misc[[#This Row],[Core_ML2_Count]]+misc[[#This Row],[Core_IFU_Count]]+misc[[#This Row],[Core_DCU_Count]]+misc[[#This Row],[Core_DTLB_Count]]</f>
        <v>0</v>
      </c>
      <c r="V122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22" t="str">
        <f>_xlfn.TEXTJOIN("",,"*SOCKET0**COMPUTE",misc[[#This Row],[Compute]],"**UNCORE**SCF**SCF*LLC**SCF*LLC",misc[[#This Row],[location]],splitchar,"MCI*STATUS*")</f>
        <v>*SOCKET0**COMPUTE1**UNCORE**SCF**SCF*LLC**SCF*LLC119__MCI*STATUS*</v>
      </c>
      <c r="X122">
        <f>COUNTIFS(cha_mc[TestName],misc[[#This Row],[LLC_MCA_String]],cha_mc[VisualId],MC_Check!$H$2)</f>
        <v>0</v>
      </c>
    </row>
    <row r="123" spans="6:24" x14ac:dyDescent="0.35">
      <c r="F123">
        <v>2</v>
      </c>
      <c r="G123">
        <f t="shared" si="1"/>
        <v>120</v>
      </c>
      <c r="H123" s="5" t="b">
        <f>misc[[#This Row],[Core_Hitter_Count]]&gt;0</f>
        <v>0</v>
      </c>
      <c r="I123" t="b">
        <f>misc[[#This Row],[LLC_Hitter_Count]]&gt;0</f>
        <v>0</v>
      </c>
      <c r="J123" t="b">
        <f>misc[[#This Row],[CHA_Hitter_Count]]&gt;0</f>
        <v>0</v>
      </c>
      <c r="K123" t="str">
        <f>_xlfn.TEXTJOIN("",,"*SOCKET0**COMPUTE",misc[[#This Row],[Compute]],"**UNCORE**CHA**CHA",misc[[#This Row],[location]],splitchar,"UTIL**MC*STATUS*")</f>
        <v>*SOCKET0**COMPUTE2**UNCORE**CHA**CHA120__UTIL**MC*STATUS*</v>
      </c>
      <c r="L123">
        <f>COUNTIFS(cha_mc[TestName],misc[[#This Row],[CHA_MCA_String]],cha_mc[VisualId],MC_Check!$H$2)</f>
        <v>0</v>
      </c>
      <c r="M123" t="str">
        <f>_xlfn.TEXTJOIN("",,"*SOCKET0**COMPUTE",misc[[#This Row],[Compute]],"**CPU**CORE",misc[[#This Row],[location]],splitchar,"THREAD"&amp;"*",splitchar,"DCU*CR*MC1*STATUS**")</f>
        <v>*SOCKET0**COMPUTE2**CPU**CORE120__THREAD*__DCU*CR*MC1*STATUS**</v>
      </c>
      <c r="N123">
        <f>COUNTIFS(core_mc[TestName],misc[[#This Row],[DCU_MCA_String]],core_mc[VisualId],MC_Check!$H$2)</f>
        <v>0</v>
      </c>
      <c r="O123" t="str">
        <f>_xlfn.TEXTJOIN("",,"*SOCKET0**COMPUTE",misc[[#This Row],[Compute]],"**CPU**CORE",misc[[#This Row],[location]],splitchar,"DTLB*CR*MC2*STATUS**")</f>
        <v>*SOCKET0**COMPUTE2**CPU**CORE120__DTLB*CR*MC2*STATUS**</v>
      </c>
      <c r="P123">
        <f>COUNTIFS(core_mc[TestName],misc[[#This Row],[DTLB_MCA_String]],core_mc[VisualId],MC_Check!$H$2)</f>
        <v>0</v>
      </c>
      <c r="Q123" t="str">
        <f>_xlfn.TEXTJOIN("",,"*SOCKET0**COMPUTE",misc[[#This Row],[Compute]],"**CPU**CORE",misc[[#This Row],[location]],splitchar,"THREAD"&amp;"*",splitchar,"IFU*CR*MC0*STATUS**")</f>
        <v>*SOCKET0**COMPUTE2**CPU**CORE120__THREAD*__IFU*CR*MC0*STATUS**</v>
      </c>
      <c r="R123">
        <f>COUNTIFS(core_mc[TestName],misc[[#This Row],[IFU_MCA_String]],core_mc[VisualId],MC_Check!$H$2)</f>
        <v>0</v>
      </c>
      <c r="S123" t="str">
        <f>_xlfn.TEXTJOIN("",,"*SOCKET0**COMPUTE",misc[[#This Row],[Compute]],"**CPU**CORE",misc[[#This Row],[location]],splitchar,"ML2*CR*MC3*STATUS*")</f>
        <v>*SOCKET0**COMPUTE2**CPU**CORE120__ML2*CR*MC3*STATUS*</v>
      </c>
      <c r="T123">
        <f>COUNTIFS(core_mc[TestName],misc[[#This Row],[CORE_MCA_String]],core_mc[VisualId],MC_Check!$H$2)</f>
        <v>0</v>
      </c>
      <c r="U123">
        <f>misc[[#This Row],[Core_ML2_Count]]+misc[[#This Row],[Core_IFU_Count]]+misc[[#This Row],[Core_DCU_Count]]+misc[[#This Row],[Core_DTLB_Count]]</f>
        <v>0</v>
      </c>
      <c r="V123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23" t="str">
        <f>_xlfn.TEXTJOIN("",,"*SOCKET0**COMPUTE",misc[[#This Row],[Compute]],"**UNCORE**SCF**SCF*LLC**SCF*LLC",misc[[#This Row],[location]],splitchar,"MCI*STATUS*")</f>
        <v>*SOCKET0**COMPUTE2**UNCORE**SCF**SCF*LLC**SCF*LLC120__MCI*STATUS*</v>
      </c>
      <c r="X123">
        <f>COUNTIFS(cha_mc[TestName],misc[[#This Row],[LLC_MCA_String]],cha_mc[VisualId],MC_Check!$H$2)</f>
        <v>0</v>
      </c>
    </row>
    <row r="124" spans="6:24" x14ac:dyDescent="0.35">
      <c r="F124">
        <v>2</v>
      </c>
      <c r="G124">
        <f t="shared" si="1"/>
        <v>121</v>
      </c>
      <c r="H124" s="5" t="b">
        <f>misc[[#This Row],[Core_Hitter_Count]]&gt;0</f>
        <v>0</v>
      </c>
      <c r="I124" t="b">
        <f>misc[[#This Row],[LLC_Hitter_Count]]&gt;0</f>
        <v>0</v>
      </c>
      <c r="J124" t="b">
        <f>misc[[#This Row],[CHA_Hitter_Count]]&gt;0</f>
        <v>0</v>
      </c>
      <c r="K124" t="str">
        <f>_xlfn.TEXTJOIN("",,"*SOCKET0**COMPUTE",misc[[#This Row],[Compute]],"**UNCORE**CHA**CHA",misc[[#This Row],[location]],splitchar,"UTIL**MC*STATUS*")</f>
        <v>*SOCKET0**COMPUTE2**UNCORE**CHA**CHA121__UTIL**MC*STATUS*</v>
      </c>
      <c r="L124">
        <f>COUNTIFS(cha_mc[TestName],misc[[#This Row],[CHA_MCA_String]],cha_mc[VisualId],MC_Check!$H$2)</f>
        <v>0</v>
      </c>
      <c r="M124" t="str">
        <f>_xlfn.TEXTJOIN("",,"*SOCKET0**COMPUTE",misc[[#This Row],[Compute]],"**CPU**CORE",misc[[#This Row],[location]],splitchar,"THREAD"&amp;"*",splitchar,"DCU*CR*MC1*STATUS**")</f>
        <v>*SOCKET0**COMPUTE2**CPU**CORE121__THREAD*__DCU*CR*MC1*STATUS**</v>
      </c>
      <c r="N124">
        <f>COUNTIFS(core_mc[TestName],misc[[#This Row],[DCU_MCA_String]],core_mc[VisualId],MC_Check!$H$2)</f>
        <v>0</v>
      </c>
      <c r="O124" t="str">
        <f>_xlfn.TEXTJOIN("",,"*SOCKET0**COMPUTE",misc[[#This Row],[Compute]],"**CPU**CORE",misc[[#This Row],[location]],splitchar,"DTLB*CR*MC2*STATUS**")</f>
        <v>*SOCKET0**COMPUTE2**CPU**CORE121__DTLB*CR*MC2*STATUS**</v>
      </c>
      <c r="P124">
        <f>COUNTIFS(core_mc[TestName],misc[[#This Row],[DTLB_MCA_String]],core_mc[VisualId],MC_Check!$H$2)</f>
        <v>0</v>
      </c>
      <c r="Q124" t="str">
        <f>_xlfn.TEXTJOIN("",,"*SOCKET0**COMPUTE",misc[[#This Row],[Compute]],"**CPU**CORE",misc[[#This Row],[location]],splitchar,"THREAD"&amp;"*",splitchar,"IFU*CR*MC0*STATUS**")</f>
        <v>*SOCKET0**COMPUTE2**CPU**CORE121__THREAD*__IFU*CR*MC0*STATUS**</v>
      </c>
      <c r="R124">
        <f>COUNTIFS(core_mc[TestName],misc[[#This Row],[IFU_MCA_String]],core_mc[VisualId],MC_Check!$H$2)</f>
        <v>0</v>
      </c>
      <c r="S124" t="str">
        <f>_xlfn.TEXTJOIN("",,"*SOCKET0**COMPUTE",misc[[#This Row],[Compute]],"**CPU**CORE",misc[[#This Row],[location]],splitchar,"ML2*CR*MC3*STATUS*")</f>
        <v>*SOCKET0**COMPUTE2**CPU**CORE121__ML2*CR*MC3*STATUS*</v>
      </c>
      <c r="T124">
        <f>COUNTIFS(core_mc[TestName],misc[[#This Row],[CORE_MCA_String]],core_mc[VisualId],MC_Check!$H$2)</f>
        <v>0</v>
      </c>
      <c r="U124">
        <f>misc[[#This Row],[Core_ML2_Count]]+misc[[#This Row],[Core_IFU_Count]]+misc[[#This Row],[Core_DCU_Count]]+misc[[#This Row],[Core_DTLB_Count]]</f>
        <v>0</v>
      </c>
      <c r="V124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24" t="str">
        <f>_xlfn.TEXTJOIN("",,"*SOCKET0**COMPUTE",misc[[#This Row],[Compute]],"**UNCORE**SCF**SCF*LLC**SCF*LLC",misc[[#This Row],[location]],splitchar,"MCI*STATUS*")</f>
        <v>*SOCKET0**COMPUTE2**UNCORE**SCF**SCF*LLC**SCF*LLC121__MCI*STATUS*</v>
      </c>
      <c r="X124">
        <f>COUNTIFS(cha_mc[TestName],misc[[#This Row],[LLC_MCA_String]],cha_mc[VisualId],MC_Check!$H$2)</f>
        <v>0</v>
      </c>
    </row>
    <row r="125" spans="6:24" x14ac:dyDescent="0.35">
      <c r="F125">
        <v>2</v>
      </c>
      <c r="G125">
        <f t="shared" si="1"/>
        <v>122</v>
      </c>
      <c r="H125" s="5" t="b">
        <f>misc[[#This Row],[Core_Hitter_Count]]&gt;0</f>
        <v>0</v>
      </c>
      <c r="I125" t="b">
        <f>misc[[#This Row],[LLC_Hitter_Count]]&gt;0</f>
        <v>0</v>
      </c>
      <c r="J125" t="b">
        <f>misc[[#This Row],[CHA_Hitter_Count]]&gt;0</f>
        <v>0</v>
      </c>
      <c r="K125" t="str">
        <f>_xlfn.TEXTJOIN("",,"*SOCKET0**COMPUTE",misc[[#This Row],[Compute]],"**UNCORE**CHA**CHA",misc[[#This Row],[location]],splitchar,"UTIL**MC*STATUS*")</f>
        <v>*SOCKET0**COMPUTE2**UNCORE**CHA**CHA122__UTIL**MC*STATUS*</v>
      </c>
      <c r="L125">
        <f>COUNTIFS(cha_mc[TestName],misc[[#This Row],[CHA_MCA_String]],cha_mc[VisualId],MC_Check!$H$2)</f>
        <v>0</v>
      </c>
      <c r="M125" t="str">
        <f>_xlfn.TEXTJOIN("",,"*SOCKET0**COMPUTE",misc[[#This Row],[Compute]],"**CPU**CORE",misc[[#This Row],[location]],splitchar,"THREAD"&amp;"*",splitchar,"DCU*CR*MC1*STATUS**")</f>
        <v>*SOCKET0**COMPUTE2**CPU**CORE122__THREAD*__DCU*CR*MC1*STATUS**</v>
      </c>
      <c r="N125">
        <f>COUNTIFS(core_mc[TestName],misc[[#This Row],[DCU_MCA_String]],core_mc[VisualId],MC_Check!$H$2)</f>
        <v>0</v>
      </c>
      <c r="O125" t="str">
        <f>_xlfn.TEXTJOIN("",,"*SOCKET0**COMPUTE",misc[[#This Row],[Compute]],"**CPU**CORE",misc[[#This Row],[location]],splitchar,"DTLB*CR*MC2*STATUS**")</f>
        <v>*SOCKET0**COMPUTE2**CPU**CORE122__DTLB*CR*MC2*STATUS**</v>
      </c>
      <c r="P125">
        <f>COUNTIFS(core_mc[TestName],misc[[#This Row],[DTLB_MCA_String]],core_mc[VisualId],MC_Check!$H$2)</f>
        <v>0</v>
      </c>
      <c r="Q125" t="str">
        <f>_xlfn.TEXTJOIN("",,"*SOCKET0**COMPUTE",misc[[#This Row],[Compute]],"**CPU**CORE",misc[[#This Row],[location]],splitchar,"THREAD"&amp;"*",splitchar,"IFU*CR*MC0*STATUS**")</f>
        <v>*SOCKET0**COMPUTE2**CPU**CORE122__THREAD*__IFU*CR*MC0*STATUS**</v>
      </c>
      <c r="R125">
        <f>COUNTIFS(core_mc[TestName],misc[[#This Row],[IFU_MCA_String]],core_mc[VisualId],MC_Check!$H$2)</f>
        <v>0</v>
      </c>
      <c r="S125" t="str">
        <f>_xlfn.TEXTJOIN("",,"*SOCKET0**COMPUTE",misc[[#This Row],[Compute]],"**CPU**CORE",misc[[#This Row],[location]],splitchar,"ML2*CR*MC3*STATUS*")</f>
        <v>*SOCKET0**COMPUTE2**CPU**CORE122__ML2*CR*MC3*STATUS*</v>
      </c>
      <c r="T125">
        <f>COUNTIFS(core_mc[TestName],misc[[#This Row],[CORE_MCA_String]],core_mc[VisualId],MC_Check!$H$2)</f>
        <v>0</v>
      </c>
      <c r="U125">
        <f>misc[[#This Row],[Core_ML2_Count]]+misc[[#This Row],[Core_IFU_Count]]+misc[[#This Row],[Core_DCU_Count]]+misc[[#This Row],[Core_DTLB_Count]]</f>
        <v>0</v>
      </c>
      <c r="V125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25" t="str">
        <f>_xlfn.TEXTJOIN("",,"*SOCKET0**COMPUTE",misc[[#This Row],[Compute]],"**UNCORE**SCF**SCF*LLC**SCF*LLC",misc[[#This Row],[location]],splitchar,"MCI*STATUS*")</f>
        <v>*SOCKET0**COMPUTE2**UNCORE**SCF**SCF*LLC**SCF*LLC122__MCI*STATUS*</v>
      </c>
      <c r="X125">
        <f>COUNTIFS(cha_mc[TestName],misc[[#This Row],[LLC_MCA_String]],cha_mc[VisualId],MC_Check!$H$2)</f>
        <v>0</v>
      </c>
    </row>
    <row r="126" spans="6:24" x14ac:dyDescent="0.35">
      <c r="F126">
        <v>2</v>
      </c>
      <c r="G126">
        <f t="shared" si="1"/>
        <v>123</v>
      </c>
      <c r="H126" s="5" t="b">
        <f>misc[[#This Row],[Core_Hitter_Count]]&gt;0</f>
        <v>0</v>
      </c>
      <c r="I126" t="b">
        <f>misc[[#This Row],[LLC_Hitter_Count]]&gt;0</f>
        <v>0</v>
      </c>
      <c r="J126" t="b">
        <f>misc[[#This Row],[CHA_Hitter_Count]]&gt;0</f>
        <v>0</v>
      </c>
      <c r="K126" t="str">
        <f>_xlfn.TEXTJOIN("",,"*SOCKET0**COMPUTE",misc[[#This Row],[Compute]],"**UNCORE**CHA**CHA",misc[[#This Row],[location]],splitchar,"UTIL**MC*STATUS*")</f>
        <v>*SOCKET0**COMPUTE2**UNCORE**CHA**CHA123__UTIL**MC*STATUS*</v>
      </c>
      <c r="L126">
        <f>COUNTIFS(cha_mc[TestName],misc[[#This Row],[CHA_MCA_String]],cha_mc[VisualId],MC_Check!$H$2)</f>
        <v>0</v>
      </c>
      <c r="M126" t="str">
        <f>_xlfn.TEXTJOIN("",,"*SOCKET0**COMPUTE",misc[[#This Row],[Compute]],"**CPU**CORE",misc[[#This Row],[location]],splitchar,"THREAD"&amp;"*",splitchar,"DCU*CR*MC1*STATUS**")</f>
        <v>*SOCKET0**COMPUTE2**CPU**CORE123__THREAD*__DCU*CR*MC1*STATUS**</v>
      </c>
      <c r="N126">
        <f>COUNTIFS(core_mc[TestName],misc[[#This Row],[DCU_MCA_String]],core_mc[VisualId],MC_Check!$H$2)</f>
        <v>0</v>
      </c>
      <c r="O126" t="str">
        <f>_xlfn.TEXTJOIN("",,"*SOCKET0**COMPUTE",misc[[#This Row],[Compute]],"**CPU**CORE",misc[[#This Row],[location]],splitchar,"DTLB*CR*MC2*STATUS**")</f>
        <v>*SOCKET0**COMPUTE2**CPU**CORE123__DTLB*CR*MC2*STATUS**</v>
      </c>
      <c r="P126">
        <f>COUNTIFS(core_mc[TestName],misc[[#This Row],[DTLB_MCA_String]],core_mc[VisualId],MC_Check!$H$2)</f>
        <v>0</v>
      </c>
      <c r="Q126" t="str">
        <f>_xlfn.TEXTJOIN("",,"*SOCKET0**COMPUTE",misc[[#This Row],[Compute]],"**CPU**CORE",misc[[#This Row],[location]],splitchar,"THREAD"&amp;"*",splitchar,"IFU*CR*MC0*STATUS**")</f>
        <v>*SOCKET0**COMPUTE2**CPU**CORE123__THREAD*__IFU*CR*MC0*STATUS**</v>
      </c>
      <c r="R126">
        <f>COUNTIFS(core_mc[TestName],misc[[#This Row],[IFU_MCA_String]],core_mc[VisualId],MC_Check!$H$2)</f>
        <v>0</v>
      </c>
      <c r="S126" t="str">
        <f>_xlfn.TEXTJOIN("",,"*SOCKET0**COMPUTE",misc[[#This Row],[Compute]],"**CPU**CORE",misc[[#This Row],[location]],splitchar,"ML2*CR*MC3*STATUS*")</f>
        <v>*SOCKET0**COMPUTE2**CPU**CORE123__ML2*CR*MC3*STATUS*</v>
      </c>
      <c r="T126">
        <f>COUNTIFS(core_mc[TestName],misc[[#This Row],[CORE_MCA_String]],core_mc[VisualId],MC_Check!$H$2)</f>
        <v>0</v>
      </c>
      <c r="U126">
        <f>misc[[#This Row],[Core_ML2_Count]]+misc[[#This Row],[Core_IFU_Count]]+misc[[#This Row],[Core_DCU_Count]]+misc[[#This Row],[Core_DTLB_Count]]</f>
        <v>0</v>
      </c>
      <c r="V126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26" t="str">
        <f>_xlfn.TEXTJOIN("",,"*SOCKET0**COMPUTE",misc[[#This Row],[Compute]],"**UNCORE**SCF**SCF*LLC**SCF*LLC",misc[[#This Row],[location]],splitchar,"MCI*STATUS*")</f>
        <v>*SOCKET0**COMPUTE2**UNCORE**SCF**SCF*LLC**SCF*LLC123__MCI*STATUS*</v>
      </c>
      <c r="X126">
        <f>COUNTIFS(cha_mc[TestName],misc[[#This Row],[LLC_MCA_String]],cha_mc[VisualId],MC_Check!$H$2)</f>
        <v>0</v>
      </c>
    </row>
    <row r="127" spans="6:24" x14ac:dyDescent="0.35">
      <c r="F127">
        <v>2</v>
      </c>
      <c r="G127">
        <f t="shared" ref="G127:G158" si="2">G126+1</f>
        <v>124</v>
      </c>
      <c r="H127" s="5" t="b">
        <f>misc[[#This Row],[Core_Hitter_Count]]&gt;0</f>
        <v>0</v>
      </c>
      <c r="I127" t="b">
        <f>misc[[#This Row],[LLC_Hitter_Count]]&gt;0</f>
        <v>0</v>
      </c>
      <c r="J127" t="b">
        <f>misc[[#This Row],[CHA_Hitter_Count]]&gt;0</f>
        <v>0</v>
      </c>
      <c r="K127" t="str">
        <f>_xlfn.TEXTJOIN("",,"*SOCKET0**COMPUTE",misc[[#This Row],[Compute]],"**UNCORE**CHA**CHA",misc[[#This Row],[location]],splitchar,"UTIL**MC*STATUS*")</f>
        <v>*SOCKET0**COMPUTE2**UNCORE**CHA**CHA124__UTIL**MC*STATUS*</v>
      </c>
      <c r="L127">
        <f>COUNTIFS(cha_mc[TestName],misc[[#This Row],[CHA_MCA_String]],cha_mc[VisualId],MC_Check!$H$2)</f>
        <v>0</v>
      </c>
      <c r="M127" t="str">
        <f>_xlfn.TEXTJOIN("",,"*SOCKET0**COMPUTE",misc[[#This Row],[Compute]],"**CPU**CORE",misc[[#This Row],[location]],splitchar,"THREAD"&amp;"*",splitchar,"DCU*CR*MC1*STATUS**")</f>
        <v>*SOCKET0**COMPUTE2**CPU**CORE124__THREAD*__DCU*CR*MC1*STATUS**</v>
      </c>
      <c r="N127">
        <f>COUNTIFS(core_mc[TestName],misc[[#This Row],[DCU_MCA_String]],core_mc[VisualId],MC_Check!$H$2)</f>
        <v>0</v>
      </c>
      <c r="O127" t="str">
        <f>_xlfn.TEXTJOIN("",,"*SOCKET0**COMPUTE",misc[[#This Row],[Compute]],"**CPU**CORE",misc[[#This Row],[location]],splitchar,"DTLB*CR*MC2*STATUS**")</f>
        <v>*SOCKET0**COMPUTE2**CPU**CORE124__DTLB*CR*MC2*STATUS**</v>
      </c>
      <c r="P127">
        <f>COUNTIFS(core_mc[TestName],misc[[#This Row],[DTLB_MCA_String]],core_mc[VisualId],MC_Check!$H$2)</f>
        <v>0</v>
      </c>
      <c r="Q127" t="str">
        <f>_xlfn.TEXTJOIN("",,"*SOCKET0**COMPUTE",misc[[#This Row],[Compute]],"**CPU**CORE",misc[[#This Row],[location]],splitchar,"THREAD"&amp;"*",splitchar,"IFU*CR*MC0*STATUS**")</f>
        <v>*SOCKET0**COMPUTE2**CPU**CORE124__THREAD*__IFU*CR*MC0*STATUS**</v>
      </c>
      <c r="R127">
        <f>COUNTIFS(core_mc[TestName],misc[[#This Row],[IFU_MCA_String]],core_mc[VisualId],MC_Check!$H$2)</f>
        <v>0</v>
      </c>
      <c r="S127" t="str">
        <f>_xlfn.TEXTJOIN("",,"*SOCKET0**COMPUTE",misc[[#This Row],[Compute]],"**CPU**CORE",misc[[#This Row],[location]],splitchar,"ML2*CR*MC3*STATUS*")</f>
        <v>*SOCKET0**COMPUTE2**CPU**CORE124__ML2*CR*MC3*STATUS*</v>
      </c>
      <c r="T127">
        <f>COUNTIFS(core_mc[TestName],misc[[#This Row],[CORE_MCA_String]],core_mc[VisualId],MC_Check!$H$2)</f>
        <v>0</v>
      </c>
      <c r="U127">
        <f>misc[[#This Row],[Core_ML2_Count]]+misc[[#This Row],[Core_IFU_Count]]+misc[[#This Row],[Core_DCU_Count]]+misc[[#This Row],[Core_DTLB_Count]]</f>
        <v>0</v>
      </c>
      <c r="V127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27" t="str">
        <f>_xlfn.TEXTJOIN("",,"*SOCKET0**COMPUTE",misc[[#This Row],[Compute]],"**UNCORE**SCF**SCF*LLC**SCF*LLC",misc[[#This Row],[location]],splitchar,"MCI*STATUS*")</f>
        <v>*SOCKET0**COMPUTE2**UNCORE**SCF**SCF*LLC**SCF*LLC124__MCI*STATUS*</v>
      </c>
      <c r="X127">
        <f>COUNTIFS(cha_mc[TestName],misc[[#This Row],[LLC_MCA_String]],cha_mc[VisualId],MC_Check!$H$2)</f>
        <v>0</v>
      </c>
    </row>
    <row r="128" spans="6:24" x14ac:dyDescent="0.35">
      <c r="F128">
        <v>2</v>
      </c>
      <c r="G128">
        <f t="shared" si="2"/>
        <v>125</v>
      </c>
      <c r="H128" s="5" t="b">
        <f>misc[[#This Row],[Core_Hitter_Count]]&gt;0</f>
        <v>0</v>
      </c>
      <c r="I128" t="b">
        <f>misc[[#This Row],[LLC_Hitter_Count]]&gt;0</f>
        <v>0</v>
      </c>
      <c r="J128" t="b">
        <f>misc[[#This Row],[CHA_Hitter_Count]]&gt;0</f>
        <v>0</v>
      </c>
      <c r="K128" t="str">
        <f>_xlfn.TEXTJOIN("",,"*SOCKET0**COMPUTE",misc[[#This Row],[Compute]],"**UNCORE**CHA**CHA",misc[[#This Row],[location]],splitchar,"UTIL**MC*STATUS*")</f>
        <v>*SOCKET0**COMPUTE2**UNCORE**CHA**CHA125__UTIL**MC*STATUS*</v>
      </c>
      <c r="L128">
        <f>COUNTIFS(cha_mc[TestName],misc[[#This Row],[CHA_MCA_String]],cha_mc[VisualId],MC_Check!$H$2)</f>
        <v>0</v>
      </c>
      <c r="M128" t="str">
        <f>_xlfn.TEXTJOIN("",,"*SOCKET0**COMPUTE",misc[[#This Row],[Compute]],"**CPU**CORE",misc[[#This Row],[location]],splitchar,"THREAD"&amp;"*",splitchar,"DCU*CR*MC1*STATUS**")</f>
        <v>*SOCKET0**COMPUTE2**CPU**CORE125__THREAD*__DCU*CR*MC1*STATUS**</v>
      </c>
      <c r="N128">
        <f>COUNTIFS(core_mc[TestName],misc[[#This Row],[DCU_MCA_String]],core_mc[VisualId],MC_Check!$H$2)</f>
        <v>0</v>
      </c>
      <c r="O128" t="str">
        <f>_xlfn.TEXTJOIN("",,"*SOCKET0**COMPUTE",misc[[#This Row],[Compute]],"**CPU**CORE",misc[[#This Row],[location]],splitchar,"DTLB*CR*MC2*STATUS**")</f>
        <v>*SOCKET0**COMPUTE2**CPU**CORE125__DTLB*CR*MC2*STATUS**</v>
      </c>
      <c r="P128">
        <f>COUNTIFS(core_mc[TestName],misc[[#This Row],[DTLB_MCA_String]],core_mc[VisualId],MC_Check!$H$2)</f>
        <v>0</v>
      </c>
      <c r="Q128" t="str">
        <f>_xlfn.TEXTJOIN("",,"*SOCKET0**COMPUTE",misc[[#This Row],[Compute]],"**CPU**CORE",misc[[#This Row],[location]],splitchar,"THREAD"&amp;"*",splitchar,"IFU*CR*MC0*STATUS**")</f>
        <v>*SOCKET0**COMPUTE2**CPU**CORE125__THREAD*__IFU*CR*MC0*STATUS**</v>
      </c>
      <c r="R128">
        <f>COUNTIFS(core_mc[TestName],misc[[#This Row],[IFU_MCA_String]],core_mc[VisualId],MC_Check!$H$2)</f>
        <v>0</v>
      </c>
      <c r="S128" t="str">
        <f>_xlfn.TEXTJOIN("",,"*SOCKET0**COMPUTE",misc[[#This Row],[Compute]],"**CPU**CORE",misc[[#This Row],[location]],splitchar,"ML2*CR*MC3*STATUS*")</f>
        <v>*SOCKET0**COMPUTE2**CPU**CORE125__ML2*CR*MC3*STATUS*</v>
      </c>
      <c r="T128">
        <f>COUNTIFS(core_mc[TestName],misc[[#This Row],[CORE_MCA_String]],core_mc[VisualId],MC_Check!$H$2)</f>
        <v>0</v>
      </c>
      <c r="U128">
        <f>misc[[#This Row],[Core_ML2_Count]]+misc[[#This Row],[Core_IFU_Count]]+misc[[#This Row],[Core_DCU_Count]]+misc[[#This Row],[Core_DTLB_Count]]</f>
        <v>0</v>
      </c>
      <c r="V128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28" t="str">
        <f>_xlfn.TEXTJOIN("",,"*SOCKET0**COMPUTE",misc[[#This Row],[Compute]],"**UNCORE**SCF**SCF*LLC**SCF*LLC",misc[[#This Row],[location]],splitchar,"MCI*STATUS*")</f>
        <v>*SOCKET0**COMPUTE2**UNCORE**SCF**SCF*LLC**SCF*LLC125__MCI*STATUS*</v>
      </c>
      <c r="X128">
        <f>COUNTIFS(cha_mc[TestName],misc[[#This Row],[LLC_MCA_String]],cha_mc[VisualId],MC_Check!$H$2)</f>
        <v>0</v>
      </c>
    </row>
    <row r="129" spans="6:24" x14ac:dyDescent="0.35">
      <c r="F129">
        <v>2</v>
      </c>
      <c r="G129">
        <f t="shared" si="2"/>
        <v>126</v>
      </c>
      <c r="H129" s="5" t="b">
        <f>misc[[#This Row],[Core_Hitter_Count]]&gt;0</f>
        <v>0</v>
      </c>
      <c r="I129" t="b">
        <f>misc[[#This Row],[LLC_Hitter_Count]]&gt;0</f>
        <v>0</v>
      </c>
      <c r="J129" t="b">
        <f>misc[[#This Row],[CHA_Hitter_Count]]&gt;0</f>
        <v>0</v>
      </c>
      <c r="K129" t="str">
        <f>_xlfn.TEXTJOIN("",,"*SOCKET0**COMPUTE",misc[[#This Row],[Compute]],"**UNCORE**CHA**CHA",misc[[#This Row],[location]],splitchar,"UTIL**MC*STATUS*")</f>
        <v>*SOCKET0**COMPUTE2**UNCORE**CHA**CHA126__UTIL**MC*STATUS*</v>
      </c>
      <c r="L129">
        <f>COUNTIFS(cha_mc[TestName],misc[[#This Row],[CHA_MCA_String]],cha_mc[VisualId],MC_Check!$H$2)</f>
        <v>0</v>
      </c>
      <c r="M129" t="str">
        <f>_xlfn.TEXTJOIN("",,"*SOCKET0**COMPUTE",misc[[#This Row],[Compute]],"**CPU**CORE",misc[[#This Row],[location]],splitchar,"THREAD"&amp;"*",splitchar,"DCU*CR*MC1*STATUS**")</f>
        <v>*SOCKET0**COMPUTE2**CPU**CORE126__THREAD*__DCU*CR*MC1*STATUS**</v>
      </c>
      <c r="N129">
        <f>COUNTIFS(core_mc[TestName],misc[[#This Row],[DCU_MCA_String]],core_mc[VisualId],MC_Check!$H$2)</f>
        <v>0</v>
      </c>
      <c r="O129" t="str">
        <f>_xlfn.TEXTJOIN("",,"*SOCKET0**COMPUTE",misc[[#This Row],[Compute]],"**CPU**CORE",misc[[#This Row],[location]],splitchar,"DTLB*CR*MC2*STATUS**")</f>
        <v>*SOCKET0**COMPUTE2**CPU**CORE126__DTLB*CR*MC2*STATUS**</v>
      </c>
      <c r="P129">
        <f>COUNTIFS(core_mc[TestName],misc[[#This Row],[DTLB_MCA_String]],core_mc[VisualId],MC_Check!$H$2)</f>
        <v>0</v>
      </c>
      <c r="Q129" t="str">
        <f>_xlfn.TEXTJOIN("",,"*SOCKET0**COMPUTE",misc[[#This Row],[Compute]],"**CPU**CORE",misc[[#This Row],[location]],splitchar,"THREAD"&amp;"*",splitchar,"IFU*CR*MC0*STATUS**")</f>
        <v>*SOCKET0**COMPUTE2**CPU**CORE126__THREAD*__IFU*CR*MC0*STATUS**</v>
      </c>
      <c r="R129">
        <f>COUNTIFS(core_mc[TestName],misc[[#This Row],[IFU_MCA_String]],core_mc[VisualId],MC_Check!$H$2)</f>
        <v>0</v>
      </c>
      <c r="S129" t="str">
        <f>_xlfn.TEXTJOIN("",,"*SOCKET0**COMPUTE",misc[[#This Row],[Compute]],"**CPU**CORE",misc[[#This Row],[location]],splitchar,"ML2*CR*MC3*STATUS*")</f>
        <v>*SOCKET0**COMPUTE2**CPU**CORE126__ML2*CR*MC3*STATUS*</v>
      </c>
      <c r="T129">
        <f>COUNTIFS(core_mc[TestName],misc[[#This Row],[CORE_MCA_String]],core_mc[VisualId],MC_Check!$H$2)</f>
        <v>0</v>
      </c>
      <c r="U129">
        <f>misc[[#This Row],[Core_ML2_Count]]+misc[[#This Row],[Core_IFU_Count]]+misc[[#This Row],[Core_DCU_Count]]+misc[[#This Row],[Core_DTLB_Count]]</f>
        <v>0</v>
      </c>
      <c r="V129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29" t="str">
        <f>_xlfn.TEXTJOIN("",,"*SOCKET0**COMPUTE",misc[[#This Row],[Compute]],"**UNCORE**SCF**SCF*LLC**SCF*LLC",misc[[#This Row],[location]],splitchar,"MCI*STATUS*")</f>
        <v>*SOCKET0**COMPUTE2**UNCORE**SCF**SCF*LLC**SCF*LLC126__MCI*STATUS*</v>
      </c>
      <c r="X129">
        <f>COUNTIFS(cha_mc[TestName],misc[[#This Row],[LLC_MCA_String]],cha_mc[VisualId],MC_Check!$H$2)</f>
        <v>0</v>
      </c>
    </row>
    <row r="130" spans="6:24" x14ac:dyDescent="0.35">
      <c r="F130">
        <v>2</v>
      </c>
      <c r="G130">
        <f t="shared" si="2"/>
        <v>127</v>
      </c>
      <c r="H130" s="5" t="b">
        <f>misc[[#This Row],[Core_Hitter_Count]]&gt;0</f>
        <v>0</v>
      </c>
      <c r="I130" t="b">
        <f>misc[[#This Row],[LLC_Hitter_Count]]&gt;0</f>
        <v>0</v>
      </c>
      <c r="J130" t="b">
        <f>misc[[#This Row],[CHA_Hitter_Count]]&gt;0</f>
        <v>0</v>
      </c>
      <c r="K130" t="str">
        <f>_xlfn.TEXTJOIN("",,"*SOCKET0**COMPUTE",misc[[#This Row],[Compute]],"**UNCORE**CHA**CHA",misc[[#This Row],[location]],splitchar,"UTIL**MC*STATUS*")</f>
        <v>*SOCKET0**COMPUTE2**UNCORE**CHA**CHA127__UTIL**MC*STATUS*</v>
      </c>
      <c r="L130">
        <f>COUNTIFS(cha_mc[TestName],misc[[#This Row],[CHA_MCA_String]],cha_mc[VisualId],MC_Check!$H$2)</f>
        <v>0</v>
      </c>
      <c r="M130" t="str">
        <f>_xlfn.TEXTJOIN("",,"*SOCKET0**COMPUTE",misc[[#This Row],[Compute]],"**CPU**CORE",misc[[#This Row],[location]],splitchar,"THREAD"&amp;"*",splitchar,"DCU*CR*MC1*STATUS**")</f>
        <v>*SOCKET0**COMPUTE2**CPU**CORE127__THREAD*__DCU*CR*MC1*STATUS**</v>
      </c>
      <c r="N130">
        <f>COUNTIFS(core_mc[TestName],misc[[#This Row],[DCU_MCA_String]],core_mc[VisualId],MC_Check!$H$2)</f>
        <v>0</v>
      </c>
      <c r="O130" t="str">
        <f>_xlfn.TEXTJOIN("",,"*SOCKET0**COMPUTE",misc[[#This Row],[Compute]],"**CPU**CORE",misc[[#This Row],[location]],splitchar,"DTLB*CR*MC2*STATUS**")</f>
        <v>*SOCKET0**COMPUTE2**CPU**CORE127__DTLB*CR*MC2*STATUS**</v>
      </c>
      <c r="P130">
        <f>COUNTIFS(core_mc[TestName],misc[[#This Row],[DTLB_MCA_String]],core_mc[VisualId],MC_Check!$H$2)</f>
        <v>0</v>
      </c>
      <c r="Q130" t="str">
        <f>_xlfn.TEXTJOIN("",,"*SOCKET0**COMPUTE",misc[[#This Row],[Compute]],"**CPU**CORE",misc[[#This Row],[location]],splitchar,"THREAD"&amp;"*",splitchar,"IFU*CR*MC0*STATUS**")</f>
        <v>*SOCKET0**COMPUTE2**CPU**CORE127__THREAD*__IFU*CR*MC0*STATUS**</v>
      </c>
      <c r="R130">
        <f>COUNTIFS(core_mc[TestName],misc[[#This Row],[IFU_MCA_String]],core_mc[VisualId],MC_Check!$H$2)</f>
        <v>0</v>
      </c>
      <c r="S130" t="str">
        <f>_xlfn.TEXTJOIN("",,"*SOCKET0**COMPUTE",misc[[#This Row],[Compute]],"**CPU**CORE",misc[[#This Row],[location]],splitchar,"ML2*CR*MC3*STATUS*")</f>
        <v>*SOCKET0**COMPUTE2**CPU**CORE127__ML2*CR*MC3*STATUS*</v>
      </c>
      <c r="T130">
        <f>COUNTIFS(core_mc[TestName],misc[[#This Row],[CORE_MCA_String]],core_mc[VisualId],MC_Check!$H$2)</f>
        <v>0</v>
      </c>
      <c r="U130">
        <f>misc[[#This Row],[Core_ML2_Count]]+misc[[#This Row],[Core_IFU_Count]]+misc[[#This Row],[Core_DCU_Count]]+misc[[#This Row],[Core_DTLB_Count]]</f>
        <v>0</v>
      </c>
      <c r="V130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30" t="str">
        <f>_xlfn.TEXTJOIN("",,"*SOCKET0**COMPUTE",misc[[#This Row],[Compute]],"**UNCORE**SCF**SCF*LLC**SCF*LLC",misc[[#This Row],[location]],splitchar,"MCI*STATUS*")</f>
        <v>*SOCKET0**COMPUTE2**UNCORE**SCF**SCF*LLC**SCF*LLC127__MCI*STATUS*</v>
      </c>
      <c r="X130">
        <f>COUNTIFS(cha_mc[TestName],misc[[#This Row],[LLC_MCA_String]],cha_mc[VisualId],MC_Check!$H$2)</f>
        <v>0</v>
      </c>
    </row>
    <row r="131" spans="6:24" x14ac:dyDescent="0.35">
      <c r="F131">
        <v>2</v>
      </c>
      <c r="G131">
        <f t="shared" si="2"/>
        <v>128</v>
      </c>
      <c r="H131" s="5" t="b">
        <f>misc[[#This Row],[Core_Hitter_Count]]&gt;0</f>
        <v>0</v>
      </c>
      <c r="I131" t="b">
        <f>misc[[#This Row],[LLC_Hitter_Count]]&gt;0</f>
        <v>0</v>
      </c>
      <c r="J131" t="b">
        <f>misc[[#This Row],[CHA_Hitter_Count]]&gt;0</f>
        <v>0</v>
      </c>
      <c r="K131" t="str">
        <f>_xlfn.TEXTJOIN("",,"*SOCKET0**COMPUTE",misc[[#This Row],[Compute]],"**UNCORE**CHA**CHA",misc[[#This Row],[location]],splitchar,"UTIL**MC*STATUS*")</f>
        <v>*SOCKET0**COMPUTE2**UNCORE**CHA**CHA128__UTIL**MC*STATUS*</v>
      </c>
      <c r="L131">
        <f>COUNTIFS(cha_mc[TestName],misc[[#This Row],[CHA_MCA_String]],cha_mc[VisualId],MC_Check!$H$2)</f>
        <v>0</v>
      </c>
      <c r="M131" t="str">
        <f>_xlfn.TEXTJOIN("",,"*SOCKET0**COMPUTE",misc[[#This Row],[Compute]],"**CPU**CORE",misc[[#This Row],[location]],splitchar,"THREAD"&amp;"*",splitchar,"DCU*CR*MC1*STATUS**")</f>
        <v>*SOCKET0**COMPUTE2**CPU**CORE128__THREAD*__DCU*CR*MC1*STATUS**</v>
      </c>
      <c r="N131">
        <f>COUNTIFS(core_mc[TestName],misc[[#This Row],[DCU_MCA_String]],core_mc[VisualId],MC_Check!$H$2)</f>
        <v>0</v>
      </c>
      <c r="O131" t="str">
        <f>_xlfn.TEXTJOIN("",,"*SOCKET0**COMPUTE",misc[[#This Row],[Compute]],"**CPU**CORE",misc[[#This Row],[location]],splitchar,"DTLB*CR*MC2*STATUS**")</f>
        <v>*SOCKET0**COMPUTE2**CPU**CORE128__DTLB*CR*MC2*STATUS**</v>
      </c>
      <c r="P131">
        <f>COUNTIFS(core_mc[TestName],misc[[#This Row],[DTLB_MCA_String]],core_mc[VisualId],MC_Check!$H$2)</f>
        <v>0</v>
      </c>
      <c r="Q131" t="str">
        <f>_xlfn.TEXTJOIN("",,"*SOCKET0**COMPUTE",misc[[#This Row],[Compute]],"**CPU**CORE",misc[[#This Row],[location]],splitchar,"THREAD"&amp;"*",splitchar,"IFU*CR*MC0*STATUS**")</f>
        <v>*SOCKET0**COMPUTE2**CPU**CORE128__THREAD*__IFU*CR*MC0*STATUS**</v>
      </c>
      <c r="R131">
        <f>COUNTIFS(core_mc[TestName],misc[[#This Row],[IFU_MCA_String]],core_mc[VisualId],MC_Check!$H$2)</f>
        <v>0</v>
      </c>
      <c r="S131" t="str">
        <f>_xlfn.TEXTJOIN("",,"*SOCKET0**COMPUTE",misc[[#This Row],[Compute]],"**CPU**CORE",misc[[#This Row],[location]],splitchar,"ML2*CR*MC3*STATUS*")</f>
        <v>*SOCKET0**COMPUTE2**CPU**CORE128__ML2*CR*MC3*STATUS*</v>
      </c>
      <c r="T131">
        <f>COUNTIFS(core_mc[TestName],misc[[#This Row],[CORE_MCA_String]],core_mc[VisualId],MC_Check!$H$2)</f>
        <v>0</v>
      </c>
      <c r="U131">
        <f>misc[[#This Row],[Core_ML2_Count]]+misc[[#This Row],[Core_IFU_Count]]+misc[[#This Row],[Core_DCU_Count]]+misc[[#This Row],[Core_DTLB_Count]]</f>
        <v>0</v>
      </c>
      <c r="V131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31" t="str">
        <f>_xlfn.TEXTJOIN("",,"*SOCKET0**COMPUTE",misc[[#This Row],[Compute]],"**UNCORE**SCF**SCF*LLC**SCF*LLC",misc[[#This Row],[location]],splitchar,"MCI*STATUS*")</f>
        <v>*SOCKET0**COMPUTE2**UNCORE**SCF**SCF*LLC**SCF*LLC128__MCI*STATUS*</v>
      </c>
      <c r="X131">
        <f>COUNTIFS(cha_mc[TestName],misc[[#This Row],[LLC_MCA_String]],cha_mc[VisualId],MC_Check!$H$2)</f>
        <v>0</v>
      </c>
    </row>
    <row r="132" spans="6:24" x14ac:dyDescent="0.35">
      <c r="F132">
        <v>2</v>
      </c>
      <c r="G132">
        <f t="shared" si="2"/>
        <v>129</v>
      </c>
      <c r="H132" s="5" t="b">
        <f>misc[[#This Row],[Core_Hitter_Count]]&gt;0</f>
        <v>0</v>
      </c>
      <c r="I132" t="b">
        <f>misc[[#This Row],[LLC_Hitter_Count]]&gt;0</f>
        <v>0</v>
      </c>
      <c r="J132" t="b">
        <f>misc[[#This Row],[CHA_Hitter_Count]]&gt;0</f>
        <v>0</v>
      </c>
      <c r="K132" t="str">
        <f>_xlfn.TEXTJOIN("",,"*SOCKET0**COMPUTE",misc[[#This Row],[Compute]],"**UNCORE**CHA**CHA",misc[[#This Row],[location]],splitchar,"UTIL**MC*STATUS*")</f>
        <v>*SOCKET0**COMPUTE2**UNCORE**CHA**CHA129__UTIL**MC*STATUS*</v>
      </c>
      <c r="L132">
        <f>COUNTIFS(cha_mc[TestName],misc[[#This Row],[CHA_MCA_String]],cha_mc[VisualId],MC_Check!$H$2)</f>
        <v>0</v>
      </c>
      <c r="M132" t="str">
        <f>_xlfn.TEXTJOIN("",,"*SOCKET0**COMPUTE",misc[[#This Row],[Compute]],"**CPU**CORE",misc[[#This Row],[location]],splitchar,"THREAD"&amp;"*",splitchar,"DCU*CR*MC1*STATUS**")</f>
        <v>*SOCKET0**COMPUTE2**CPU**CORE129__THREAD*__DCU*CR*MC1*STATUS**</v>
      </c>
      <c r="N132">
        <f>COUNTIFS(core_mc[TestName],misc[[#This Row],[DCU_MCA_String]],core_mc[VisualId],MC_Check!$H$2)</f>
        <v>0</v>
      </c>
      <c r="O132" t="str">
        <f>_xlfn.TEXTJOIN("",,"*SOCKET0**COMPUTE",misc[[#This Row],[Compute]],"**CPU**CORE",misc[[#This Row],[location]],splitchar,"DTLB*CR*MC2*STATUS**")</f>
        <v>*SOCKET0**COMPUTE2**CPU**CORE129__DTLB*CR*MC2*STATUS**</v>
      </c>
      <c r="P132">
        <f>COUNTIFS(core_mc[TestName],misc[[#This Row],[DTLB_MCA_String]],core_mc[VisualId],MC_Check!$H$2)</f>
        <v>0</v>
      </c>
      <c r="Q132" t="str">
        <f>_xlfn.TEXTJOIN("",,"*SOCKET0**COMPUTE",misc[[#This Row],[Compute]],"**CPU**CORE",misc[[#This Row],[location]],splitchar,"THREAD"&amp;"*",splitchar,"IFU*CR*MC0*STATUS**")</f>
        <v>*SOCKET0**COMPUTE2**CPU**CORE129__THREAD*__IFU*CR*MC0*STATUS**</v>
      </c>
      <c r="R132">
        <f>COUNTIFS(core_mc[TestName],misc[[#This Row],[IFU_MCA_String]],core_mc[VisualId],MC_Check!$H$2)</f>
        <v>0</v>
      </c>
      <c r="S132" t="str">
        <f>_xlfn.TEXTJOIN("",,"*SOCKET0**COMPUTE",misc[[#This Row],[Compute]],"**CPU**CORE",misc[[#This Row],[location]],splitchar,"ML2*CR*MC3*STATUS*")</f>
        <v>*SOCKET0**COMPUTE2**CPU**CORE129__ML2*CR*MC3*STATUS*</v>
      </c>
      <c r="T132">
        <f>COUNTIFS(core_mc[TestName],misc[[#This Row],[CORE_MCA_String]],core_mc[VisualId],MC_Check!$H$2)</f>
        <v>0</v>
      </c>
      <c r="U132">
        <f>misc[[#This Row],[Core_ML2_Count]]+misc[[#This Row],[Core_IFU_Count]]+misc[[#This Row],[Core_DCU_Count]]+misc[[#This Row],[Core_DTLB_Count]]</f>
        <v>0</v>
      </c>
      <c r="V132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32" t="str">
        <f>_xlfn.TEXTJOIN("",,"*SOCKET0**COMPUTE",misc[[#This Row],[Compute]],"**UNCORE**SCF**SCF*LLC**SCF*LLC",misc[[#This Row],[location]],splitchar,"MCI*STATUS*")</f>
        <v>*SOCKET0**COMPUTE2**UNCORE**SCF**SCF*LLC**SCF*LLC129__MCI*STATUS*</v>
      </c>
      <c r="X132">
        <f>COUNTIFS(cha_mc[TestName],misc[[#This Row],[LLC_MCA_String]],cha_mc[VisualId],MC_Check!$H$2)</f>
        <v>0</v>
      </c>
    </row>
    <row r="133" spans="6:24" x14ac:dyDescent="0.35">
      <c r="F133">
        <v>2</v>
      </c>
      <c r="G133">
        <f t="shared" si="2"/>
        <v>130</v>
      </c>
      <c r="H133" s="5" t="b">
        <f>misc[[#This Row],[Core_Hitter_Count]]&gt;0</f>
        <v>0</v>
      </c>
      <c r="I133" t="b">
        <f>misc[[#This Row],[LLC_Hitter_Count]]&gt;0</f>
        <v>0</v>
      </c>
      <c r="J133" t="b">
        <f>misc[[#This Row],[CHA_Hitter_Count]]&gt;0</f>
        <v>0</v>
      </c>
      <c r="K133" t="str">
        <f>_xlfn.TEXTJOIN("",,"*SOCKET0**COMPUTE",misc[[#This Row],[Compute]],"**UNCORE**CHA**CHA",misc[[#This Row],[location]],splitchar,"UTIL**MC*STATUS*")</f>
        <v>*SOCKET0**COMPUTE2**UNCORE**CHA**CHA130__UTIL**MC*STATUS*</v>
      </c>
      <c r="L133">
        <f>COUNTIFS(cha_mc[TestName],misc[[#This Row],[CHA_MCA_String]],cha_mc[VisualId],MC_Check!$H$2)</f>
        <v>0</v>
      </c>
      <c r="M133" t="str">
        <f>_xlfn.TEXTJOIN("",,"*SOCKET0**COMPUTE",misc[[#This Row],[Compute]],"**CPU**CORE",misc[[#This Row],[location]],splitchar,"THREAD"&amp;"*",splitchar,"DCU*CR*MC1*STATUS**")</f>
        <v>*SOCKET0**COMPUTE2**CPU**CORE130__THREAD*__DCU*CR*MC1*STATUS**</v>
      </c>
      <c r="N133">
        <f>COUNTIFS(core_mc[TestName],misc[[#This Row],[DCU_MCA_String]],core_mc[VisualId],MC_Check!$H$2)</f>
        <v>0</v>
      </c>
      <c r="O133" t="str">
        <f>_xlfn.TEXTJOIN("",,"*SOCKET0**COMPUTE",misc[[#This Row],[Compute]],"**CPU**CORE",misc[[#This Row],[location]],splitchar,"DTLB*CR*MC2*STATUS**")</f>
        <v>*SOCKET0**COMPUTE2**CPU**CORE130__DTLB*CR*MC2*STATUS**</v>
      </c>
      <c r="P133">
        <f>COUNTIFS(core_mc[TestName],misc[[#This Row],[DTLB_MCA_String]],core_mc[VisualId],MC_Check!$H$2)</f>
        <v>0</v>
      </c>
      <c r="Q133" t="str">
        <f>_xlfn.TEXTJOIN("",,"*SOCKET0**COMPUTE",misc[[#This Row],[Compute]],"**CPU**CORE",misc[[#This Row],[location]],splitchar,"THREAD"&amp;"*",splitchar,"IFU*CR*MC0*STATUS**")</f>
        <v>*SOCKET0**COMPUTE2**CPU**CORE130__THREAD*__IFU*CR*MC0*STATUS**</v>
      </c>
      <c r="R133">
        <f>COUNTIFS(core_mc[TestName],misc[[#This Row],[IFU_MCA_String]],core_mc[VisualId],MC_Check!$H$2)</f>
        <v>0</v>
      </c>
      <c r="S133" t="str">
        <f>_xlfn.TEXTJOIN("",,"*SOCKET0**COMPUTE",misc[[#This Row],[Compute]],"**CPU**CORE",misc[[#This Row],[location]],splitchar,"ML2*CR*MC3*STATUS*")</f>
        <v>*SOCKET0**COMPUTE2**CPU**CORE130__ML2*CR*MC3*STATUS*</v>
      </c>
      <c r="T133">
        <f>COUNTIFS(core_mc[TestName],misc[[#This Row],[CORE_MCA_String]],core_mc[VisualId],MC_Check!$H$2)</f>
        <v>0</v>
      </c>
      <c r="U133">
        <f>misc[[#This Row],[Core_ML2_Count]]+misc[[#This Row],[Core_IFU_Count]]+misc[[#This Row],[Core_DCU_Count]]+misc[[#This Row],[Core_DTLB_Count]]</f>
        <v>0</v>
      </c>
      <c r="V133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33" t="str">
        <f>_xlfn.TEXTJOIN("",,"*SOCKET0**COMPUTE",misc[[#This Row],[Compute]],"**UNCORE**SCF**SCF*LLC**SCF*LLC",misc[[#This Row],[location]],splitchar,"MCI*STATUS*")</f>
        <v>*SOCKET0**COMPUTE2**UNCORE**SCF**SCF*LLC**SCF*LLC130__MCI*STATUS*</v>
      </c>
      <c r="X133">
        <f>COUNTIFS(cha_mc[TestName],misc[[#This Row],[LLC_MCA_String]],cha_mc[VisualId],MC_Check!$H$2)</f>
        <v>0</v>
      </c>
    </row>
    <row r="134" spans="6:24" x14ac:dyDescent="0.35">
      <c r="F134">
        <v>2</v>
      </c>
      <c r="G134">
        <f t="shared" si="2"/>
        <v>131</v>
      </c>
      <c r="H134" s="5" t="b">
        <f>misc[[#This Row],[Core_Hitter_Count]]&gt;0</f>
        <v>0</v>
      </c>
      <c r="I134" t="b">
        <f>misc[[#This Row],[LLC_Hitter_Count]]&gt;0</f>
        <v>0</v>
      </c>
      <c r="J134" t="b">
        <f>misc[[#This Row],[CHA_Hitter_Count]]&gt;0</f>
        <v>0</v>
      </c>
      <c r="K134" t="str">
        <f>_xlfn.TEXTJOIN("",,"*SOCKET0**COMPUTE",misc[[#This Row],[Compute]],"**UNCORE**CHA**CHA",misc[[#This Row],[location]],splitchar,"UTIL**MC*STATUS*")</f>
        <v>*SOCKET0**COMPUTE2**UNCORE**CHA**CHA131__UTIL**MC*STATUS*</v>
      </c>
      <c r="L134">
        <f>COUNTIFS(cha_mc[TestName],misc[[#This Row],[CHA_MCA_String]],cha_mc[VisualId],MC_Check!$H$2)</f>
        <v>0</v>
      </c>
      <c r="M134" t="str">
        <f>_xlfn.TEXTJOIN("",,"*SOCKET0**COMPUTE",misc[[#This Row],[Compute]],"**CPU**CORE",misc[[#This Row],[location]],splitchar,"THREAD"&amp;"*",splitchar,"DCU*CR*MC1*STATUS**")</f>
        <v>*SOCKET0**COMPUTE2**CPU**CORE131__THREAD*__DCU*CR*MC1*STATUS**</v>
      </c>
      <c r="N134">
        <f>COUNTIFS(core_mc[TestName],misc[[#This Row],[DCU_MCA_String]],core_mc[VisualId],MC_Check!$H$2)</f>
        <v>0</v>
      </c>
      <c r="O134" t="str">
        <f>_xlfn.TEXTJOIN("",,"*SOCKET0**COMPUTE",misc[[#This Row],[Compute]],"**CPU**CORE",misc[[#This Row],[location]],splitchar,"DTLB*CR*MC2*STATUS**")</f>
        <v>*SOCKET0**COMPUTE2**CPU**CORE131__DTLB*CR*MC2*STATUS**</v>
      </c>
      <c r="P134">
        <f>COUNTIFS(core_mc[TestName],misc[[#This Row],[DTLB_MCA_String]],core_mc[VisualId],MC_Check!$H$2)</f>
        <v>0</v>
      </c>
      <c r="Q134" t="str">
        <f>_xlfn.TEXTJOIN("",,"*SOCKET0**COMPUTE",misc[[#This Row],[Compute]],"**CPU**CORE",misc[[#This Row],[location]],splitchar,"THREAD"&amp;"*",splitchar,"IFU*CR*MC0*STATUS**")</f>
        <v>*SOCKET0**COMPUTE2**CPU**CORE131__THREAD*__IFU*CR*MC0*STATUS**</v>
      </c>
      <c r="R134">
        <f>COUNTIFS(core_mc[TestName],misc[[#This Row],[IFU_MCA_String]],core_mc[VisualId],MC_Check!$H$2)</f>
        <v>0</v>
      </c>
      <c r="S134" t="str">
        <f>_xlfn.TEXTJOIN("",,"*SOCKET0**COMPUTE",misc[[#This Row],[Compute]],"**CPU**CORE",misc[[#This Row],[location]],splitchar,"ML2*CR*MC3*STATUS*")</f>
        <v>*SOCKET0**COMPUTE2**CPU**CORE131__ML2*CR*MC3*STATUS*</v>
      </c>
      <c r="T134">
        <f>COUNTIFS(core_mc[TestName],misc[[#This Row],[CORE_MCA_String]],core_mc[VisualId],MC_Check!$H$2)</f>
        <v>0</v>
      </c>
      <c r="U134">
        <f>misc[[#This Row],[Core_ML2_Count]]+misc[[#This Row],[Core_IFU_Count]]+misc[[#This Row],[Core_DCU_Count]]+misc[[#This Row],[Core_DTLB_Count]]</f>
        <v>0</v>
      </c>
      <c r="V134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34" t="str">
        <f>_xlfn.TEXTJOIN("",,"*SOCKET0**COMPUTE",misc[[#This Row],[Compute]],"**UNCORE**SCF**SCF*LLC**SCF*LLC",misc[[#This Row],[location]],splitchar,"MCI*STATUS*")</f>
        <v>*SOCKET0**COMPUTE2**UNCORE**SCF**SCF*LLC**SCF*LLC131__MCI*STATUS*</v>
      </c>
      <c r="X134">
        <f>COUNTIFS(cha_mc[TestName],misc[[#This Row],[LLC_MCA_String]],cha_mc[VisualId],MC_Check!$H$2)</f>
        <v>0</v>
      </c>
    </row>
    <row r="135" spans="6:24" x14ac:dyDescent="0.35">
      <c r="F135">
        <v>2</v>
      </c>
      <c r="G135">
        <f t="shared" si="2"/>
        <v>132</v>
      </c>
      <c r="H135" s="5" t="b">
        <f>misc[[#This Row],[Core_Hitter_Count]]&gt;0</f>
        <v>0</v>
      </c>
      <c r="I135" t="b">
        <f>misc[[#This Row],[LLC_Hitter_Count]]&gt;0</f>
        <v>0</v>
      </c>
      <c r="J135" t="b">
        <f>misc[[#This Row],[CHA_Hitter_Count]]&gt;0</f>
        <v>0</v>
      </c>
      <c r="K135" t="str">
        <f>_xlfn.TEXTJOIN("",,"*SOCKET0**COMPUTE",misc[[#This Row],[Compute]],"**UNCORE**CHA**CHA",misc[[#This Row],[location]],splitchar,"UTIL**MC*STATUS*")</f>
        <v>*SOCKET0**COMPUTE2**UNCORE**CHA**CHA132__UTIL**MC*STATUS*</v>
      </c>
      <c r="L135">
        <f>COUNTIFS(cha_mc[TestName],misc[[#This Row],[CHA_MCA_String]],cha_mc[VisualId],MC_Check!$H$2)</f>
        <v>0</v>
      </c>
      <c r="M135" t="str">
        <f>_xlfn.TEXTJOIN("",,"*SOCKET0**COMPUTE",misc[[#This Row],[Compute]],"**CPU**CORE",misc[[#This Row],[location]],splitchar,"THREAD"&amp;"*",splitchar,"DCU*CR*MC1*STATUS**")</f>
        <v>*SOCKET0**COMPUTE2**CPU**CORE132__THREAD*__DCU*CR*MC1*STATUS**</v>
      </c>
      <c r="N135">
        <f>COUNTIFS(core_mc[TestName],misc[[#This Row],[DCU_MCA_String]],core_mc[VisualId],MC_Check!$H$2)</f>
        <v>0</v>
      </c>
      <c r="O135" t="str">
        <f>_xlfn.TEXTJOIN("",,"*SOCKET0**COMPUTE",misc[[#This Row],[Compute]],"**CPU**CORE",misc[[#This Row],[location]],splitchar,"DTLB*CR*MC2*STATUS**")</f>
        <v>*SOCKET0**COMPUTE2**CPU**CORE132__DTLB*CR*MC2*STATUS**</v>
      </c>
      <c r="P135">
        <f>COUNTIFS(core_mc[TestName],misc[[#This Row],[DTLB_MCA_String]],core_mc[VisualId],MC_Check!$H$2)</f>
        <v>0</v>
      </c>
      <c r="Q135" t="str">
        <f>_xlfn.TEXTJOIN("",,"*SOCKET0**COMPUTE",misc[[#This Row],[Compute]],"**CPU**CORE",misc[[#This Row],[location]],splitchar,"THREAD"&amp;"*",splitchar,"IFU*CR*MC0*STATUS**")</f>
        <v>*SOCKET0**COMPUTE2**CPU**CORE132__THREAD*__IFU*CR*MC0*STATUS**</v>
      </c>
      <c r="R135">
        <f>COUNTIFS(core_mc[TestName],misc[[#This Row],[IFU_MCA_String]],core_mc[VisualId],MC_Check!$H$2)</f>
        <v>0</v>
      </c>
      <c r="S135" t="str">
        <f>_xlfn.TEXTJOIN("",,"*SOCKET0**COMPUTE",misc[[#This Row],[Compute]],"**CPU**CORE",misc[[#This Row],[location]],splitchar,"ML2*CR*MC3*STATUS*")</f>
        <v>*SOCKET0**COMPUTE2**CPU**CORE132__ML2*CR*MC3*STATUS*</v>
      </c>
      <c r="T135">
        <f>COUNTIFS(core_mc[TestName],misc[[#This Row],[CORE_MCA_String]],core_mc[VisualId],MC_Check!$H$2)</f>
        <v>0</v>
      </c>
      <c r="U135">
        <f>misc[[#This Row],[Core_ML2_Count]]+misc[[#This Row],[Core_IFU_Count]]+misc[[#This Row],[Core_DCU_Count]]+misc[[#This Row],[Core_DTLB_Count]]</f>
        <v>0</v>
      </c>
      <c r="V135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35" t="str">
        <f>_xlfn.TEXTJOIN("",,"*SOCKET0**COMPUTE",misc[[#This Row],[Compute]],"**UNCORE**SCF**SCF*LLC**SCF*LLC",misc[[#This Row],[location]],splitchar,"MCI*STATUS*")</f>
        <v>*SOCKET0**COMPUTE2**UNCORE**SCF**SCF*LLC**SCF*LLC132__MCI*STATUS*</v>
      </c>
      <c r="X135">
        <f>COUNTIFS(cha_mc[TestName],misc[[#This Row],[LLC_MCA_String]],cha_mc[VisualId],MC_Check!$H$2)</f>
        <v>0</v>
      </c>
    </row>
    <row r="136" spans="6:24" x14ac:dyDescent="0.35">
      <c r="F136">
        <v>2</v>
      </c>
      <c r="G136">
        <f t="shared" si="2"/>
        <v>133</v>
      </c>
      <c r="H136" s="5" t="b">
        <f>misc[[#This Row],[Core_Hitter_Count]]&gt;0</f>
        <v>0</v>
      </c>
      <c r="I136" t="b">
        <f>misc[[#This Row],[LLC_Hitter_Count]]&gt;0</f>
        <v>0</v>
      </c>
      <c r="J136" t="b">
        <f>misc[[#This Row],[CHA_Hitter_Count]]&gt;0</f>
        <v>0</v>
      </c>
      <c r="K136" t="str">
        <f>_xlfn.TEXTJOIN("",,"*SOCKET0**COMPUTE",misc[[#This Row],[Compute]],"**UNCORE**CHA**CHA",misc[[#This Row],[location]],splitchar,"UTIL**MC*STATUS*")</f>
        <v>*SOCKET0**COMPUTE2**UNCORE**CHA**CHA133__UTIL**MC*STATUS*</v>
      </c>
      <c r="L136">
        <f>COUNTIFS(cha_mc[TestName],misc[[#This Row],[CHA_MCA_String]],cha_mc[VisualId],MC_Check!$H$2)</f>
        <v>0</v>
      </c>
      <c r="M136" t="str">
        <f>_xlfn.TEXTJOIN("",,"*SOCKET0**COMPUTE",misc[[#This Row],[Compute]],"**CPU**CORE",misc[[#This Row],[location]],splitchar,"THREAD"&amp;"*",splitchar,"DCU*CR*MC1*STATUS**")</f>
        <v>*SOCKET0**COMPUTE2**CPU**CORE133__THREAD*__DCU*CR*MC1*STATUS**</v>
      </c>
      <c r="N136">
        <f>COUNTIFS(core_mc[TestName],misc[[#This Row],[DCU_MCA_String]],core_mc[VisualId],MC_Check!$H$2)</f>
        <v>0</v>
      </c>
      <c r="O136" t="str">
        <f>_xlfn.TEXTJOIN("",,"*SOCKET0**COMPUTE",misc[[#This Row],[Compute]],"**CPU**CORE",misc[[#This Row],[location]],splitchar,"DTLB*CR*MC2*STATUS**")</f>
        <v>*SOCKET0**COMPUTE2**CPU**CORE133__DTLB*CR*MC2*STATUS**</v>
      </c>
      <c r="P136">
        <f>COUNTIFS(core_mc[TestName],misc[[#This Row],[DTLB_MCA_String]],core_mc[VisualId],MC_Check!$H$2)</f>
        <v>0</v>
      </c>
      <c r="Q136" t="str">
        <f>_xlfn.TEXTJOIN("",,"*SOCKET0**COMPUTE",misc[[#This Row],[Compute]],"**CPU**CORE",misc[[#This Row],[location]],splitchar,"THREAD"&amp;"*",splitchar,"IFU*CR*MC0*STATUS**")</f>
        <v>*SOCKET0**COMPUTE2**CPU**CORE133__THREAD*__IFU*CR*MC0*STATUS**</v>
      </c>
      <c r="R136">
        <f>COUNTIFS(core_mc[TestName],misc[[#This Row],[IFU_MCA_String]],core_mc[VisualId],MC_Check!$H$2)</f>
        <v>0</v>
      </c>
      <c r="S136" t="str">
        <f>_xlfn.TEXTJOIN("",,"*SOCKET0**COMPUTE",misc[[#This Row],[Compute]],"**CPU**CORE",misc[[#This Row],[location]],splitchar,"ML2*CR*MC3*STATUS*")</f>
        <v>*SOCKET0**COMPUTE2**CPU**CORE133__ML2*CR*MC3*STATUS*</v>
      </c>
      <c r="T136">
        <f>COUNTIFS(core_mc[TestName],misc[[#This Row],[CORE_MCA_String]],core_mc[VisualId],MC_Check!$H$2)</f>
        <v>0</v>
      </c>
      <c r="U136">
        <f>misc[[#This Row],[Core_ML2_Count]]+misc[[#This Row],[Core_IFU_Count]]+misc[[#This Row],[Core_DCU_Count]]+misc[[#This Row],[Core_DTLB_Count]]</f>
        <v>0</v>
      </c>
      <c r="V136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36" t="str">
        <f>_xlfn.TEXTJOIN("",,"*SOCKET0**COMPUTE",misc[[#This Row],[Compute]],"**UNCORE**SCF**SCF*LLC**SCF*LLC",misc[[#This Row],[location]],splitchar,"MCI*STATUS*")</f>
        <v>*SOCKET0**COMPUTE2**UNCORE**SCF**SCF*LLC**SCF*LLC133__MCI*STATUS*</v>
      </c>
      <c r="X136">
        <f>COUNTIFS(cha_mc[TestName],misc[[#This Row],[LLC_MCA_String]],cha_mc[VisualId],MC_Check!$H$2)</f>
        <v>0</v>
      </c>
    </row>
    <row r="137" spans="6:24" x14ac:dyDescent="0.35">
      <c r="F137">
        <v>2</v>
      </c>
      <c r="G137">
        <f t="shared" si="2"/>
        <v>134</v>
      </c>
      <c r="H137" s="5" t="b">
        <f>misc[[#This Row],[Core_Hitter_Count]]&gt;0</f>
        <v>0</v>
      </c>
      <c r="I137" t="b">
        <f>misc[[#This Row],[LLC_Hitter_Count]]&gt;0</f>
        <v>0</v>
      </c>
      <c r="J137" t="b">
        <f>misc[[#This Row],[CHA_Hitter_Count]]&gt;0</f>
        <v>0</v>
      </c>
      <c r="K137" t="str">
        <f>_xlfn.TEXTJOIN("",,"*SOCKET0**COMPUTE",misc[[#This Row],[Compute]],"**UNCORE**CHA**CHA",misc[[#This Row],[location]],splitchar,"UTIL**MC*STATUS*")</f>
        <v>*SOCKET0**COMPUTE2**UNCORE**CHA**CHA134__UTIL**MC*STATUS*</v>
      </c>
      <c r="L137">
        <f>COUNTIFS(cha_mc[TestName],misc[[#This Row],[CHA_MCA_String]],cha_mc[VisualId],MC_Check!$H$2)</f>
        <v>0</v>
      </c>
      <c r="M137" t="str">
        <f>_xlfn.TEXTJOIN("",,"*SOCKET0**COMPUTE",misc[[#This Row],[Compute]],"**CPU**CORE",misc[[#This Row],[location]],splitchar,"THREAD"&amp;"*",splitchar,"DCU*CR*MC1*STATUS**")</f>
        <v>*SOCKET0**COMPUTE2**CPU**CORE134__THREAD*__DCU*CR*MC1*STATUS**</v>
      </c>
      <c r="N137">
        <f>COUNTIFS(core_mc[TestName],misc[[#This Row],[DCU_MCA_String]],core_mc[VisualId],MC_Check!$H$2)</f>
        <v>0</v>
      </c>
      <c r="O137" t="str">
        <f>_xlfn.TEXTJOIN("",,"*SOCKET0**COMPUTE",misc[[#This Row],[Compute]],"**CPU**CORE",misc[[#This Row],[location]],splitchar,"DTLB*CR*MC2*STATUS**")</f>
        <v>*SOCKET0**COMPUTE2**CPU**CORE134__DTLB*CR*MC2*STATUS**</v>
      </c>
      <c r="P137">
        <f>COUNTIFS(core_mc[TestName],misc[[#This Row],[DTLB_MCA_String]],core_mc[VisualId],MC_Check!$H$2)</f>
        <v>0</v>
      </c>
      <c r="Q137" t="str">
        <f>_xlfn.TEXTJOIN("",,"*SOCKET0**COMPUTE",misc[[#This Row],[Compute]],"**CPU**CORE",misc[[#This Row],[location]],splitchar,"THREAD"&amp;"*",splitchar,"IFU*CR*MC0*STATUS**")</f>
        <v>*SOCKET0**COMPUTE2**CPU**CORE134__THREAD*__IFU*CR*MC0*STATUS**</v>
      </c>
      <c r="R137">
        <f>COUNTIFS(core_mc[TestName],misc[[#This Row],[IFU_MCA_String]],core_mc[VisualId],MC_Check!$H$2)</f>
        <v>0</v>
      </c>
      <c r="S137" t="str">
        <f>_xlfn.TEXTJOIN("",,"*SOCKET0**COMPUTE",misc[[#This Row],[Compute]],"**CPU**CORE",misc[[#This Row],[location]],splitchar,"ML2*CR*MC3*STATUS*")</f>
        <v>*SOCKET0**COMPUTE2**CPU**CORE134__ML2*CR*MC3*STATUS*</v>
      </c>
      <c r="T137">
        <f>COUNTIFS(core_mc[TestName],misc[[#This Row],[CORE_MCA_String]],core_mc[VisualId],MC_Check!$H$2)</f>
        <v>0</v>
      </c>
      <c r="U137">
        <f>misc[[#This Row],[Core_ML2_Count]]+misc[[#This Row],[Core_IFU_Count]]+misc[[#This Row],[Core_DCU_Count]]+misc[[#This Row],[Core_DTLB_Count]]</f>
        <v>0</v>
      </c>
      <c r="V137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37" t="str">
        <f>_xlfn.TEXTJOIN("",,"*SOCKET0**COMPUTE",misc[[#This Row],[Compute]],"**UNCORE**SCF**SCF*LLC**SCF*LLC",misc[[#This Row],[location]],splitchar,"MCI*STATUS*")</f>
        <v>*SOCKET0**COMPUTE2**UNCORE**SCF**SCF*LLC**SCF*LLC134__MCI*STATUS*</v>
      </c>
      <c r="X137">
        <f>COUNTIFS(cha_mc[TestName],misc[[#This Row],[LLC_MCA_String]],cha_mc[VisualId],MC_Check!$H$2)</f>
        <v>0</v>
      </c>
    </row>
    <row r="138" spans="6:24" x14ac:dyDescent="0.35">
      <c r="F138">
        <v>2</v>
      </c>
      <c r="G138">
        <f t="shared" si="2"/>
        <v>135</v>
      </c>
      <c r="H138" s="5" t="b">
        <f>misc[[#This Row],[Core_Hitter_Count]]&gt;0</f>
        <v>0</v>
      </c>
      <c r="I138" t="b">
        <f>misc[[#This Row],[LLC_Hitter_Count]]&gt;0</f>
        <v>0</v>
      </c>
      <c r="J138" t="b">
        <f>misc[[#This Row],[CHA_Hitter_Count]]&gt;0</f>
        <v>0</v>
      </c>
      <c r="K138" t="str">
        <f>_xlfn.TEXTJOIN("",,"*SOCKET0**COMPUTE",misc[[#This Row],[Compute]],"**UNCORE**CHA**CHA",misc[[#This Row],[location]],splitchar,"UTIL**MC*STATUS*")</f>
        <v>*SOCKET0**COMPUTE2**UNCORE**CHA**CHA135__UTIL**MC*STATUS*</v>
      </c>
      <c r="L138">
        <f>COUNTIFS(cha_mc[TestName],misc[[#This Row],[CHA_MCA_String]],cha_mc[VisualId],MC_Check!$H$2)</f>
        <v>0</v>
      </c>
      <c r="M138" t="str">
        <f>_xlfn.TEXTJOIN("",,"*SOCKET0**COMPUTE",misc[[#This Row],[Compute]],"**CPU**CORE",misc[[#This Row],[location]],splitchar,"THREAD"&amp;"*",splitchar,"DCU*CR*MC1*STATUS**")</f>
        <v>*SOCKET0**COMPUTE2**CPU**CORE135__THREAD*__DCU*CR*MC1*STATUS**</v>
      </c>
      <c r="N138">
        <f>COUNTIFS(core_mc[TestName],misc[[#This Row],[DCU_MCA_String]],core_mc[VisualId],MC_Check!$H$2)</f>
        <v>0</v>
      </c>
      <c r="O138" t="str">
        <f>_xlfn.TEXTJOIN("",,"*SOCKET0**COMPUTE",misc[[#This Row],[Compute]],"**CPU**CORE",misc[[#This Row],[location]],splitchar,"DTLB*CR*MC2*STATUS**")</f>
        <v>*SOCKET0**COMPUTE2**CPU**CORE135__DTLB*CR*MC2*STATUS**</v>
      </c>
      <c r="P138">
        <f>COUNTIFS(core_mc[TestName],misc[[#This Row],[DTLB_MCA_String]],core_mc[VisualId],MC_Check!$H$2)</f>
        <v>0</v>
      </c>
      <c r="Q138" t="str">
        <f>_xlfn.TEXTJOIN("",,"*SOCKET0**COMPUTE",misc[[#This Row],[Compute]],"**CPU**CORE",misc[[#This Row],[location]],splitchar,"THREAD"&amp;"*",splitchar,"IFU*CR*MC0*STATUS**")</f>
        <v>*SOCKET0**COMPUTE2**CPU**CORE135__THREAD*__IFU*CR*MC0*STATUS**</v>
      </c>
      <c r="R138">
        <f>COUNTIFS(core_mc[TestName],misc[[#This Row],[IFU_MCA_String]],core_mc[VisualId],MC_Check!$H$2)</f>
        <v>0</v>
      </c>
      <c r="S138" t="str">
        <f>_xlfn.TEXTJOIN("",,"*SOCKET0**COMPUTE",misc[[#This Row],[Compute]],"**CPU**CORE",misc[[#This Row],[location]],splitchar,"ML2*CR*MC3*STATUS*")</f>
        <v>*SOCKET0**COMPUTE2**CPU**CORE135__ML2*CR*MC3*STATUS*</v>
      </c>
      <c r="T138">
        <f>COUNTIFS(core_mc[TestName],misc[[#This Row],[CORE_MCA_String]],core_mc[VisualId],MC_Check!$H$2)</f>
        <v>0</v>
      </c>
      <c r="U138">
        <f>misc[[#This Row],[Core_ML2_Count]]+misc[[#This Row],[Core_IFU_Count]]+misc[[#This Row],[Core_DCU_Count]]+misc[[#This Row],[Core_DTLB_Count]]</f>
        <v>0</v>
      </c>
      <c r="V138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38" t="str">
        <f>_xlfn.TEXTJOIN("",,"*SOCKET0**COMPUTE",misc[[#This Row],[Compute]],"**UNCORE**SCF**SCF*LLC**SCF*LLC",misc[[#This Row],[location]],splitchar,"MCI*STATUS*")</f>
        <v>*SOCKET0**COMPUTE2**UNCORE**SCF**SCF*LLC**SCF*LLC135__MCI*STATUS*</v>
      </c>
      <c r="X138">
        <f>COUNTIFS(cha_mc[TestName],misc[[#This Row],[LLC_MCA_String]],cha_mc[VisualId],MC_Check!$H$2)</f>
        <v>0</v>
      </c>
    </row>
    <row r="139" spans="6:24" x14ac:dyDescent="0.35">
      <c r="F139">
        <v>2</v>
      </c>
      <c r="G139">
        <f t="shared" si="2"/>
        <v>136</v>
      </c>
      <c r="H139" s="5" t="b">
        <f>misc[[#This Row],[Core_Hitter_Count]]&gt;0</f>
        <v>0</v>
      </c>
      <c r="I139" t="b">
        <f>misc[[#This Row],[LLC_Hitter_Count]]&gt;0</f>
        <v>0</v>
      </c>
      <c r="J139" t="b">
        <f>misc[[#This Row],[CHA_Hitter_Count]]&gt;0</f>
        <v>0</v>
      </c>
      <c r="K139" t="str">
        <f>_xlfn.TEXTJOIN("",,"*SOCKET0**COMPUTE",misc[[#This Row],[Compute]],"**UNCORE**CHA**CHA",misc[[#This Row],[location]],splitchar,"UTIL**MC*STATUS*")</f>
        <v>*SOCKET0**COMPUTE2**UNCORE**CHA**CHA136__UTIL**MC*STATUS*</v>
      </c>
      <c r="L139">
        <f>COUNTIFS(cha_mc[TestName],misc[[#This Row],[CHA_MCA_String]],cha_mc[VisualId],MC_Check!$H$2)</f>
        <v>0</v>
      </c>
      <c r="M139" t="str">
        <f>_xlfn.TEXTJOIN("",,"*SOCKET0**COMPUTE",misc[[#This Row],[Compute]],"**CPU**CORE",misc[[#This Row],[location]],splitchar,"THREAD"&amp;"*",splitchar,"DCU*CR*MC1*STATUS**")</f>
        <v>*SOCKET0**COMPUTE2**CPU**CORE136__THREAD*__DCU*CR*MC1*STATUS**</v>
      </c>
      <c r="N139">
        <f>COUNTIFS(core_mc[TestName],misc[[#This Row],[DCU_MCA_String]],core_mc[VisualId],MC_Check!$H$2)</f>
        <v>0</v>
      </c>
      <c r="O139" t="str">
        <f>_xlfn.TEXTJOIN("",,"*SOCKET0**COMPUTE",misc[[#This Row],[Compute]],"**CPU**CORE",misc[[#This Row],[location]],splitchar,"DTLB*CR*MC2*STATUS**")</f>
        <v>*SOCKET0**COMPUTE2**CPU**CORE136__DTLB*CR*MC2*STATUS**</v>
      </c>
      <c r="P139">
        <f>COUNTIFS(core_mc[TestName],misc[[#This Row],[DTLB_MCA_String]],core_mc[VisualId],MC_Check!$H$2)</f>
        <v>0</v>
      </c>
      <c r="Q139" t="str">
        <f>_xlfn.TEXTJOIN("",,"*SOCKET0**COMPUTE",misc[[#This Row],[Compute]],"**CPU**CORE",misc[[#This Row],[location]],splitchar,"THREAD"&amp;"*",splitchar,"IFU*CR*MC0*STATUS**")</f>
        <v>*SOCKET0**COMPUTE2**CPU**CORE136__THREAD*__IFU*CR*MC0*STATUS**</v>
      </c>
      <c r="R139">
        <f>COUNTIFS(core_mc[TestName],misc[[#This Row],[IFU_MCA_String]],core_mc[VisualId],MC_Check!$H$2)</f>
        <v>0</v>
      </c>
      <c r="S139" t="str">
        <f>_xlfn.TEXTJOIN("",,"*SOCKET0**COMPUTE",misc[[#This Row],[Compute]],"**CPU**CORE",misc[[#This Row],[location]],splitchar,"ML2*CR*MC3*STATUS*")</f>
        <v>*SOCKET0**COMPUTE2**CPU**CORE136__ML2*CR*MC3*STATUS*</v>
      </c>
      <c r="T139">
        <f>COUNTIFS(core_mc[TestName],misc[[#This Row],[CORE_MCA_String]],core_mc[VisualId],MC_Check!$H$2)</f>
        <v>0</v>
      </c>
      <c r="U139">
        <f>misc[[#This Row],[Core_ML2_Count]]+misc[[#This Row],[Core_IFU_Count]]+misc[[#This Row],[Core_DCU_Count]]+misc[[#This Row],[Core_DTLB_Count]]</f>
        <v>0</v>
      </c>
      <c r="V139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39" t="str">
        <f>_xlfn.TEXTJOIN("",,"*SOCKET0**COMPUTE",misc[[#This Row],[Compute]],"**UNCORE**SCF**SCF*LLC**SCF*LLC",misc[[#This Row],[location]],splitchar,"MCI*STATUS*")</f>
        <v>*SOCKET0**COMPUTE2**UNCORE**SCF**SCF*LLC**SCF*LLC136__MCI*STATUS*</v>
      </c>
      <c r="X139">
        <f>COUNTIFS(cha_mc[TestName],misc[[#This Row],[LLC_MCA_String]],cha_mc[VisualId],MC_Check!$H$2)</f>
        <v>0</v>
      </c>
    </row>
    <row r="140" spans="6:24" x14ac:dyDescent="0.35">
      <c r="F140">
        <v>2</v>
      </c>
      <c r="G140">
        <f t="shared" si="2"/>
        <v>137</v>
      </c>
      <c r="H140" s="5" t="b">
        <f>misc[[#This Row],[Core_Hitter_Count]]&gt;0</f>
        <v>0</v>
      </c>
      <c r="I140" t="b">
        <f>misc[[#This Row],[LLC_Hitter_Count]]&gt;0</f>
        <v>0</v>
      </c>
      <c r="J140" t="b">
        <f>misc[[#This Row],[CHA_Hitter_Count]]&gt;0</f>
        <v>0</v>
      </c>
      <c r="K140" t="str">
        <f>_xlfn.TEXTJOIN("",,"*SOCKET0**COMPUTE",misc[[#This Row],[Compute]],"**UNCORE**CHA**CHA",misc[[#This Row],[location]],splitchar,"UTIL**MC*STATUS*")</f>
        <v>*SOCKET0**COMPUTE2**UNCORE**CHA**CHA137__UTIL**MC*STATUS*</v>
      </c>
      <c r="L140">
        <f>COUNTIFS(cha_mc[TestName],misc[[#This Row],[CHA_MCA_String]],cha_mc[VisualId],MC_Check!$H$2)</f>
        <v>0</v>
      </c>
      <c r="M140" t="str">
        <f>_xlfn.TEXTJOIN("",,"*SOCKET0**COMPUTE",misc[[#This Row],[Compute]],"**CPU**CORE",misc[[#This Row],[location]],splitchar,"THREAD"&amp;"*",splitchar,"DCU*CR*MC1*STATUS**")</f>
        <v>*SOCKET0**COMPUTE2**CPU**CORE137__THREAD*__DCU*CR*MC1*STATUS**</v>
      </c>
      <c r="N140">
        <f>COUNTIFS(core_mc[TestName],misc[[#This Row],[DCU_MCA_String]],core_mc[VisualId],MC_Check!$H$2)</f>
        <v>0</v>
      </c>
      <c r="O140" t="str">
        <f>_xlfn.TEXTJOIN("",,"*SOCKET0**COMPUTE",misc[[#This Row],[Compute]],"**CPU**CORE",misc[[#This Row],[location]],splitchar,"DTLB*CR*MC2*STATUS**")</f>
        <v>*SOCKET0**COMPUTE2**CPU**CORE137__DTLB*CR*MC2*STATUS**</v>
      </c>
      <c r="P140">
        <f>COUNTIFS(core_mc[TestName],misc[[#This Row],[DTLB_MCA_String]],core_mc[VisualId],MC_Check!$H$2)</f>
        <v>0</v>
      </c>
      <c r="Q140" t="str">
        <f>_xlfn.TEXTJOIN("",,"*SOCKET0**COMPUTE",misc[[#This Row],[Compute]],"**CPU**CORE",misc[[#This Row],[location]],splitchar,"THREAD"&amp;"*",splitchar,"IFU*CR*MC0*STATUS**")</f>
        <v>*SOCKET0**COMPUTE2**CPU**CORE137__THREAD*__IFU*CR*MC0*STATUS**</v>
      </c>
      <c r="R140">
        <f>COUNTIFS(core_mc[TestName],misc[[#This Row],[IFU_MCA_String]],core_mc[VisualId],MC_Check!$H$2)</f>
        <v>0</v>
      </c>
      <c r="S140" t="str">
        <f>_xlfn.TEXTJOIN("",,"*SOCKET0**COMPUTE",misc[[#This Row],[Compute]],"**CPU**CORE",misc[[#This Row],[location]],splitchar,"ML2*CR*MC3*STATUS*")</f>
        <v>*SOCKET0**COMPUTE2**CPU**CORE137__ML2*CR*MC3*STATUS*</v>
      </c>
      <c r="T140">
        <f>COUNTIFS(core_mc[TestName],misc[[#This Row],[CORE_MCA_String]],core_mc[VisualId],MC_Check!$H$2)</f>
        <v>0</v>
      </c>
      <c r="U140">
        <f>misc[[#This Row],[Core_ML2_Count]]+misc[[#This Row],[Core_IFU_Count]]+misc[[#This Row],[Core_DCU_Count]]+misc[[#This Row],[Core_DTLB_Count]]</f>
        <v>0</v>
      </c>
      <c r="V140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40" t="str">
        <f>_xlfn.TEXTJOIN("",,"*SOCKET0**COMPUTE",misc[[#This Row],[Compute]],"**UNCORE**SCF**SCF*LLC**SCF*LLC",misc[[#This Row],[location]],splitchar,"MCI*STATUS*")</f>
        <v>*SOCKET0**COMPUTE2**UNCORE**SCF**SCF*LLC**SCF*LLC137__MCI*STATUS*</v>
      </c>
      <c r="X140">
        <f>COUNTIFS(cha_mc[TestName],misc[[#This Row],[LLC_MCA_String]],cha_mc[VisualId],MC_Check!$H$2)</f>
        <v>0</v>
      </c>
    </row>
    <row r="141" spans="6:24" x14ac:dyDescent="0.35">
      <c r="F141">
        <v>2</v>
      </c>
      <c r="G141">
        <f t="shared" si="2"/>
        <v>138</v>
      </c>
      <c r="H141" s="5" t="b">
        <f>misc[[#This Row],[Core_Hitter_Count]]&gt;0</f>
        <v>0</v>
      </c>
      <c r="I141" t="b">
        <f>misc[[#This Row],[LLC_Hitter_Count]]&gt;0</f>
        <v>0</v>
      </c>
      <c r="J141" t="b">
        <f>misc[[#This Row],[CHA_Hitter_Count]]&gt;0</f>
        <v>0</v>
      </c>
      <c r="K141" t="str">
        <f>_xlfn.TEXTJOIN("",,"*SOCKET0**COMPUTE",misc[[#This Row],[Compute]],"**UNCORE**CHA**CHA",misc[[#This Row],[location]],splitchar,"UTIL**MC*STATUS*")</f>
        <v>*SOCKET0**COMPUTE2**UNCORE**CHA**CHA138__UTIL**MC*STATUS*</v>
      </c>
      <c r="L141">
        <f>COUNTIFS(cha_mc[TestName],misc[[#This Row],[CHA_MCA_String]],cha_mc[VisualId],MC_Check!$H$2)</f>
        <v>0</v>
      </c>
      <c r="M141" t="str">
        <f>_xlfn.TEXTJOIN("",,"*SOCKET0**COMPUTE",misc[[#This Row],[Compute]],"**CPU**CORE",misc[[#This Row],[location]],splitchar,"THREAD"&amp;"*",splitchar,"DCU*CR*MC1*STATUS**")</f>
        <v>*SOCKET0**COMPUTE2**CPU**CORE138__THREAD*__DCU*CR*MC1*STATUS**</v>
      </c>
      <c r="N141">
        <f>COUNTIFS(core_mc[TestName],misc[[#This Row],[DCU_MCA_String]],core_mc[VisualId],MC_Check!$H$2)</f>
        <v>0</v>
      </c>
      <c r="O141" t="str">
        <f>_xlfn.TEXTJOIN("",,"*SOCKET0**COMPUTE",misc[[#This Row],[Compute]],"**CPU**CORE",misc[[#This Row],[location]],splitchar,"DTLB*CR*MC2*STATUS**")</f>
        <v>*SOCKET0**COMPUTE2**CPU**CORE138__DTLB*CR*MC2*STATUS**</v>
      </c>
      <c r="P141">
        <f>COUNTIFS(core_mc[TestName],misc[[#This Row],[DTLB_MCA_String]],core_mc[VisualId],MC_Check!$H$2)</f>
        <v>0</v>
      </c>
      <c r="Q141" t="str">
        <f>_xlfn.TEXTJOIN("",,"*SOCKET0**COMPUTE",misc[[#This Row],[Compute]],"**CPU**CORE",misc[[#This Row],[location]],splitchar,"THREAD"&amp;"*",splitchar,"IFU*CR*MC0*STATUS**")</f>
        <v>*SOCKET0**COMPUTE2**CPU**CORE138__THREAD*__IFU*CR*MC0*STATUS**</v>
      </c>
      <c r="R141">
        <f>COUNTIFS(core_mc[TestName],misc[[#This Row],[IFU_MCA_String]],core_mc[VisualId],MC_Check!$H$2)</f>
        <v>0</v>
      </c>
      <c r="S141" t="str">
        <f>_xlfn.TEXTJOIN("",,"*SOCKET0**COMPUTE",misc[[#This Row],[Compute]],"**CPU**CORE",misc[[#This Row],[location]],splitchar,"ML2*CR*MC3*STATUS*")</f>
        <v>*SOCKET0**COMPUTE2**CPU**CORE138__ML2*CR*MC3*STATUS*</v>
      </c>
      <c r="T141">
        <f>COUNTIFS(core_mc[TestName],misc[[#This Row],[CORE_MCA_String]],core_mc[VisualId],MC_Check!$H$2)</f>
        <v>0</v>
      </c>
      <c r="U141">
        <f>misc[[#This Row],[Core_ML2_Count]]+misc[[#This Row],[Core_IFU_Count]]+misc[[#This Row],[Core_DCU_Count]]+misc[[#This Row],[Core_DTLB_Count]]</f>
        <v>0</v>
      </c>
      <c r="V141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41" t="str">
        <f>_xlfn.TEXTJOIN("",,"*SOCKET0**COMPUTE",misc[[#This Row],[Compute]],"**UNCORE**SCF**SCF*LLC**SCF*LLC",misc[[#This Row],[location]],splitchar,"MCI*STATUS*")</f>
        <v>*SOCKET0**COMPUTE2**UNCORE**SCF**SCF*LLC**SCF*LLC138__MCI*STATUS*</v>
      </c>
      <c r="X141">
        <f>COUNTIFS(cha_mc[TestName],misc[[#This Row],[LLC_MCA_String]],cha_mc[VisualId],MC_Check!$H$2)</f>
        <v>0</v>
      </c>
    </row>
    <row r="142" spans="6:24" x14ac:dyDescent="0.35">
      <c r="F142">
        <v>2</v>
      </c>
      <c r="G142">
        <f t="shared" si="2"/>
        <v>139</v>
      </c>
      <c r="H142" s="5" t="b">
        <f>misc[[#This Row],[Core_Hitter_Count]]&gt;0</f>
        <v>0</v>
      </c>
      <c r="I142" t="b">
        <f>misc[[#This Row],[LLC_Hitter_Count]]&gt;0</f>
        <v>0</v>
      </c>
      <c r="J142" t="b">
        <f>misc[[#This Row],[CHA_Hitter_Count]]&gt;0</f>
        <v>0</v>
      </c>
      <c r="K142" t="str">
        <f>_xlfn.TEXTJOIN("",,"*SOCKET0**COMPUTE",misc[[#This Row],[Compute]],"**UNCORE**CHA**CHA",misc[[#This Row],[location]],splitchar,"UTIL**MC*STATUS*")</f>
        <v>*SOCKET0**COMPUTE2**UNCORE**CHA**CHA139__UTIL**MC*STATUS*</v>
      </c>
      <c r="L142">
        <f>COUNTIFS(cha_mc[TestName],misc[[#This Row],[CHA_MCA_String]],cha_mc[VisualId],MC_Check!$H$2)</f>
        <v>0</v>
      </c>
      <c r="M142" t="str">
        <f>_xlfn.TEXTJOIN("",,"*SOCKET0**COMPUTE",misc[[#This Row],[Compute]],"**CPU**CORE",misc[[#This Row],[location]],splitchar,"THREAD"&amp;"*",splitchar,"DCU*CR*MC1*STATUS**")</f>
        <v>*SOCKET0**COMPUTE2**CPU**CORE139__THREAD*__DCU*CR*MC1*STATUS**</v>
      </c>
      <c r="N142">
        <f>COUNTIFS(core_mc[TestName],misc[[#This Row],[DCU_MCA_String]],core_mc[VisualId],MC_Check!$H$2)</f>
        <v>0</v>
      </c>
      <c r="O142" t="str">
        <f>_xlfn.TEXTJOIN("",,"*SOCKET0**COMPUTE",misc[[#This Row],[Compute]],"**CPU**CORE",misc[[#This Row],[location]],splitchar,"DTLB*CR*MC2*STATUS**")</f>
        <v>*SOCKET0**COMPUTE2**CPU**CORE139__DTLB*CR*MC2*STATUS**</v>
      </c>
      <c r="P142">
        <f>COUNTIFS(core_mc[TestName],misc[[#This Row],[DTLB_MCA_String]],core_mc[VisualId],MC_Check!$H$2)</f>
        <v>0</v>
      </c>
      <c r="Q142" t="str">
        <f>_xlfn.TEXTJOIN("",,"*SOCKET0**COMPUTE",misc[[#This Row],[Compute]],"**CPU**CORE",misc[[#This Row],[location]],splitchar,"THREAD"&amp;"*",splitchar,"IFU*CR*MC0*STATUS**")</f>
        <v>*SOCKET0**COMPUTE2**CPU**CORE139__THREAD*__IFU*CR*MC0*STATUS**</v>
      </c>
      <c r="R142">
        <f>COUNTIFS(core_mc[TestName],misc[[#This Row],[IFU_MCA_String]],core_mc[VisualId],MC_Check!$H$2)</f>
        <v>0</v>
      </c>
      <c r="S142" t="str">
        <f>_xlfn.TEXTJOIN("",,"*SOCKET0**COMPUTE",misc[[#This Row],[Compute]],"**CPU**CORE",misc[[#This Row],[location]],splitchar,"ML2*CR*MC3*STATUS*")</f>
        <v>*SOCKET0**COMPUTE2**CPU**CORE139__ML2*CR*MC3*STATUS*</v>
      </c>
      <c r="T142">
        <f>COUNTIFS(core_mc[TestName],misc[[#This Row],[CORE_MCA_String]],core_mc[VisualId],MC_Check!$H$2)</f>
        <v>0</v>
      </c>
      <c r="U142">
        <f>misc[[#This Row],[Core_ML2_Count]]+misc[[#This Row],[Core_IFU_Count]]+misc[[#This Row],[Core_DCU_Count]]+misc[[#This Row],[Core_DTLB_Count]]</f>
        <v>0</v>
      </c>
      <c r="V142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42" t="str">
        <f>_xlfn.TEXTJOIN("",,"*SOCKET0**COMPUTE",misc[[#This Row],[Compute]],"**UNCORE**SCF**SCF*LLC**SCF*LLC",misc[[#This Row],[location]],splitchar,"MCI*STATUS*")</f>
        <v>*SOCKET0**COMPUTE2**UNCORE**SCF**SCF*LLC**SCF*LLC139__MCI*STATUS*</v>
      </c>
      <c r="X142">
        <f>COUNTIFS(cha_mc[TestName],misc[[#This Row],[LLC_MCA_String]],cha_mc[VisualId],MC_Check!$H$2)</f>
        <v>0</v>
      </c>
    </row>
    <row r="143" spans="6:24" x14ac:dyDescent="0.35">
      <c r="F143">
        <v>2</v>
      </c>
      <c r="G143">
        <f t="shared" si="2"/>
        <v>140</v>
      </c>
      <c r="H143" s="5" t="b">
        <f>misc[[#This Row],[Core_Hitter_Count]]&gt;0</f>
        <v>0</v>
      </c>
      <c r="I143" t="b">
        <f>misc[[#This Row],[LLC_Hitter_Count]]&gt;0</f>
        <v>0</v>
      </c>
      <c r="J143" t="b">
        <f>misc[[#This Row],[CHA_Hitter_Count]]&gt;0</f>
        <v>0</v>
      </c>
      <c r="K143" t="str">
        <f>_xlfn.TEXTJOIN("",,"*SOCKET0**COMPUTE",misc[[#This Row],[Compute]],"**UNCORE**CHA**CHA",misc[[#This Row],[location]],splitchar,"UTIL**MC*STATUS*")</f>
        <v>*SOCKET0**COMPUTE2**UNCORE**CHA**CHA140__UTIL**MC*STATUS*</v>
      </c>
      <c r="L143">
        <f>COUNTIFS(cha_mc[TestName],misc[[#This Row],[CHA_MCA_String]],cha_mc[VisualId],MC_Check!$H$2)</f>
        <v>0</v>
      </c>
      <c r="M143" t="str">
        <f>_xlfn.TEXTJOIN("",,"*SOCKET0**COMPUTE",misc[[#This Row],[Compute]],"**CPU**CORE",misc[[#This Row],[location]],splitchar,"THREAD"&amp;"*",splitchar,"DCU*CR*MC1*STATUS**")</f>
        <v>*SOCKET0**COMPUTE2**CPU**CORE140__THREAD*__DCU*CR*MC1*STATUS**</v>
      </c>
      <c r="N143">
        <f>COUNTIFS(core_mc[TestName],misc[[#This Row],[DCU_MCA_String]],core_mc[VisualId],MC_Check!$H$2)</f>
        <v>0</v>
      </c>
      <c r="O143" t="str">
        <f>_xlfn.TEXTJOIN("",,"*SOCKET0**COMPUTE",misc[[#This Row],[Compute]],"**CPU**CORE",misc[[#This Row],[location]],splitchar,"DTLB*CR*MC2*STATUS**")</f>
        <v>*SOCKET0**COMPUTE2**CPU**CORE140__DTLB*CR*MC2*STATUS**</v>
      </c>
      <c r="P143">
        <f>COUNTIFS(core_mc[TestName],misc[[#This Row],[DTLB_MCA_String]],core_mc[VisualId],MC_Check!$H$2)</f>
        <v>0</v>
      </c>
      <c r="Q143" t="str">
        <f>_xlfn.TEXTJOIN("",,"*SOCKET0**COMPUTE",misc[[#This Row],[Compute]],"**CPU**CORE",misc[[#This Row],[location]],splitchar,"THREAD"&amp;"*",splitchar,"IFU*CR*MC0*STATUS**")</f>
        <v>*SOCKET0**COMPUTE2**CPU**CORE140__THREAD*__IFU*CR*MC0*STATUS**</v>
      </c>
      <c r="R143">
        <f>COUNTIFS(core_mc[TestName],misc[[#This Row],[IFU_MCA_String]],core_mc[VisualId],MC_Check!$H$2)</f>
        <v>0</v>
      </c>
      <c r="S143" t="str">
        <f>_xlfn.TEXTJOIN("",,"*SOCKET0**COMPUTE",misc[[#This Row],[Compute]],"**CPU**CORE",misc[[#This Row],[location]],splitchar,"ML2*CR*MC3*STATUS*")</f>
        <v>*SOCKET0**COMPUTE2**CPU**CORE140__ML2*CR*MC3*STATUS*</v>
      </c>
      <c r="T143">
        <f>COUNTIFS(core_mc[TestName],misc[[#This Row],[CORE_MCA_String]],core_mc[VisualId],MC_Check!$H$2)</f>
        <v>0</v>
      </c>
      <c r="U143">
        <f>misc[[#This Row],[Core_ML2_Count]]+misc[[#This Row],[Core_IFU_Count]]+misc[[#This Row],[Core_DCU_Count]]+misc[[#This Row],[Core_DTLB_Count]]</f>
        <v>0</v>
      </c>
      <c r="V143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43" t="str">
        <f>_xlfn.TEXTJOIN("",,"*SOCKET0**COMPUTE",misc[[#This Row],[Compute]],"**UNCORE**SCF**SCF*LLC**SCF*LLC",misc[[#This Row],[location]],splitchar,"MCI*STATUS*")</f>
        <v>*SOCKET0**COMPUTE2**UNCORE**SCF**SCF*LLC**SCF*LLC140__MCI*STATUS*</v>
      </c>
      <c r="X143">
        <f>COUNTIFS(cha_mc[TestName],misc[[#This Row],[LLC_MCA_String]],cha_mc[VisualId],MC_Check!$H$2)</f>
        <v>0</v>
      </c>
    </row>
    <row r="144" spans="6:24" x14ac:dyDescent="0.35">
      <c r="F144">
        <v>2</v>
      </c>
      <c r="G144">
        <f t="shared" si="2"/>
        <v>141</v>
      </c>
      <c r="H144" s="5" t="b">
        <f>misc[[#This Row],[Core_Hitter_Count]]&gt;0</f>
        <v>0</v>
      </c>
      <c r="I144" t="b">
        <f>misc[[#This Row],[LLC_Hitter_Count]]&gt;0</f>
        <v>0</v>
      </c>
      <c r="J144" t="b">
        <f>misc[[#This Row],[CHA_Hitter_Count]]&gt;0</f>
        <v>0</v>
      </c>
      <c r="K144" t="str">
        <f>_xlfn.TEXTJOIN("",,"*SOCKET0**COMPUTE",misc[[#This Row],[Compute]],"**UNCORE**CHA**CHA",misc[[#This Row],[location]],splitchar,"UTIL**MC*STATUS*")</f>
        <v>*SOCKET0**COMPUTE2**UNCORE**CHA**CHA141__UTIL**MC*STATUS*</v>
      </c>
      <c r="L144">
        <f>COUNTIFS(cha_mc[TestName],misc[[#This Row],[CHA_MCA_String]],cha_mc[VisualId],MC_Check!$H$2)</f>
        <v>0</v>
      </c>
      <c r="M144" t="str">
        <f>_xlfn.TEXTJOIN("",,"*SOCKET0**COMPUTE",misc[[#This Row],[Compute]],"**CPU**CORE",misc[[#This Row],[location]],splitchar,"THREAD"&amp;"*",splitchar,"DCU*CR*MC1*STATUS**")</f>
        <v>*SOCKET0**COMPUTE2**CPU**CORE141__THREAD*__DCU*CR*MC1*STATUS**</v>
      </c>
      <c r="N144">
        <f>COUNTIFS(core_mc[TestName],misc[[#This Row],[DCU_MCA_String]],core_mc[VisualId],MC_Check!$H$2)</f>
        <v>0</v>
      </c>
      <c r="O144" t="str">
        <f>_xlfn.TEXTJOIN("",,"*SOCKET0**COMPUTE",misc[[#This Row],[Compute]],"**CPU**CORE",misc[[#This Row],[location]],splitchar,"DTLB*CR*MC2*STATUS**")</f>
        <v>*SOCKET0**COMPUTE2**CPU**CORE141__DTLB*CR*MC2*STATUS**</v>
      </c>
      <c r="P144">
        <f>COUNTIFS(core_mc[TestName],misc[[#This Row],[DTLB_MCA_String]],core_mc[VisualId],MC_Check!$H$2)</f>
        <v>0</v>
      </c>
      <c r="Q144" t="str">
        <f>_xlfn.TEXTJOIN("",,"*SOCKET0**COMPUTE",misc[[#This Row],[Compute]],"**CPU**CORE",misc[[#This Row],[location]],splitchar,"THREAD"&amp;"*",splitchar,"IFU*CR*MC0*STATUS**")</f>
        <v>*SOCKET0**COMPUTE2**CPU**CORE141__THREAD*__IFU*CR*MC0*STATUS**</v>
      </c>
      <c r="R144">
        <f>COUNTIFS(core_mc[TestName],misc[[#This Row],[IFU_MCA_String]],core_mc[VisualId],MC_Check!$H$2)</f>
        <v>0</v>
      </c>
      <c r="S144" t="str">
        <f>_xlfn.TEXTJOIN("",,"*SOCKET0**COMPUTE",misc[[#This Row],[Compute]],"**CPU**CORE",misc[[#This Row],[location]],splitchar,"ML2*CR*MC3*STATUS*")</f>
        <v>*SOCKET0**COMPUTE2**CPU**CORE141__ML2*CR*MC3*STATUS*</v>
      </c>
      <c r="T144">
        <f>COUNTIFS(core_mc[TestName],misc[[#This Row],[CORE_MCA_String]],core_mc[VisualId],MC_Check!$H$2)</f>
        <v>0</v>
      </c>
      <c r="U144">
        <f>misc[[#This Row],[Core_ML2_Count]]+misc[[#This Row],[Core_IFU_Count]]+misc[[#This Row],[Core_DCU_Count]]+misc[[#This Row],[Core_DTLB_Count]]</f>
        <v>0</v>
      </c>
      <c r="V144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44" t="str">
        <f>_xlfn.TEXTJOIN("",,"*SOCKET0**COMPUTE",misc[[#This Row],[Compute]],"**UNCORE**SCF**SCF*LLC**SCF*LLC",misc[[#This Row],[location]],splitchar,"MCI*STATUS*")</f>
        <v>*SOCKET0**COMPUTE2**UNCORE**SCF**SCF*LLC**SCF*LLC141__MCI*STATUS*</v>
      </c>
      <c r="X144">
        <f>COUNTIFS(cha_mc[TestName],misc[[#This Row],[LLC_MCA_String]],cha_mc[VisualId],MC_Check!$H$2)</f>
        <v>0</v>
      </c>
    </row>
    <row r="145" spans="6:24" x14ac:dyDescent="0.35">
      <c r="F145">
        <v>2</v>
      </c>
      <c r="G145">
        <f t="shared" si="2"/>
        <v>142</v>
      </c>
      <c r="H145" s="5" t="b">
        <f>misc[[#This Row],[Core_Hitter_Count]]&gt;0</f>
        <v>0</v>
      </c>
      <c r="I145" t="b">
        <f>misc[[#This Row],[LLC_Hitter_Count]]&gt;0</f>
        <v>0</v>
      </c>
      <c r="J145" t="b">
        <f>misc[[#This Row],[CHA_Hitter_Count]]&gt;0</f>
        <v>0</v>
      </c>
      <c r="K145" t="str">
        <f>_xlfn.TEXTJOIN("",,"*SOCKET0**COMPUTE",misc[[#This Row],[Compute]],"**UNCORE**CHA**CHA",misc[[#This Row],[location]],splitchar,"UTIL**MC*STATUS*")</f>
        <v>*SOCKET0**COMPUTE2**UNCORE**CHA**CHA142__UTIL**MC*STATUS*</v>
      </c>
      <c r="L145">
        <f>COUNTIFS(cha_mc[TestName],misc[[#This Row],[CHA_MCA_String]],cha_mc[VisualId],MC_Check!$H$2)</f>
        <v>0</v>
      </c>
      <c r="M145" t="str">
        <f>_xlfn.TEXTJOIN("",,"*SOCKET0**COMPUTE",misc[[#This Row],[Compute]],"**CPU**CORE",misc[[#This Row],[location]],splitchar,"THREAD"&amp;"*",splitchar,"DCU*CR*MC1*STATUS**")</f>
        <v>*SOCKET0**COMPUTE2**CPU**CORE142__THREAD*__DCU*CR*MC1*STATUS**</v>
      </c>
      <c r="N145">
        <f>COUNTIFS(core_mc[TestName],misc[[#This Row],[DCU_MCA_String]],core_mc[VisualId],MC_Check!$H$2)</f>
        <v>0</v>
      </c>
      <c r="O145" t="str">
        <f>_xlfn.TEXTJOIN("",,"*SOCKET0**COMPUTE",misc[[#This Row],[Compute]],"**CPU**CORE",misc[[#This Row],[location]],splitchar,"DTLB*CR*MC2*STATUS**")</f>
        <v>*SOCKET0**COMPUTE2**CPU**CORE142__DTLB*CR*MC2*STATUS**</v>
      </c>
      <c r="P145">
        <f>COUNTIFS(core_mc[TestName],misc[[#This Row],[DTLB_MCA_String]],core_mc[VisualId],MC_Check!$H$2)</f>
        <v>0</v>
      </c>
      <c r="Q145" t="str">
        <f>_xlfn.TEXTJOIN("",,"*SOCKET0**COMPUTE",misc[[#This Row],[Compute]],"**CPU**CORE",misc[[#This Row],[location]],splitchar,"THREAD"&amp;"*",splitchar,"IFU*CR*MC0*STATUS**")</f>
        <v>*SOCKET0**COMPUTE2**CPU**CORE142__THREAD*__IFU*CR*MC0*STATUS**</v>
      </c>
      <c r="R145">
        <f>COUNTIFS(core_mc[TestName],misc[[#This Row],[IFU_MCA_String]],core_mc[VisualId],MC_Check!$H$2)</f>
        <v>0</v>
      </c>
      <c r="S145" t="str">
        <f>_xlfn.TEXTJOIN("",,"*SOCKET0**COMPUTE",misc[[#This Row],[Compute]],"**CPU**CORE",misc[[#This Row],[location]],splitchar,"ML2*CR*MC3*STATUS*")</f>
        <v>*SOCKET0**COMPUTE2**CPU**CORE142__ML2*CR*MC3*STATUS*</v>
      </c>
      <c r="T145">
        <f>COUNTIFS(core_mc[TestName],misc[[#This Row],[CORE_MCA_String]],core_mc[VisualId],MC_Check!$H$2)</f>
        <v>0</v>
      </c>
      <c r="U145">
        <f>misc[[#This Row],[Core_ML2_Count]]+misc[[#This Row],[Core_IFU_Count]]+misc[[#This Row],[Core_DCU_Count]]+misc[[#This Row],[Core_DTLB_Count]]</f>
        <v>0</v>
      </c>
      <c r="V145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45" t="str">
        <f>_xlfn.TEXTJOIN("",,"*SOCKET0**COMPUTE",misc[[#This Row],[Compute]],"**UNCORE**SCF**SCF*LLC**SCF*LLC",misc[[#This Row],[location]],splitchar,"MCI*STATUS*")</f>
        <v>*SOCKET0**COMPUTE2**UNCORE**SCF**SCF*LLC**SCF*LLC142__MCI*STATUS*</v>
      </c>
      <c r="X145">
        <f>COUNTIFS(cha_mc[TestName],misc[[#This Row],[LLC_MCA_String]],cha_mc[VisualId],MC_Check!$H$2)</f>
        <v>0</v>
      </c>
    </row>
    <row r="146" spans="6:24" x14ac:dyDescent="0.35">
      <c r="F146">
        <v>2</v>
      </c>
      <c r="G146">
        <f t="shared" si="2"/>
        <v>143</v>
      </c>
      <c r="H146" s="5" t="b">
        <f>misc[[#This Row],[Core_Hitter_Count]]&gt;0</f>
        <v>0</v>
      </c>
      <c r="I146" t="b">
        <f>misc[[#This Row],[LLC_Hitter_Count]]&gt;0</f>
        <v>0</v>
      </c>
      <c r="J146" t="b">
        <f>misc[[#This Row],[CHA_Hitter_Count]]&gt;0</f>
        <v>0</v>
      </c>
      <c r="K146" t="str">
        <f>_xlfn.TEXTJOIN("",,"*SOCKET0**COMPUTE",misc[[#This Row],[Compute]],"**UNCORE**CHA**CHA",misc[[#This Row],[location]],splitchar,"UTIL**MC*STATUS*")</f>
        <v>*SOCKET0**COMPUTE2**UNCORE**CHA**CHA143__UTIL**MC*STATUS*</v>
      </c>
      <c r="L146">
        <f>COUNTIFS(cha_mc[TestName],misc[[#This Row],[CHA_MCA_String]],cha_mc[VisualId],MC_Check!$H$2)</f>
        <v>0</v>
      </c>
      <c r="M146" t="str">
        <f>_xlfn.TEXTJOIN("",,"*SOCKET0**COMPUTE",misc[[#This Row],[Compute]],"**CPU**CORE",misc[[#This Row],[location]],splitchar,"THREAD"&amp;"*",splitchar,"DCU*CR*MC1*STATUS**")</f>
        <v>*SOCKET0**COMPUTE2**CPU**CORE143__THREAD*__DCU*CR*MC1*STATUS**</v>
      </c>
      <c r="N146">
        <f>COUNTIFS(core_mc[TestName],misc[[#This Row],[DCU_MCA_String]],core_mc[VisualId],MC_Check!$H$2)</f>
        <v>0</v>
      </c>
      <c r="O146" t="str">
        <f>_xlfn.TEXTJOIN("",,"*SOCKET0**COMPUTE",misc[[#This Row],[Compute]],"**CPU**CORE",misc[[#This Row],[location]],splitchar,"DTLB*CR*MC2*STATUS**")</f>
        <v>*SOCKET0**COMPUTE2**CPU**CORE143__DTLB*CR*MC2*STATUS**</v>
      </c>
      <c r="P146">
        <f>COUNTIFS(core_mc[TestName],misc[[#This Row],[DTLB_MCA_String]],core_mc[VisualId],MC_Check!$H$2)</f>
        <v>0</v>
      </c>
      <c r="Q146" t="str">
        <f>_xlfn.TEXTJOIN("",,"*SOCKET0**COMPUTE",misc[[#This Row],[Compute]],"**CPU**CORE",misc[[#This Row],[location]],splitchar,"THREAD"&amp;"*",splitchar,"IFU*CR*MC0*STATUS**")</f>
        <v>*SOCKET0**COMPUTE2**CPU**CORE143__THREAD*__IFU*CR*MC0*STATUS**</v>
      </c>
      <c r="R146">
        <f>COUNTIFS(core_mc[TestName],misc[[#This Row],[IFU_MCA_String]],core_mc[VisualId],MC_Check!$H$2)</f>
        <v>0</v>
      </c>
      <c r="S146" t="str">
        <f>_xlfn.TEXTJOIN("",,"*SOCKET0**COMPUTE",misc[[#This Row],[Compute]],"**CPU**CORE",misc[[#This Row],[location]],splitchar,"ML2*CR*MC3*STATUS*")</f>
        <v>*SOCKET0**COMPUTE2**CPU**CORE143__ML2*CR*MC3*STATUS*</v>
      </c>
      <c r="T146">
        <f>COUNTIFS(core_mc[TestName],misc[[#This Row],[CORE_MCA_String]],core_mc[VisualId],MC_Check!$H$2)</f>
        <v>0</v>
      </c>
      <c r="U146">
        <f>misc[[#This Row],[Core_ML2_Count]]+misc[[#This Row],[Core_IFU_Count]]+misc[[#This Row],[Core_DCU_Count]]+misc[[#This Row],[Core_DTLB_Count]]</f>
        <v>0</v>
      </c>
      <c r="V146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46" t="str">
        <f>_xlfn.TEXTJOIN("",,"*SOCKET0**COMPUTE",misc[[#This Row],[Compute]],"**UNCORE**SCF**SCF*LLC**SCF*LLC",misc[[#This Row],[location]],splitchar,"MCI*STATUS*")</f>
        <v>*SOCKET0**COMPUTE2**UNCORE**SCF**SCF*LLC**SCF*LLC143__MCI*STATUS*</v>
      </c>
      <c r="X146">
        <f>COUNTIFS(cha_mc[TestName],misc[[#This Row],[LLC_MCA_String]],cha_mc[VisualId],MC_Check!$H$2)</f>
        <v>0</v>
      </c>
    </row>
    <row r="147" spans="6:24" x14ac:dyDescent="0.35">
      <c r="F147">
        <v>2</v>
      </c>
      <c r="G147">
        <f t="shared" si="2"/>
        <v>144</v>
      </c>
      <c r="H147" s="5" t="b">
        <f>misc[[#This Row],[Core_Hitter_Count]]&gt;0</f>
        <v>0</v>
      </c>
      <c r="I147" t="b">
        <f>misc[[#This Row],[LLC_Hitter_Count]]&gt;0</f>
        <v>0</v>
      </c>
      <c r="J147" t="b">
        <f>misc[[#This Row],[CHA_Hitter_Count]]&gt;0</f>
        <v>0</v>
      </c>
      <c r="K147" t="str">
        <f>_xlfn.TEXTJOIN("",,"*SOCKET0**COMPUTE",misc[[#This Row],[Compute]],"**UNCORE**CHA**CHA",misc[[#This Row],[location]],splitchar,"UTIL**MC*STATUS*")</f>
        <v>*SOCKET0**COMPUTE2**UNCORE**CHA**CHA144__UTIL**MC*STATUS*</v>
      </c>
      <c r="L147">
        <f>COUNTIFS(cha_mc[TestName],misc[[#This Row],[CHA_MCA_String]],cha_mc[VisualId],MC_Check!$H$2)</f>
        <v>0</v>
      </c>
      <c r="M147" t="str">
        <f>_xlfn.TEXTJOIN("",,"*SOCKET0**COMPUTE",misc[[#This Row],[Compute]],"**CPU**CORE",misc[[#This Row],[location]],splitchar,"THREAD"&amp;"*",splitchar,"DCU*CR*MC1*STATUS**")</f>
        <v>*SOCKET0**COMPUTE2**CPU**CORE144__THREAD*__DCU*CR*MC1*STATUS**</v>
      </c>
      <c r="N147">
        <f>COUNTIFS(core_mc[TestName],misc[[#This Row],[DCU_MCA_String]],core_mc[VisualId],MC_Check!$H$2)</f>
        <v>0</v>
      </c>
      <c r="O147" t="str">
        <f>_xlfn.TEXTJOIN("",,"*SOCKET0**COMPUTE",misc[[#This Row],[Compute]],"**CPU**CORE",misc[[#This Row],[location]],splitchar,"DTLB*CR*MC2*STATUS**")</f>
        <v>*SOCKET0**COMPUTE2**CPU**CORE144__DTLB*CR*MC2*STATUS**</v>
      </c>
      <c r="P147">
        <f>COUNTIFS(core_mc[TestName],misc[[#This Row],[DTLB_MCA_String]],core_mc[VisualId],MC_Check!$H$2)</f>
        <v>0</v>
      </c>
      <c r="Q147" t="str">
        <f>_xlfn.TEXTJOIN("",,"*SOCKET0**COMPUTE",misc[[#This Row],[Compute]],"**CPU**CORE",misc[[#This Row],[location]],splitchar,"THREAD"&amp;"*",splitchar,"IFU*CR*MC0*STATUS**")</f>
        <v>*SOCKET0**COMPUTE2**CPU**CORE144__THREAD*__IFU*CR*MC0*STATUS**</v>
      </c>
      <c r="R147">
        <f>COUNTIFS(core_mc[TestName],misc[[#This Row],[IFU_MCA_String]],core_mc[VisualId],MC_Check!$H$2)</f>
        <v>0</v>
      </c>
      <c r="S147" t="str">
        <f>_xlfn.TEXTJOIN("",,"*SOCKET0**COMPUTE",misc[[#This Row],[Compute]],"**CPU**CORE",misc[[#This Row],[location]],splitchar,"ML2*CR*MC3*STATUS*")</f>
        <v>*SOCKET0**COMPUTE2**CPU**CORE144__ML2*CR*MC3*STATUS*</v>
      </c>
      <c r="T147">
        <f>COUNTIFS(core_mc[TestName],misc[[#This Row],[CORE_MCA_String]],core_mc[VisualId],MC_Check!$H$2)</f>
        <v>0</v>
      </c>
      <c r="U147">
        <f>misc[[#This Row],[Core_ML2_Count]]+misc[[#This Row],[Core_IFU_Count]]+misc[[#This Row],[Core_DCU_Count]]+misc[[#This Row],[Core_DTLB_Count]]</f>
        <v>0</v>
      </c>
      <c r="V147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47" t="str">
        <f>_xlfn.TEXTJOIN("",,"*SOCKET0**COMPUTE",misc[[#This Row],[Compute]],"**UNCORE**SCF**SCF*LLC**SCF*LLC",misc[[#This Row],[location]],splitchar,"MCI*STATUS*")</f>
        <v>*SOCKET0**COMPUTE2**UNCORE**SCF**SCF*LLC**SCF*LLC144__MCI*STATUS*</v>
      </c>
      <c r="X147">
        <f>COUNTIFS(cha_mc[TestName],misc[[#This Row],[LLC_MCA_String]],cha_mc[VisualId],MC_Check!$H$2)</f>
        <v>0</v>
      </c>
    </row>
    <row r="148" spans="6:24" x14ac:dyDescent="0.35">
      <c r="F148">
        <v>2</v>
      </c>
      <c r="G148">
        <f t="shared" si="2"/>
        <v>145</v>
      </c>
      <c r="H148" s="5" t="b">
        <f>misc[[#This Row],[Core_Hitter_Count]]&gt;0</f>
        <v>0</v>
      </c>
      <c r="I148" t="b">
        <f>misc[[#This Row],[LLC_Hitter_Count]]&gt;0</f>
        <v>0</v>
      </c>
      <c r="J148" t="b">
        <f>misc[[#This Row],[CHA_Hitter_Count]]&gt;0</f>
        <v>0</v>
      </c>
      <c r="K148" t="str">
        <f>_xlfn.TEXTJOIN("",,"*SOCKET0**COMPUTE",misc[[#This Row],[Compute]],"**UNCORE**CHA**CHA",misc[[#This Row],[location]],splitchar,"UTIL**MC*STATUS*")</f>
        <v>*SOCKET0**COMPUTE2**UNCORE**CHA**CHA145__UTIL**MC*STATUS*</v>
      </c>
      <c r="L148">
        <f>COUNTIFS(cha_mc[TestName],misc[[#This Row],[CHA_MCA_String]],cha_mc[VisualId],MC_Check!$H$2)</f>
        <v>0</v>
      </c>
      <c r="M148" t="str">
        <f>_xlfn.TEXTJOIN("",,"*SOCKET0**COMPUTE",misc[[#This Row],[Compute]],"**CPU**CORE",misc[[#This Row],[location]],splitchar,"THREAD"&amp;"*",splitchar,"DCU*CR*MC1*STATUS**")</f>
        <v>*SOCKET0**COMPUTE2**CPU**CORE145__THREAD*__DCU*CR*MC1*STATUS**</v>
      </c>
      <c r="N148">
        <f>COUNTIFS(core_mc[TestName],misc[[#This Row],[DCU_MCA_String]],core_mc[VisualId],MC_Check!$H$2)</f>
        <v>0</v>
      </c>
      <c r="O148" t="str">
        <f>_xlfn.TEXTJOIN("",,"*SOCKET0**COMPUTE",misc[[#This Row],[Compute]],"**CPU**CORE",misc[[#This Row],[location]],splitchar,"DTLB*CR*MC2*STATUS**")</f>
        <v>*SOCKET0**COMPUTE2**CPU**CORE145__DTLB*CR*MC2*STATUS**</v>
      </c>
      <c r="P148">
        <f>COUNTIFS(core_mc[TestName],misc[[#This Row],[DTLB_MCA_String]],core_mc[VisualId],MC_Check!$H$2)</f>
        <v>0</v>
      </c>
      <c r="Q148" t="str">
        <f>_xlfn.TEXTJOIN("",,"*SOCKET0**COMPUTE",misc[[#This Row],[Compute]],"**CPU**CORE",misc[[#This Row],[location]],splitchar,"THREAD"&amp;"*",splitchar,"IFU*CR*MC0*STATUS**")</f>
        <v>*SOCKET0**COMPUTE2**CPU**CORE145__THREAD*__IFU*CR*MC0*STATUS**</v>
      </c>
      <c r="R148">
        <f>COUNTIFS(core_mc[TestName],misc[[#This Row],[IFU_MCA_String]],core_mc[VisualId],MC_Check!$H$2)</f>
        <v>0</v>
      </c>
      <c r="S148" t="str">
        <f>_xlfn.TEXTJOIN("",,"*SOCKET0**COMPUTE",misc[[#This Row],[Compute]],"**CPU**CORE",misc[[#This Row],[location]],splitchar,"ML2*CR*MC3*STATUS*")</f>
        <v>*SOCKET0**COMPUTE2**CPU**CORE145__ML2*CR*MC3*STATUS*</v>
      </c>
      <c r="T148">
        <f>COUNTIFS(core_mc[TestName],misc[[#This Row],[CORE_MCA_String]],core_mc[VisualId],MC_Check!$H$2)</f>
        <v>0</v>
      </c>
      <c r="U148">
        <f>misc[[#This Row],[Core_ML2_Count]]+misc[[#This Row],[Core_IFU_Count]]+misc[[#This Row],[Core_DCU_Count]]+misc[[#This Row],[Core_DTLB_Count]]</f>
        <v>0</v>
      </c>
      <c r="V148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48" t="str">
        <f>_xlfn.TEXTJOIN("",,"*SOCKET0**COMPUTE",misc[[#This Row],[Compute]],"**UNCORE**SCF**SCF*LLC**SCF*LLC",misc[[#This Row],[location]],splitchar,"MCI*STATUS*")</f>
        <v>*SOCKET0**COMPUTE2**UNCORE**SCF**SCF*LLC**SCF*LLC145__MCI*STATUS*</v>
      </c>
      <c r="X148">
        <f>COUNTIFS(cha_mc[TestName],misc[[#This Row],[LLC_MCA_String]],cha_mc[VisualId],MC_Check!$H$2)</f>
        <v>0</v>
      </c>
    </row>
    <row r="149" spans="6:24" x14ac:dyDescent="0.35">
      <c r="F149">
        <v>2</v>
      </c>
      <c r="G149">
        <f t="shared" si="2"/>
        <v>146</v>
      </c>
      <c r="H149" s="5" t="b">
        <f>misc[[#This Row],[Core_Hitter_Count]]&gt;0</f>
        <v>0</v>
      </c>
      <c r="I149" t="b">
        <f>misc[[#This Row],[LLC_Hitter_Count]]&gt;0</f>
        <v>0</v>
      </c>
      <c r="J149" t="b">
        <f>misc[[#This Row],[CHA_Hitter_Count]]&gt;0</f>
        <v>0</v>
      </c>
      <c r="K149" t="str">
        <f>_xlfn.TEXTJOIN("",,"*SOCKET0**COMPUTE",misc[[#This Row],[Compute]],"**UNCORE**CHA**CHA",misc[[#This Row],[location]],splitchar,"UTIL**MC*STATUS*")</f>
        <v>*SOCKET0**COMPUTE2**UNCORE**CHA**CHA146__UTIL**MC*STATUS*</v>
      </c>
      <c r="L149">
        <f>COUNTIFS(cha_mc[TestName],misc[[#This Row],[CHA_MCA_String]],cha_mc[VisualId],MC_Check!$H$2)</f>
        <v>0</v>
      </c>
      <c r="M149" t="str">
        <f>_xlfn.TEXTJOIN("",,"*SOCKET0**COMPUTE",misc[[#This Row],[Compute]],"**CPU**CORE",misc[[#This Row],[location]],splitchar,"THREAD"&amp;"*",splitchar,"DCU*CR*MC1*STATUS**")</f>
        <v>*SOCKET0**COMPUTE2**CPU**CORE146__THREAD*__DCU*CR*MC1*STATUS**</v>
      </c>
      <c r="N149">
        <f>COUNTIFS(core_mc[TestName],misc[[#This Row],[DCU_MCA_String]],core_mc[VisualId],MC_Check!$H$2)</f>
        <v>0</v>
      </c>
      <c r="O149" t="str">
        <f>_xlfn.TEXTJOIN("",,"*SOCKET0**COMPUTE",misc[[#This Row],[Compute]],"**CPU**CORE",misc[[#This Row],[location]],splitchar,"DTLB*CR*MC2*STATUS**")</f>
        <v>*SOCKET0**COMPUTE2**CPU**CORE146__DTLB*CR*MC2*STATUS**</v>
      </c>
      <c r="P149">
        <f>COUNTIFS(core_mc[TestName],misc[[#This Row],[DTLB_MCA_String]],core_mc[VisualId],MC_Check!$H$2)</f>
        <v>0</v>
      </c>
      <c r="Q149" t="str">
        <f>_xlfn.TEXTJOIN("",,"*SOCKET0**COMPUTE",misc[[#This Row],[Compute]],"**CPU**CORE",misc[[#This Row],[location]],splitchar,"THREAD"&amp;"*",splitchar,"IFU*CR*MC0*STATUS**")</f>
        <v>*SOCKET0**COMPUTE2**CPU**CORE146__THREAD*__IFU*CR*MC0*STATUS**</v>
      </c>
      <c r="R149">
        <f>COUNTIFS(core_mc[TestName],misc[[#This Row],[IFU_MCA_String]],core_mc[VisualId],MC_Check!$H$2)</f>
        <v>0</v>
      </c>
      <c r="S149" t="str">
        <f>_xlfn.TEXTJOIN("",,"*SOCKET0**COMPUTE",misc[[#This Row],[Compute]],"**CPU**CORE",misc[[#This Row],[location]],splitchar,"ML2*CR*MC3*STATUS*")</f>
        <v>*SOCKET0**COMPUTE2**CPU**CORE146__ML2*CR*MC3*STATUS*</v>
      </c>
      <c r="T149">
        <f>COUNTIFS(core_mc[TestName],misc[[#This Row],[CORE_MCA_String]],core_mc[VisualId],MC_Check!$H$2)</f>
        <v>0</v>
      </c>
      <c r="U149">
        <f>misc[[#This Row],[Core_ML2_Count]]+misc[[#This Row],[Core_IFU_Count]]+misc[[#This Row],[Core_DCU_Count]]+misc[[#This Row],[Core_DTLB_Count]]</f>
        <v>0</v>
      </c>
      <c r="V149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49" t="str">
        <f>_xlfn.TEXTJOIN("",,"*SOCKET0**COMPUTE",misc[[#This Row],[Compute]],"**UNCORE**SCF**SCF*LLC**SCF*LLC",misc[[#This Row],[location]],splitchar,"MCI*STATUS*")</f>
        <v>*SOCKET0**COMPUTE2**UNCORE**SCF**SCF*LLC**SCF*LLC146__MCI*STATUS*</v>
      </c>
      <c r="X149">
        <f>COUNTIFS(cha_mc[TestName],misc[[#This Row],[LLC_MCA_String]],cha_mc[VisualId],MC_Check!$H$2)</f>
        <v>0</v>
      </c>
    </row>
    <row r="150" spans="6:24" x14ac:dyDescent="0.35">
      <c r="F150">
        <v>2</v>
      </c>
      <c r="G150">
        <f t="shared" si="2"/>
        <v>147</v>
      </c>
      <c r="H150" s="5" t="b">
        <f>misc[[#This Row],[Core_Hitter_Count]]&gt;0</f>
        <v>0</v>
      </c>
      <c r="I150" t="b">
        <f>misc[[#This Row],[LLC_Hitter_Count]]&gt;0</f>
        <v>0</v>
      </c>
      <c r="J150" t="b">
        <f>misc[[#This Row],[CHA_Hitter_Count]]&gt;0</f>
        <v>0</v>
      </c>
      <c r="K150" t="str">
        <f>_xlfn.TEXTJOIN("",,"*SOCKET0**COMPUTE",misc[[#This Row],[Compute]],"**UNCORE**CHA**CHA",misc[[#This Row],[location]],splitchar,"UTIL**MC*STATUS*")</f>
        <v>*SOCKET0**COMPUTE2**UNCORE**CHA**CHA147__UTIL**MC*STATUS*</v>
      </c>
      <c r="L150">
        <f>COUNTIFS(cha_mc[TestName],misc[[#This Row],[CHA_MCA_String]],cha_mc[VisualId],MC_Check!$H$2)</f>
        <v>0</v>
      </c>
      <c r="M150" t="str">
        <f>_xlfn.TEXTJOIN("",,"*SOCKET0**COMPUTE",misc[[#This Row],[Compute]],"**CPU**CORE",misc[[#This Row],[location]],splitchar,"THREAD"&amp;"*",splitchar,"DCU*CR*MC1*STATUS**")</f>
        <v>*SOCKET0**COMPUTE2**CPU**CORE147__THREAD*__DCU*CR*MC1*STATUS**</v>
      </c>
      <c r="N150">
        <f>COUNTIFS(core_mc[TestName],misc[[#This Row],[DCU_MCA_String]],core_mc[VisualId],MC_Check!$H$2)</f>
        <v>0</v>
      </c>
      <c r="O150" t="str">
        <f>_xlfn.TEXTJOIN("",,"*SOCKET0**COMPUTE",misc[[#This Row],[Compute]],"**CPU**CORE",misc[[#This Row],[location]],splitchar,"DTLB*CR*MC2*STATUS**")</f>
        <v>*SOCKET0**COMPUTE2**CPU**CORE147__DTLB*CR*MC2*STATUS**</v>
      </c>
      <c r="P150">
        <f>COUNTIFS(core_mc[TestName],misc[[#This Row],[DTLB_MCA_String]],core_mc[VisualId],MC_Check!$H$2)</f>
        <v>0</v>
      </c>
      <c r="Q150" t="str">
        <f>_xlfn.TEXTJOIN("",,"*SOCKET0**COMPUTE",misc[[#This Row],[Compute]],"**CPU**CORE",misc[[#This Row],[location]],splitchar,"THREAD"&amp;"*",splitchar,"IFU*CR*MC0*STATUS**")</f>
        <v>*SOCKET0**COMPUTE2**CPU**CORE147__THREAD*__IFU*CR*MC0*STATUS**</v>
      </c>
      <c r="R150">
        <f>COUNTIFS(core_mc[TestName],misc[[#This Row],[IFU_MCA_String]],core_mc[VisualId],MC_Check!$H$2)</f>
        <v>0</v>
      </c>
      <c r="S150" t="str">
        <f>_xlfn.TEXTJOIN("",,"*SOCKET0**COMPUTE",misc[[#This Row],[Compute]],"**CPU**CORE",misc[[#This Row],[location]],splitchar,"ML2*CR*MC3*STATUS*")</f>
        <v>*SOCKET0**COMPUTE2**CPU**CORE147__ML2*CR*MC3*STATUS*</v>
      </c>
      <c r="T150">
        <f>COUNTIFS(core_mc[TestName],misc[[#This Row],[CORE_MCA_String]],core_mc[VisualId],MC_Check!$H$2)</f>
        <v>0</v>
      </c>
      <c r="U150">
        <f>misc[[#This Row],[Core_ML2_Count]]+misc[[#This Row],[Core_IFU_Count]]+misc[[#This Row],[Core_DCU_Count]]+misc[[#This Row],[Core_DTLB_Count]]</f>
        <v>0</v>
      </c>
      <c r="V150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50" t="str">
        <f>_xlfn.TEXTJOIN("",,"*SOCKET0**COMPUTE",misc[[#This Row],[Compute]],"**UNCORE**SCF**SCF*LLC**SCF*LLC",misc[[#This Row],[location]],splitchar,"MCI*STATUS*")</f>
        <v>*SOCKET0**COMPUTE2**UNCORE**SCF**SCF*LLC**SCF*LLC147__MCI*STATUS*</v>
      </c>
      <c r="X150">
        <f>COUNTIFS(cha_mc[TestName],misc[[#This Row],[LLC_MCA_String]],cha_mc[VisualId],MC_Check!$H$2)</f>
        <v>0</v>
      </c>
    </row>
    <row r="151" spans="6:24" x14ac:dyDescent="0.35">
      <c r="F151">
        <v>2</v>
      </c>
      <c r="G151">
        <f t="shared" si="2"/>
        <v>148</v>
      </c>
      <c r="H151" s="5" t="b">
        <f>misc[[#This Row],[Core_Hitter_Count]]&gt;0</f>
        <v>0</v>
      </c>
      <c r="I151" t="b">
        <f>misc[[#This Row],[LLC_Hitter_Count]]&gt;0</f>
        <v>0</v>
      </c>
      <c r="J151" t="b">
        <f>misc[[#This Row],[CHA_Hitter_Count]]&gt;0</f>
        <v>0</v>
      </c>
      <c r="K151" t="str">
        <f>_xlfn.TEXTJOIN("",,"*SOCKET0**COMPUTE",misc[[#This Row],[Compute]],"**UNCORE**CHA**CHA",misc[[#This Row],[location]],splitchar,"UTIL**MC*STATUS*")</f>
        <v>*SOCKET0**COMPUTE2**UNCORE**CHA**CHA148__UTIL**MC*STATUS*</v>
      </c>
      <c r="L151">
        <f>COUNTIFS(cha_mc[TestName],misc[[#This Row],[CHA_MCA_String]],cha_mc[VisualId],MC_Check!$H$2)</f>
        <v>0</v>
      </c>
      <c r="M151" t="str">
        <f>_xlfn.TEXTJOIN("",,"*SOCKET0**COMPUTE",misc[[#This Row],[Compute]],"**CPU**CORE",misc[[#This Row],[location]],splitchar,"THREAD"&amp;"*",splitchar,"DCU*CR*MC1*STATUS**")</f>
        <v>*SOCKET0**COMPUTE2**CPU**CORE148__THREAD*__DCU*CR*MC1*STATUS**</v>
      </c>
      <c r="N151">
        <f>COUNTIFS(core_mc[TestName],misc[[#This Row],[DCU_MCA_String]],core_mc[VisualId],MC_Check!$H$2)</f>
        <v>0</v>
      </c>
      <c r="O151" t="str">
        <f>_xlfn.TEXTJOIN("",,"*SOCKET0**COMPUTE",misc[[#This Row],[Compute]],"**CPU**CORE",misc[[#This Row],[location]],splitchar,"DTLB*CR*MC2*STATUS**")</f>
        <v>*SOCKET0**COMPUTE2**CPU**CORE148__DTLB*CR*MC2*STATUS**</v>
      </c>
      <c r="P151">
        <f>COUNTIFS(core_mc[TestName],misc[[#This Row],[DTLB_MCA_String]],core_mc[VisualId],MC_Check!$H$2)</f>
        <v>0</v>
      </c>
      <c r="Q151" t="str">
        <f>_xlfn.TEXTJOIN("",,"*SOCKET0**COMPUTE",misc[[#This Row],[Compute]],"**CPU**CORE",misc[[#This Row],[location]],splitchar,"THREAD"&amp;"*",splitchar,"IFU*CR*MC0*STATUS**")</f>
        <v>*SOCKET0**COMPUTE2**CPU**CORE148__THREAD*__IFU*CR*MC0*STATUS**</v>
      </c>
      <c r="R151">
        <f>COUNTIFS(core_mc[TestName],misc[[#This Row],[IFU_MCA_String]],core_mc[VisualId],MC_Check!$H$2)</f>
        <v>0</v>
      </c>
      <c r="S151" t="str">
        <f>_xlfn.TEXTJOIN("",,"*SOCKET0**COMPUTE",misc[[#This Row],[Compute]],"**CPU**CORE",misc[[#This Row],[location]],splitchar,"ML2*CR*MC3*STATUS*")</f>
        <v>*SOCKET0**COMPUTE2**CPU**CORE148__ML2*CR*MC3*STATUS*</v>
      </c>
      <c r="T151">
        <f>COUNTIFS(core_mc[TestName],misc[[#This Row],[CORE_MCA_String]],core_mc[VisualId],MC_Check!$H$2)</f>
        <v>0</v>
      </c>
      <c r="U151">
        <f>misc[[#This Row],[Core_ML2_Count]]+misc[[#This Row],[Core_IFU_Count]]+misc[[#This Row],[Core_DCU_Count]]+misc[[#This Row],[Core_DTLB_Count]]</f>
        <v>0</v>
      </c>
      <c r="V151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51" t="str">
        <f>_xlfn.TEXTJOIN("",,"*SOCKET0**COMPUTE",misc[[#This Row],[Compute]],"**UNCORE**SCF**SCF*LLC**SCF*LLC",misc[[#This Row],[location]],splitchar,"MCI*STATUS*")</f>
        <v>*SOCKET0**COMPUTE2**UNCORE**SCF**SCF*LLC**SCF*LLC148__MCI*STATUS*</v>
      </c>
      <c r="X151">
        <f>COUNTIFS(cha_mc[TestName],misc[[#This Row],[LLC_MCA_String]],cha_mc[VisualId],MC_Check!$H$2)</f>
        <v>0</v>
      </c>
    </row>
    <row r="152" spans="6:24" x14ac:dyDescent="0.35">
      <c r="F152">
        <v>2</v>
      </c>
      <c r="G152">
        <f t="shared" si="2"/>
        <v>149</v>
      </c>
      <c r="H152" s="5" t="b">
        <f>misc[[#This Row],[Core_Hitter_Count]]&gt;0</f>
        <v>0</v>
      </c>
      <c r="I152" t="b">
        <f>misc[[#This Row],[LLC_Hitter_Count]]&gt;0</f>
        <v>0</v>
      </c>
      <c r="J152" t="b">
        <f>misc[[#This Row],[CHA_Hitter_Count]]&gt;0</f>
        <v>0</v>
      </c>
      <c r="K152" t="str">
        <f>_xlfn.TEXTJOIN("",,"*SOCKET0**COMPUTE",misc[[#This Row],[Compute]],"**UNCORE**CHA**CHA",misc[[#This Row],[location]],splitchar,"UTIL**MC*STATUS*")</f>
        <v>*SOCKET0**COMPUTE2**UNCORE**CHA**CHA149__UTIL**MC*STATUS*</v>
      </c>
      <c r="L152">
        <f>COUNTIFS(cha_mc[TestName],misc[[#This Row],[CHA_MCA_String]],cha_mc[VisualId],MC_Check!$H$2)</f>
        <v>0</v>
      </c>
      <c r="M152" t="str">
        <f>_xlfn.TEXTJOIN("",,"*SOCKET0**COMPUTE",misc[[#This Row],[Compute]],"**CPU**CORE",misc[[#This Row],[location]],splitchar,"THREAD"&amp;"*",splitchar,"DCU*CR*MC1*STATUS**")</f>
        <v>*SOCKET0**COMPUTE2**CPU**CORE149__THREAD*__DCU*CR*MC1*STATUS**</v>
      </c>
      <c r="N152">
        <f>COUNTIFS(core_mc[TestName],misc[[#This Row],[DCU_MCA_String]],core_mc[VisualId],MC_Check!$H$2)</f>
        <v>0</v>
      </c>
      <c r="O152" t="str">
        <f>_xlfn.TEXTJOIN("",,"*SOCKET0**COMPUTE",misc[[#This Row],[Compute]],"**CPU**CORE",misc[[#This Row],[location]],splitchar,"DTLB*CR*MC2*STATUS**")</f>
        <v>*SOCKET0**COMPUTE2**CPU**CORE149__DTLB*CR*MC2*STATUS**</v>
      </c>
      <c r="P152">
        <f>COUNTIFS(core_mc[TestName],misc[[#This Row],[DTLB_MCA_String]],core_mc[VisualId],MC_Check!$H$2)</f>
        <v>0</v>
      </c>
      <c r="Q152" t="str">
        <f>_xlfn.TEXTJOIN("",,"*SOCKET0**COMPUTE",misc[[#This Row],[Compute]],"**CPU**CORE",misc[[#This Row],[location]],splitchar,"THREAD"&amp;"*",splitchar,"IFU*CR*MC0*STATUS**")</f>
        <v>*SOCKET0**COMPUTE2**CPU**CORE149__THREAD*__IFU*CR*MC0*STATUS**</v>
      </c>
      <c r="R152">
        <f>COUNTIFS(core_mc[TestName],misc[[#This Row],[IFU_MCA_String]],core_mc[VisualId],MC_Check!$H$2)</f>
        <v>0</v>
      </c>
      <c r="S152" t="str">
        <f>_xlfn.TEXTJOIN("",,"*SOCKET0**COMPUTE",misc[[#This Row],[Compute]],"**CPU**CORE",misc[[#This Row],[location]],splitchar,"ML2*CR*MC3*STATUS*")</f>
        <v>*SOCKET0**COMPUTE2**CPU**CORE149__ML2*CR*MC3*STATUS*</v>
      </c>
      <c r="T152">
        <f>COUNTIFS(core_mc[TestName],misc[[#This Row],[CORE_MCA_String]],core_mc[VisualId],MC_Check!$H$2)</f>
        <v>0</v>
      </c>
      <c r="U152">
        <f>misc[[#This Row],[Core_ML2_Count]]+misc[[#This Row],[Core_IFU_Count]]+misc[[#This Row],[Core_DCU_Count]]+misc[[#This Row],[Core_DTLB_Count]]</f>
        <v>0</v>
      </c>
      <c r="V152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52" t="str">
        <f>_xlfn.TEXTJOIN("",,"*SOCKET0**COMPUTE",misc[[#This Row],[Compute]],"**UNCORE**SCF**SCF*LLC**SCF*LLC",misc[[#This Row],[location]],splitchar,"MCI*STATUS*")</f>
        <v>*SOCKET0**COMPUTE2**UNCORE**SCF**SCF*LLC**SCF*LLC149__MCI*STATUS*</v>
      </c>
      <c r="X152">
        <f>COUNTIFS(cha_mc[TestName],misc[[#This Row],[LLC_MCA_String]],cha_mc[VisualId],MC_Check!$H$2)</f>
        <v>0</v>
      </c>
    </row>
    <row r="153" spans="6:24" x14ac:dyDescent="0.35">
      <c r="F153">
        <v>2</v>
      </c>
      <c r="G153">
        <f t="shared" si="2"/>
        <v>150</v>
      </c>
      <c r="H153" s="5" t="b">
        <f>misc[[#This Row],[Core_Hitter_Count]]&gt;0</f>
        <v>0</v>
      </c>
      <c r="I153" t="b">
        <f>misc[[#This Row],[LLC_Hitter_Count]]&gt;0</f>
        <v>0</v>
      </c>
      <c r="J153" t="b">
        <f>misc[[#This Row],[CHA_Hitter_Count]]&gt;0</f>
        <v>0</v>
      </c>
      <c r="K153" t="str">
        <f>_xlfn.TEXTJOIN("",,"*SOCKET0**COMPUTE",misc[[#This Row],[Compute]],"**UNCORE**CHA**CHA",misc[[#This Row],[location]],splitchar,"UTIL**MC*STATUS*")</f>
        <v>*SOCKET0**COMPUTE2**UNCORE**CHA**CHA150__UTIL**MC*STATUS*</v>
      </c>
      <c r="L153">
        <f>COUNTIFS(cha_mc[TestName],misc[[#This Row],[CHA_MCA_String]],cha_mc[VisualId],MC_Check!$H$2)</f>
        <v>0</v>
      </c>
      <c r="M153" t="str">
        <f>_xlfn.TEXTJOIN("",,"*SOCKET0**COMPUTE",misc[[#This Row],[Compute]],"**CPU**CORE",misc[[#This Row],[location]],splitchar,"THREAD"&amp;"*",splitchar,"DCU*CR*MC1*STATUS**")</f>
        <v>*SOCKET0**COMPUTE2**CPU**CORE150__THREAD*__DCU*CR*MC1*STATUS**</v>
      </c>
      <c r="N153">
        <f>COUNTIFS(core_mc[TestName],misc[[#This Row],[DCU_MCA_String]],core_mc[VisualId],MC_Check!$H$2)</f>
        <v>0</v>
      </c>
      <c r="O153" t="str">
        <f>_xlfn.TEXTJOIN("",,"*SOCKET0**COMPUTE",misc[[#This Row],[Compute]],"**CPU**CORE",misc[[#This Row],[location]],splitchar,"DTLB*CR*MC2*STATUS**")</f>
        <v>*SOCKET0**COMPUTE2**CPU**CORE150__DTLB*CR*MC2*STATUS**</v>
      </c>
      <c r="P153">
        <f>COUNTIFS(core_mc[TestName],misc[[#This Row],[DTLB_MCA_String]],core_mc[VisualId],MC_Check!$H$2)</f>
        <v>0</v>
      </c>
      <c r="Q153" t="str">
        <f>_xlfn.TEXTJOIN("",,"*SOCKET0**COMPUTE",misc[[#This Row],[Compute]],"**CPU**CORE",misc[[#This Row],[location]],splitchar,"THREAD"&amp;"*",splitchar,"IFU*CR*MC0*STATUS**")</f>
        <v>*SOCKET0**COMPUTE2**CPU**CORE150__THREAD*__IFU*CR*MC0*STATUS**</v>
      </c>
      <c r="R153">
        <f>COUNTIFS(core_mc[TestName],misc[[#This Row],[IFU_MCA_String]],core_mc[VisualId],MC_Check!$H$2)</f>
        <v>0</v>
      </c>
      <c r="S153" t="str">
        <f>_xlfn.TEXTJOIN("",,"*SOCKET0**COMPUTE",misc[[#This Row],[Compute]],"**CPU**CORE",misc[[#This Row],[location]],splitchar,"ML2*CR*MC3*STATUS*")</f>
        <v>*SOCKET0**COMPUTE2**CPU**CORE150__ML2*CR*MC3*STATUS*</v>
      </c>
      <c r="T153">
        <f>COUNTIFS(core_mc[TestName],misc[[#This Row],[CORE_MCA_String]],core_mc[VisualId],MC_Check!$H$2)</f>
        <v>0</v>
      </c>
      <c r="U153">
        <f>misc[[#This Row],[Core_ML2_Count]]+misc[[#This Row],[Core_IFU_Count]]+misc[[#This Row],[Core_DCU_Count]]+misc[[#This Row],[Core_DTLB_Count]]</f>
        <v>0</v>
      </c>
      <c r="V153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53" t="str">
        <f>_xlfn.TEXTJOIN("",,"*SOCKET0**COMPUTE",misc[[#This Row],[Compute]],"**UNCORE**SCF**SCF*LLC**SCF*LLC",misc[[#This Row],[location]],splitchar,"MCI*STATUS*")</f>
        <v>*SOCKET0**COMPUTE2**UNCORE**SCF**SCF*LLC**SCF*LLC150__MCI*STATUS*</v>
      </c>
      <c r="X153">
        <f>COUNTIFS(cha_mc[TestName],misc[[#This Row],[LLC_MCA_String]],cha_mc[VisualId],MC_Check!$H$2)</f>
        <v>0</v>
      </c>
    </row>
    <row r="154" spans="6:24" x14ac:dyDescent="0.35">
      <c r="F154">
        <v>2</v>
      </c>
      <c r="G154">
        <f t="shared" si="2"/>
        <v>151</v>
      </c>
      <c r="H154" s="5" t="b">
        <f>misc[[#This Row],[Core_Hitter_Count]]&gt;0</f>
        <v>0</v>
      </c>
      <c r="I154" t="b">
        <f>misc[[#This Row],[LLC_Hitter_Count]]&gt;0</f>
        <v>0</v>
      </c>
      <c r="J154" t="b">
        <f>misc[[#This Row],[CHA_Hitter_Count]]&gt;0</f>
        <v>0</v>
      </c>
      <c r="K154" t="str">
        <f>_xlfn.TEXTJOIN("",,"*SOCKET0**COMPUTE",misc[[#This Row],[Compute]],"**UNCORE**CHA**CHA",misc[[#This Row],[location]],splitchar,"UTIL**MC*STATUS*")</f>
        <v>*SOCKET0**COMPUTE2**UNCORE**CHA**CHA151__UTIL**MC*STATUS*</v>
      </c>
      <c r="L154">
        <f>COUNTIFS(cha_mc[TestName],misc[[#This Row],[CHA_MCA_String]],cha_mc[VisualId],MC_Check!$H$2)</f>
        <v>0</v>
      </c>
      <c r="M154" t="str">
        <f>_xlfn.TEXTJOIN("",,"*SOCKET0**COMPUTE",misc[[#This Row],[Compute]],"**CPU**CORE",misc[[#This Row],[location]],splitchar,"THREAD"&amp;"*",splitchar,"DCU*CR*MC1*STATUS**")</f>
        <v>*SOCKET0**COMPUTE2**CPU**CORE151__THREAD*__DCU*CR*MC1*STATUS**</v>
      </c>
      <c r="N154">
        <f>COUNTIFS(core_mc[TestName],misc[[#This Row],[DCU_MCA_String]],core_mc[VisualId],MC_Check!$H$2)</f>
        <v>0</v>
      </c>
      <c r="O154" t="str">
        <f>_xlfn.TEXTJOIN("",,"*SOCKET0**COMPUTE",misc[[#This Row],[Compute]],"**CPU**CORE",misc[[#This Row],[location]],splitchar,"DTLB*CR*MC2*STATUS**")</f>
        <v>*SOCKET0**COMPUTE2**CPU**CORE151__DTLB*CR*MC2*STATUS**</v>
      </c>
      <c r="P154">
        <f>COUNTIFS(core_mc[TestName],misc[[#This Row],[DTLB_MCA_String]],core_mc[VisualId],MC_Check!$H$2)</f>
        <v>0</v>
      </c>
      <c r="Q154" t="str">
        <f>_xlfn.TEXTJOIN("",,"*SOCKET0**COMPUTE",misc[[#This Row],[Compute]],"**CPU**CORE",misc[[#This Row],[location]],splitchar,"THREAD"&amp;"*",splitchar,"IFU*CR*MC0*STATUS**")</f>
        <v>*SOCKET0**COMPUTE2**CPU**CORE151__THREAD*__IFU*CR*MC0*STATUS**</v>
      </c>
      <c r="R154">
        <f>COUNTIFS(core_mc[TestName],misc[[#This Row],[IFU_MCA_String]],core_mc[VisualId],MC_Check!$H$2)</f>
        <v>0</v>
      </c>
      <c r="S154" t="str">
        <f>_xlfn.TEXTJOIN("",,"*SOCKET0**COMPUTE",misc[[#This Row],[Compute]],"**CPU**CORE",misc[[#This Row],[location]],splitchar,"ML2*CR*MC3*STATUS*")</f>
        <v>*SOCKET0**COMPUTE2**CPU**CORE151__ML2*CR*MC3*STATUS*</v>
      </c>
      <c r="T154">
        <f>COUNTIFS(core_mc[TestName],misc[[#This Row],[CORE_MCA_String]],core_mc[VisualId],MC_Check!$H$2)</f>
        <v>0</v>
      </c>
      <c r="U154">
        <f>misc[[#This Row],[Core_ML2_Count]]+misc[[#This Row],[Core_IFU_Count]]+misc[[#This Row],[Core_DCU_Count]]+misc[[#This Row],[Core_DTLB_Count]]</f>
        <v>0</v>
      </c>
      <c r="V154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54" t="str">
        <f>_xlfn.TEXTJOIN("",,"*SOCKET0**COMPUTE",misc[[#This Row],[Compute]],"**UNCORE**SCF**SCF*LLC**SCF*LLC",misc[[#This Row],[location]],splitchar,"MCI*STATUS*")</f>
        <v>*SOCKET0**COMPUTE2**UNCORE**SCF**SCF*LLC**SCF*LLC151__MCI*STATUS*</v>
      </c>
      <c r="X154">
        <f>COUNTIFS(cha_mc[TestName],misc[[#This Row],[LLC_MCA_String]],cha_mc[VisualId],MC_Check!$H$2)</f>
        <v>0</v>
      </c>
    </row>
    <row r="155" spans="6:24" x14ac:dyDescent="0.35">
      <c r="F155">
        <v>2</v>
      </c>
      <c r="G155">
        <f t="shared" si="2"/>
        <v>152</v>
      </c>
      <c r="H155" s="5" t="b">
        <f>misc[[#This Row],[Core_Hitter_Count]]&gt;0</f>
        <v>0</v>
      </c>
      <c r="I155" t="b">
        <f>misc[[#This Row],[LLC_Hitter_Count]]&gt;0</f>
        <v>0</v>
      </c>
      <c r="J155" t="b">
        <f>misc[[#This Row],[CHA_Hitter_Count]]&gt;0</f>
        <v>0</v>
      </c>
      <c r="K155" t="str">
        <f>_xlfn.TEXTJOIN("",,"*SOCKET0**COMPUTE",misc[[#This Row],[Compute]],"**UNCORE**CHA**CHA",misc[[#This Row],[location]],splitchar,"UTIL**MC*STATUS*")</f>
        <v>*SOCKET0**COMPUTE2**UNCORE**CHA**CHA152__UTIL**MC*STATUS*</v>
      </c>
      <c r="L155">
        <f>COUNTIFS(cha_mc[TestName],misc[[#This Row],[CHA_MCA_String]],cha_mc[VisualId],MC_Check!$H$2)</f>
        <v>0</v>
      </c>
      <c r="M155" t="str">
        <f>_xlfn.TEXTJOIN("",,"*SOCKET0**COMPUTE",misc[[#This Row],[Compute]],"**CPU**CORE",misc[[#This Row],[location]],splitchar,"THREAD"&amp;"*",splitchar,"DCU*CR*MC1*STATUS**")</f>
        <v>*SOCKET0**COMPUTE2**CPU**CORE152__THREAD*__DCU*CR*MC1*STATUS**</v>
      </c>
      <c r="N155">
        <f>COUNTIFS(core_mc[TestName],misc[[#This Row],[DCU_MCA_String]],core_mc[VisualId],MC_Check!$H$2)</f>
        <v>0</v>
      </c>
      <c r="O155" t="str">
        <f>_xlfn.TEXTJOIN("",,"*SOCKET0**COMPUTE",misc[[#This Row],[Compute]],"**CPU**CORE",misc[[#This Row],[location]],splitchar,"DTLB*CR*MC2*STATUS**")</f>
        <v>*SOCKET0**COMPUTE2**CPU**CORE152__DTLB*CR*MC2*STATUS**</v>
      </c>
      <c r="P155">
        <f>COUNTIFS(core_mc[TestName],misc[[#This Row],[DTLB_MCA_String]],core_mc[VisualId],MC_Check!$H$2)</f>
        <v>0</v>
      </c>
      <c r="Q155" t="str">
        <f>_xlfn.TEXTJOIN("",,"*SOCKET0**COMPUTE",misc[[#This Row],[Compute]],"**CPU**CORE",misc[[#This Row],[location]],splitchar,"THREAD"&amp;"*",splitchar,"IFU*CR*MC0*STATUS**")</f>
        <v>*SOCKET0**COMPUTE2**CPU**CORE152__THREAD*__IFU*CR*MC0*STATUS**</v>
      </c>
      <c r="R155">
        <f>COUNTIFS(core_mc[TestName],misc[[#This Row],[IFU_MCA_String]],core_mc[VisualId],MC_Check!$H$2)</f>
        <v>0</v>
      </c>
      <c r="S155" t="str">
        <f>_xlfn.TEXTJOIN("",,"*SOCKET0**COMPUTE",misc[[#This Row],[Compute]],"**CPU**CORE",misc[[#This Row],[location]],splitchar,"ML2*CR*MC3*STATUS*")</f>
        <v>*SOCKET0**COMPUTE2**CPU**CORE152__ML2*CR*MC3*STATUS*</v>
      </c>
      <c r="T155">
        <f>COUNTIFS(core_mc[TestName],misc[[#This Row],[CORE_MCA_String]],core_mc[VisualId],MC_Check!$H$2)</f>
        <v>0</v>
      </c>
      <c r="U155">
        <f>misc[[#This Row],[Core_ML2_Count]]+misc[[#This Row],[Core_IFU_Count]]+misc[[#This Row],[Core_DCU_Count]]+misc[[#This Row],[Core_DTLB_Count]]</f>
        <v>0</v>
      </c>
      <c r="V155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55" t="str">
        <f>_xlfn.TEXTJOIN("",,"*SOCKET0**COMPUTE",misc[[#This Row],[Compute]],"**UNCORE**SCF**SCF*LLC**SCF*LLC",misc[[#This Row],[location]],splitchar,"MCI*STATUS*")</f>
        <v>*SOCKET0**COMPUTE2**UNCORE**SCF**SCF*LLC**SCF*LLC152__MCI*STATUS*</v>
      </c>
      <c r="X155">
        <f>COUNTIFS(cha_mc[TestName],misc[[#This Row],[LLC_MCA_String]],cha_mc[VisualId],MC_Check!$H$2)</f>
        <v>0</v>
      </c>
    </row>
    <row r="156" spans="6:24" x14ac:dyDescent="0.35">
      <c r="F156">
        <v>2</v>
      </c>
      <c r="G156">
        <f t="shared" si="2"/>
        <v>153</v>
      </c>
      <c r="H156" s="5" t="b">
        <f>misc[[#This Row],[Core_Hitter_Count]]&gt;0</f>
        <v>0</v>
      </c>
      <c r="I156" t="b">
        <f>misc[[#This Row],[LLC_Hitter_Count]]&gt;0</f>
        <v>0</v>
      </c>
      <c r="J156" t="b">
        <f>misc[[#This Row],[CHA_Hitter_Count]]&gt;0</f>
        <v>0</v>
      </c>
      <c r="K156" t="str">
        <f>_xlfn.TEXTJOIN("",,"*SOCKET0**COMPUTE",misc[[#This Row],[Compute]],"**UNCORE**CHA**CHA",misc[[#This Row],[location]],splitchar,"UTIL**MC*STATUS*")</f>
        <v>*SOCKET0**COMPUTE2**UNCORE**CHA**CHA153__UTIL**MC*STATUS*</v>
      </c>
      <c r="L156">
        <f>COUNTIFS(cha_mc[TestName],misc[[#This Row],[CHA_MCA_String]],cha_mc[VisualId],MC_Check!$H$2)</f>
        <v>0</v>
      </c>
      <c r="M156" t="str">
        <f>_xlfn.TEXTJOIN("",,"*SOCKET0**COMPUTE",misc[[#This Row],[Compute]],"**CPU**CORE",misc[[#This Row],[location]],splitchar,"THREAD"&amp;"*",splitchar,"DCU*CR*MC1*STATUS**")</f>
        <v>*SOCKET0**COMPUTE2**CPU**CORE153__THREAD*__DCU*CR*MC1*STATUS**</v>
      </c>
      <c r="N156">
        <f>COUNTIFS(core_mc[TestName],misc[[#This Row],[DCU_MCA_String]],core_mc[VisualId],MC_Check!$H$2)</f>
        <v>0</v>
      </c>
      <c r="O156" t="str">
        <f>_xlfn.TEXTJOIN("",,"*SOCKET0**COMPUTE",misc[[#This Row],[Compute]],"**CPU**CORE",misc[[#This Row],[location]],splitchar,"DTLB*CR*MC2*STATUS**")</f>
        <v>*SOCKET0**COMPUTE2**CPU**CORE153__DTLB*CR*MC2*STATUS**</v>
      </c>
      <c r="P156">
        <f>COUNTIFS(core_mc[TestName],misc[[#This Row],[DTLB_MCA_String]],core_mc[VisualId],MC_Check!$H$2)</f>
        <v>0</v>
      </c>
      <c r="Q156" t="str">
        <f>_xlfn.TEXTJOIN("",,"*SOCKET0**COMPUTE",misc[[#This Row],[Compute]],"**CPU**CORE",misc[[#This Row],[location]],splitchar,"THREAD"&amp;"*",splitchar,"IFU*CR*MC0*STATUS**")</f>
        <v>*SOCKET0**COMPUTE2**CPU**CORE153__THREAD*__IFU*CR*MC0*STATUS**</v>
      </c>
      <c r="R156">
        <f>COUNTIFS(core_mc[TestName],misc[[#This Row],[IFU_MCA_String]],core_mc[VisualId],MC_Check!$H$2)</f>
        <v>0</v>
      </c>
      <c r="S156" t="str">
        <f>_xlfn.TEXTJOIN("",,"*SOCKET0**COMPUTE",misc[[#This Row],[Compute]],"**CPU**CORE",misc[[#This Row],[location]],splitchar,"ML2*CR*MC3*STATUS*")</f>
        <v>*SOCKET0**COMPUTE2**CPU**CORE153__ML2*CR*MC3*STATUS*</v>
      </c>
      <c r="T156">
        <f>COUNTIFS(core_mc[TestName],misc[[#This Row],[CORE_MCA_String]],core_mc[VisualId],MC_Check!$H$2)</f>
        <v>0</v>
      </c>
      <c r="U156">
        <f>misc[[#This Row],[Core_ML2_Count]]+misc[[#This Row],[Core_IFU_Count]]+misc[[#This Row],[Core_DCU_Count]]+misc[[#This Row],[Core_DTLB_Count]]</f>
        <v>0</v>
      </c>
      <c r="V156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56" t="str">
        <f>_xlfn.TEXTJOIN("",,"*SOCKET0**COMPUTE",misc[[#This Row],[Compute]],"**UNCORE**SCF**SCF*LLC**SCF*LLC",misc[[#This Row],[location]],splitchar,"MCI*STATUS*")</f>
        <v>*SOCKET0**COMPUTE2**UNCORE**SCF**SCF*LLC**SCF*LLC153__MCI*STATUS*</v>
      </c>
      <c r="X156">
        <f>COUNTIFS(cha_mc[TestName],misc[[#This Row],[LLC_MCA_String]],cha_mc[VisualId],MC_Check!$H$2)</f>
        <v>0</v>
      </c>
    </row>
    <row r="157" spans="6:24" x14ac:dyDescent="0.35">
      <c r="F157">
        <v>2</v>
      </c>
      <c r="G157">
        <f t="shared" si="2"/>
        <v>154</v>
      </c>
      <c r="H157" s="5" t="b">
        <f>misc[[#This Row],[Core_Hitter_Count]]&gt;0</f>
        <v>0</v>
      </c>
      <c r="I157" t="b">
        <f>misc[[#This Row],[LLC_Hitter_Count]]&gt;0</f>
        <v>0</v>
      </c>
      <c r="J157" t="b">
        <f>misc[[#This Row],[CHA_Hitter_Count]]&gt;0</f>
        <v>0</v>
      </c>
      <c r="K157" t="str">
        <f>_xlfn.TEXTJOIN("",,"*SOCKET0**COMPUTE",misc[[#This Row],[Compute]],"**UNCORE**CHA**CHA",misc[[#This Row],[location]],splitchar,"UTIL**MC*STATUS*")</f>
        <v>*SOCKET0**COMPUTE2**UNCORE**CHA**CHA154__UTIL**MC*STATUS*</v>
      </c>
      <c r="L157">
        <f>COUNTIFS(cha_mc[TestName],misc[[#This Row],[CHA_MCA_String]],cha_mc[VisualId],MC_Check!$H$2)</f>
        <v>0</v>
      </c>
      <c r="M157" t="str">
        <f>_xlfn.TEXTJOIN("",,"*SOCKET0**COMPUTE",misc[[#This Row],[Compute]],"**CPU**CORE",misc[[#This Row],[location]],splitchar,"THREAD"&amp;"*",splitchar,"DCU*CR*MC1*STATUS**")</f>
        <v>*SOCKET0**COMPUTE2**CPU**CORE154__THREAD*__DCU*CR*MC1*STATUS**</v>
      </c>
      <c r="N157">
        <f>COUNTIFS(core_mc[TestName],misc[[#This Row],[DCU_MCA_String]],core_mc[VisualId],MC_Check!$H$2)</f>
        <v>0</v>
      </c>
      <c r="O157" t="str">
        <f>_xlfn.TEXTJOIN("",,"*SOCKET0**COMPUTE",misc[[#This Row],[Compute]],"**CPU**CORE",misc[[#This Row],[location]],splitchar,"DTLB*CR*MC2*STATUS**")</f>
        <v>*SOCKET0**COMPUTE2**CPU**CORE154__DTLB*CR*MC2*STATUS**</v>
      </c>
      <c r="P157">
        <f>COUNTIFS(core_mc[TestName],misc[[#This Row],[DTLB_MCA_String]],core_mc[VisualId],MC_Check!$H$2)</f>
        <v>0</v>
      </c>
      <c r="Q157" t="str">
        <f>_xlfn.TEXTJOIN("",,"*SOCKET0**COMPUTE",misc[[#This Row],[Compute]],"**CPU**CORE",misc[[#This Row],[location]],splitchar,"THREAD"&amp;"*",splitchar,"IFU*CR*MC0*STATUS**")</f>
        <v>*SOCKET0**COMPUTE2**CPU**CORE154__THREAD*__IFU*CR*MC0*STATUS**</v>
      </c>
      <c r="R157">
        <f>COUNTIFS(core_mc[TestName],misc[[#This Row],[IFU_MCA_String]],core_mc[VisualId],MC_Check!$H$2)</f>
        <v>0</v>
      </c>
      <c r="S157" t="str">
        <f>_xlfn.TEXTJOIN("",,"*SOCKET0**COMPUTE",misc[[#This Row],[Compute]],"**CPU**CORE",misc[[#This Row],[location]],splitchar,"ML2*CR*MC3*STATUS*")</f>
        <v>*SOCKET0**COMPUTE2**CPU**CORE154__ML2*CR*MC3*STATUS*</v>
      </c>
      <c r="T157">
        <f>COUNTIFS(core_mc[TestName],misc[[#This Row],[CORE_MCA_String]],core_mc[VisualId],MC_Check!$H$2)</f>
        <v>0</v>
      </c>
      <c r="U157">
        <f>misc[[#This Row],[Core_ML2_Count]]+misc[[#This Row],[Core_IFU_Count]]+misc[[#This Row],[Core_DCU_Count]]+misc[[#This Row],[Core_DTLB_Count]]</f>
        <v>0</v>
      </c>
      <c r="V157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57" t="str">
        <f>_xlfn.TEXTJOIN("",,"*SOCKET0**COMPUTE",misc[[#This Row],[Compute]],"**UNCORE**SCF**SCF*LLC**SCF*LLC",misc[[#This Row],[location]],splitchar,"MCI*STATUS*")</f>
        <v>*SOCKET0**COMPUTE2**UNCORE**SCF**SCF*LLC**SCF*LLC154__MCI*STATUS*</v>
      </c>
      <c r="X157">
        <f>COUNTIFS(cha_mc[TestName],misc[[#This Row],[LLC_MCA_String]],cha_mc[VisualId],MC_Check!$H$2)</f>
        <v>0</v>
      </c>
    </row>
    <row r="158" spans="6:24" x14ac:dyDescent="0.35">
      <c r="F158">
        <v>2</v>
      </c>
      <c r="G158">
        <f t="shared" si="2"/>
        <v>155</v>
      </c>
      <c r="H158" s="5" t="b">
        <f>misc[[#This Row],[Core_Hitter_Count]]&gt;0</f>
        <v>0</v>
      </c>
      <c r="I158" t="b">
        <f>misc[[#This Row],[LLC_Hitter_Count]]&gt;0</f>
        <v>0</v>
      </c>
      <c r="J158" t="b">
        <f>misc[[#This Row],[CHA_Hitter_Count]]&gt;0</f>
        <v>0</v>
      </c>
      <c r="K158" t="str">
        <f>_xlfn.TEXTJOIN("",,"*SOCKET0**COMPUTE",misc[[#This Row],[Compute]],"**UNCORE**CHA**CHA",misc[[#This Row],[location]],splitchar,"UTIL**MC*STATUS*")</f>
        <v>*SOCKET0**COMPUTE2**UNCORE**CHA**CHA155__UTIL**MC*STATUS*</v>
      </c>
      <c r="L158">
        <f>COUNTIFS(cha_mc[TestName],misc[[#This Row],[CHA_MCA_String]],cha_mc[VisualId],MC_Check!$H$2)</f>
        <v>0</v>
      </c>
      <c r="M158" t="str">
        <f>_xlfn.TEXTJOIN("",,"*SOCKET0**COMPUTE",misc[[#This Row],[Compute]],"**CPU**CORE",misc[[#This Row],[location]],splitchar,"THREAD"&amp;"*",splitchar,"DCU*CR*MC1*STATUS**")</f>
        <v>*SOCKET0**COMPUTE2**CPU**CORE155__THREAD*__DCU*CR*MC1*STATUS**</v>
      </c>
      <c r="N158">
        <f>COUNTIFS(core_mc[TestName],misc[[#This Row],[DCU_MCA_String]],core_mc[VisualId],MC_Check!$H$2)</f>
        <v>0</v>
      </c>
      <c r="O158" t="str">
        <f>_xlfn.TEXTJOIN("",,"*SOCKET0**COMPUTE",misc[[#This Row],[Compute]],"**CPU**CORE",misc[[#This Row],[location]],splitchar,"DTLB*CR*MC2*STATUS**")</f>
        <v>*SOCKET0**COMPUTE2**CPU**CORE155__DTLB*CR*MC2*STATUS**</v>
      </c>
      <c r="P158">
        <f>COUNTIFS(core_mc[TestName],misc[[#This Row],[DTLB_MCA_String]],core_mc[VisualId],MC_Check!$H$2)</f>
        <v>0</v>
      </c>
      <c r="Q158" t="str">
        <f>_xlfn.TEXTJOIN("",,"*SOCKET0**COMPUTE",misc[[#This Row],[Compute]],"**CPU**CORE",misc[[#This Row],[location]],splitchar,"THREAD"&amp;"*",splitchar,"IFU*CR*MC0*STATUS**")</f>
        <v>*SOCKET0**COMPUTE2**CPU**CORE155__THREAD*__IFU*CR*MC0*STATUS**</v>
      </c>
      <c r="R158">
        <f>COUNTIFS(core_mc[TestName],misc[[#This Row],[IFU_MCA_String]],core_mc[VisualId],MC_Check!$H$2)</f>
        <v>0</v>
      </c>
      <c r="S158" t="str">
        <f>_xlfn.TEXTJOIN("",,"*SOCKET0**COMPUTE",misc[[#This Row],[Compute]],"**CPU**CORE",misc[[#This Row],[location]],splitchar,"ML2*CR*MC3*STATUS*")</f>
        <v>*SOCKET0**COMPUTE2**CPU**CORE155__ML2*CR*MC3*STATUS*</v>
      </c>
      <c r="T158">
        <f>COUNTIFS(core_mc[TestName],misc[[#This Row],[CORE_MCA_String]],core_mc[VisualId],MC_Check!$H$2)</f>
        <v>0</v>
      </c>
      <c r="U158">
        <f>misc[[#This Row],[Core_ML2_Count]]+misc[[#This Row],[Core_IFU_Count]]+misc[[#This Row],[Core_DCU_Count]]+misc[[#This Row],[Core_DTLB_Count]]</f>
        <v>0</v>
      </c>
      <c r="V158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58" t="str">
        <f>_xlfn.TEXTJOIN("",,"*SOCKET0**COMPUTE",misc[[#This Row],[Compute]],"**UNCORE**SCF**SCF*LLC**SCF*LLC",misc[[#This Row],[location]],splitchar,"MCI*STATUS*")</f>
        <v>*SOCKET0**COMPUTE2**UNCORE**SCF**SCF*LLC**SCF*LLC155__MCI*STATUS*</v>
      </c>
      <c r="X158">
        <f>COUNTIFS(cha_mc[TestName],misc[[#This Row],[LLC_MCA_String]],cha_mc[VisualId],MC_Check!$H$2)</f>
        <v>0</v>
      </c>
    </row>
    <row r="159" spans="6:24" x14ac:dyDescent="0.35">
      <c r="F159">
        <v>2</v>
      </c>
      <c r="G159">
        <f t="shared" ref="G159:G182" si="3">G158+1</f>
        <v>156</v>
      </c>
      <c r="H159" s="5" t="b">
        <f>misc[[#This Row],[Core_Hitter_Count]]&gt;0</f>
        <v>0</v>
      </c>
      <c r="I159" t="b">
        <f>misc[[#This Row],[LLC_Hitter_Count]]&gt;0</f>
        <v>0</v>
      </c>
      <c r="J159" t="b">
        <f>misc[[#This Row],[CHA_Hitter_Count]]&gt;0</f>
        <v>0</v>
      </c>
      <c r="K159" t="str">
        <f>_xlfn.TEXTJOIN("",,"*SOCKET0**COMPUTE",misc[[#This Row],[Compute]],"**UNCORE**CHA**CHA",misc[[#This Row],[location]],splitchar,"UTIL**MC*STATUS*")</f>
        <v>*SOCKET0**COMPUTE2**UNCORE**CHA**CHA156__UTIL**MC*STATUS*</v>
      </c>
      <c r="L159">
        <f>COUNTIFS(cha_mc[TestName],misc[[#This Row],[CHA_MCA_String]],cha_mc[VisualId],MC_Check!$H$2)</f>
        <v>0</v>
      </c>
      <c r="M159" t="str">
        <f>_xlfn.TEXTJOIN("",,"*SOCKET0**COMPUTE",misc[[#This Row],[Compute]],"**CPU**CORE",misc[[#This Row],[location]],splitchar,"THREAD"&amp;"*",splitchar,"DCU*CR*MC1*STATUS**")</f>
        <v>*SOCKET0**COMPUTE2**CPU**CORE156__THREAD*__DCU*CR*MC1*STATUS**</v>
      </c>
      <c r="N159">
        <f>COUNTIFS(core_mc[TestName],misc[[#This Row],[DCU_MCA_String]],core_mc[VisualId],MC_Check!$H$2)</f>
        <v>0</v>
      </c>
      <c r="O159" t="str">
        <f>_xlfn.TEXTJOIN("",,"*SOCKET0**COMPUTE",misc[[#This Row],[Compute]],"**CPU**CORE",misc[[#This Row],[location]],splitchar,"DTLB*CR*MC2*STATUS**")</f>
        <v>*SOCKET0**COMPUTE2**CPU**CORE156__DTLB*CR*MC2*STATUS**</v>
      </c>
      <c r="P159">
        <f>COUNTIFS(core_mc[TestName],misc[[#This Row],[DTLB_MCA_String]],core_mc[VisualId],MC_Check!$H$2)</f>
        <v>0</v>
      </c>
      <c r="Q159" t="str">
        <f>_xlfn.TEXTJOIN("",,"*SOCKET0**COMPUTE",misc[[#This Row],[Compute]],"**CPU**CORE",misc[[#This Row],[location]],splitchar,"THREAD"&amp;"*",splitchar,"IFU*CR*MC0*STATUS**")</f>
        <v>*SOCKET0**COMPUTE2**CPU**CORE156__THREAD*__IFU*CR*MC0*STATUS**</v>
      </c>
      <c r="R159">
        <f>COUNTIFS(core_mc[TestName],misc[[#This Row],[IFU_MCA_String]],core_mc[VisualId],MC_Check!$H$2)</f>
        <v>0</v>
      </c>
      <c r="S159" t="str">
        <f>_xlfn.TEXTJOIN("",,"*SOCKET0**COMPUTE",misc[[#This Row],[Compute]],"**CPU**CORE",misc[[#This Row],[location]],splitchar,"ML2*CR*MC3*STATUS*")</f>
        <v>*SOCKET0**COMPUTE2**CPU**CORE156__ML2*CR*MC3*STATUS*</v>
      </c>
      <c r="T159">
        <f>COUNTIFS(core_mc[TestName],misc[[#This Row],[CORE_MCA_String]],core_mc[VisualId],MC_Check!$H$2)</f>
        <v>0</v>
      </c>
      <c r="U159">
        <f>misc[[#This Row],[Core_ML2_Count]]+misc[[#This Row],[Core_IFU_Count]]+misc[[#This Row],[Core_DCU_Count]]+misc[[#This Row],[Core_DTLB_Count]]</f>
        <v>0</v>
      </c>
      <c r="V159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59" t="str">
        <f>_xlfn.TEXTJOIN("",,"*SOCKET0**COMPUTE",misc[[#This Row],[Compute]],"**UNCORE**SCF**SCF*LLC**SCF*LLC",misc[[#This Row],[location]],splitchar,"MCI*STATUS*")</f>
        <v>*SOCKET0**COMPUTE2**UNCORE**SCF**SCF*LLC**SCF*LLC156__MCI*STATUS*</v>
      </c>
      <c r="X159">
        <f>COUNTIFS(cha_mc[TestName],misc[[#This Row],[LLC_MCA_String]],cha_mc[VisualId],MC_Check!$H$2)</f>
        <v>0</v>
      </c>
    </row>
    <row r="160" spans="6:24" x14ac:dyDescent="0.35">
      <c r="F160">
        <v>2</v>
      </c>
      <c r="G160">
        <f t="shared" si="3"/>
        <v>157</v>
      </c>
      <c r="H160" s="5" t="b">
        <f>misc[[#This Row],[Core_Hitter_Count]]&gt;0</f>
        <v>0</v>
      </c>
      <c r="I160" t="b">
        <f>misc[[#This Row],[LLC_Hitter_Count]]&gt;0</f>
        <v>0</v>
      </c>
      <c r="J160" t="b">
        <f>misc[[#This Row],[CHA_Hitter_Count]]&gt;0</f>
        <v>0</v>
      </c>
      <c r="K160" t="str">
        <f>_xlfn.TEXTJOIN("",,"*SOCKET0**COMPUTE",misc[[#This Row],[Compute]],"**UNCORE**CHA**CHA",misc[[#This Row],[location]],splitchar,"UTIL**MC*STATUS*")</f>
        <v>*SOCKET0**COMPUTE2**UNCORE**CHA**CHA157__UTIL**MC*STATUS*</v>
      </c>
      <c r="L160">
        <f>COUNTIFS(cha_mc[TestName],misc[[#This Row],[CHA_MCA_String]],cha_mc[VisualId],MC_Check!$H$2)</f>
        <v>0</v>
      </c>
      <c r="M160" t="str">
        <f>_xlfn.TEXTJOIN("",,"*SOCKET0**COMPUTE",misc[[#This Row],[Compute]],"**CPU**CORE",misc[[#This Row],[location]],splitchar,"THREAD"&amp;"*",splitchar,"DCU*CR*MC1*STATUS**")</f>
        <v>*SOCKET0**COMPUTE2**CPU**CORE157__THREAD*__DCU*CR*MC1*STATUS**</v>
      </c>
      <c r="N160">
        <f>COUNTIFS(core_mc[TestName],misc[[#This Row],[DCU_MCA_String]],core_mc[VisualId],MC_Check!$H$2)</f>
        <v>0</v>
      </c>
      <c r="O160" t="str">
        <f>_xlfn.TEXTJOIN("",,"*SOCKET0**COMPUTE",misc[[#This Row],[Compute]],"**CPU**CORE",misc[[#This Row],[location]],splitchar,"DTLB*CR*MC2*STATUS**")</f>
        <v>*SOCKET0**COMPUTE2**CPU**CORE157__DTLB*CR*MC2*STATUS**</v>
      </c>
      <c r="P160">
        <f>COUNTIFS(core_mc[TestName],misc[[#This Row],[DTLB_MCA_String]],core_mc[VisualId],MC_Check!$H$2)</f>
        <v>0</v>
      </c>
      <c r="Q160" t="str">
        <f>_xlfn.TEXTJOIN("",,"*SOCKET0**COMPUTE",misc[[#This Row],[Compute]],"**CPU**CORE",misc[[#This Row],[location]],splitchar,"THREAD"&amp;"*",splitchar,"IFU*CR*MC0*STATUS**")</f>
        <v>*SOCKET0**COMPUTE2**CPU**CORE157__THREAD*__IFU*CR*MC0*STATUS**</v>
      </c>
      <c r="R160">
        <f>COUNTIFS(core_mc[TestName],misc[[#This Row],[IFU_MCA_String]],core_mc[VisualId],MC_Check!$H$2)</f>
        <v>0</v>
      </c>
      <c r="S160" t="str">
        <f>_xlfn.TEXTJOIN("",,"*SOCKET0**COMPUTE",misc[[#This Row],[Compute]],"**CPU**CORE",misc[[#This Row],[location]],splitchar,"ML2*CR*MC3*STATUS*")</f>
        <v>*SOCKET0**COMPUTE2**CPU**CORE157__ML2*CR*MC3*STATUS*</v>
      </c>
      <c r="T160">
        <f>COUNTIFS(core_mc[TestName],misc[[#This Row],[CORE_MCA_String]],core_mc[VisualId],MC_Check!$H$2)</f>
        <v>0</v>
      </c>
      <c r="U160">
        <f>misc[[#This Row],[Core_ML2_Count]]+misc[[#This Row],[Core_IFU_Count]]+misc[[#This Row],[Core_DCU_Count]]+misc[[#This Row],[Core_DTLB_Count]]</f>
        <v>0</v>
      </c>
      <c r="V160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60" t="str">
        <f>_xlfn.TEXTJOIN("",,"*SOCKET0**COMPUTE",misc[[#This Row],[Compute]],"**UNCORE**SCF**SCF*LLC**SCF*LLC",misc[[#This Row],[location]],splitchar,"MCI*STATUS*")</f>
        <v>*SOCKET0**COMPUTE2**UNCORE**SCF**SCF*LLC**SCF*LLC157__MCI*STATUS*</v>
      </c>
      <c r="X160">
        <f>COUNTIFS(cha_mc[TestName],misc[[#This Row],[LLC_MCA_String]],cha_mc[VisualId],MC_Check!$H$2)</f>
        <v>0</v>
      </c>
    </row>
    <row r="161" spans="6:24" x14ac:dyDescent="0.35">
      <c r="F161">
        <v>2</v>
      </c>
      <c r="G161">
        <f t="shared" si="3"/>
        <v>158</v>
      </c>
      <c r="H161" s="5" t="b">
        <f>misc[[#This Row],[Core_Hitter_Count]]&gt;0</f>
        <v>0</v>
      </c>
      <c r="I161" t="b">
        <f>misc[[#This Row],[LLC_Hitter_Count]]&gt;0</f>
        <v>0</v>
      </c>
      <c r="J161" t="b">
        <f>misc[[#This Row],[CHA_Hitter_Count]]&gt;0</f>
        <v>0</v>
      </c>
      <c r="K161" t="str">
        <f>_xlfn.TEXTJOIN("",,"*SOCKET0**COMPUTE",misc[[#This Row],[Compute]],"**UNCORE**CHA**CHA",misc[[#This Row],[location]],splitchar,"UTIL**MC*STATUS*")</f>
        <v>*SOCKET0**COMPUTE2**UNCORE**CHA**CHA158__UTIL**MC*STATUS*</v>
      </c>
      <c r="L161">
        <f>COUNTIFS(cha_mc[TestName],misc[[#This Row],[CHA_MCA_String]],cha_mc[VisualId],MC_Check!$H$2)</f>
        <v>0</v>
      </c>
      <c r="M161" t="str">
        <f>_xlfn.TEXTJOIN("",,"*SOCKET0**COMPUTE",misc[[#This Row],[Compute]],"**CPU**CORE",misc[[#This Row],[location]],splitchar,"THREAD"&amp;"*",splitchar,"DCU*CR*MC1*STATUS**")</f>
        <v>*SOCKET0**COMPUTE2**CPU**CORE158__THREAD*__DCU*CR*MC1*STATUS**</v>
      </c>
      <c r="N161">
        <f>COUNTIFS(core_mc[TestName],misc[[#This Row],[DCU_MCA_String]],core_mc[VisualId],MC_Check!$H$2)</f>
        <v>0</v>
      </c>
      <c r="O161" t="str">
        <f>_xlfn.TEXTJOIN("",,"*SOCKET0**COMPUTE",misc[[#This Row],[Compute]],"**CPU**CORE",misc[[#This Row],[location]],splitchar,"DTLB*CR*MC2*STATUS**")</f>
        <v>*SOCKET0**COMPUTE2**CPU**CORE158__DTLB*CR*MC2*STATUS**</v>
      </c>
      <c r="P161">
        <f>COUNTIFS(core_mc[TestName],misc[[#This Row],[DTLB_MCA_String]],core_mc[VisualId],MC_Check!$H$2)</f>
        <v>0</v>
      </c>
      <c r="Q161" t="str">
        <f>_xlfn.TEXTJOIN("",,"*SOCKET0**COMPUTE",misc[[#This Row],[Compute]],"**CPU**CORE",misc[[#This Row],[location]],splitchar,"THREAD"&amp;"*",splitchar,"IFU*CR*MC0*STATUS**")</f>
        <v>*SOCKET0**COMPUTE2**CPU**CORE158__THREAD*__IFU*CR*MC0*STATUS**</v>
      </c>
      <c r="R161">
        <f>COUNTIFS(core_mc[TestName],misc[[#This Row],[IFU_MCA_String]],core_mc[VisualId],MC_Check!$H$2)</f>
        <v>0</v>
      </c>
      <c r="S161" t="str">
        <f>_xlfn.TEXTJOIN("",,"*SOCKET0**COMPUTE",misc[[#This Row],[Compute]],"**CPU**CORE",misc[[#This Row],[location]],splitchar,"ML2*CR*MC3*STATUS*")</f>
        <v>*SOCKET0**COMPUTE2**CPU**CORE158__ML2*CR*MC3*STATUS*</v>
      </c>
      <c r="T161">
        <f>COUNTIFS(core_mc[TestName],misc[[#This Row],[CORE_MCA_String]],core_mc[VisualId],MC_Check!$H$2)</f>
        <v>0</v>
      </c>
      <c r="U161">
        <f>misc[[#This Row],[Core_ML2_Count]]+misc[[#This Row],[Core_IFU_Count]]+misc[[#This Row],[Core_DCU_Count]]+misc[[#This Row],[Core_DTLB_Count]]</f>
        <v>0</v>
      </c>
      <c r="V161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61" t="str">
        <f>_xlfn.TEXTJOIN("",,"*SOCKET0**COMPUTE",misc[[#This Row],[Compute]],"**UNCORE**SCF**SCF*LLC**SCF*LLC",misc[[#This Row],[location]],splitchar,"MCI*STATUS*")</f>
        <v>*SOCKET0**COMPUTE2**UNCORE**SCF**SCF*LLC**SCF*LLC158__MCI*STATUS*</v>
      </c>
      <c r="X161">
        <f>COUNTIFS(cha_mc[TestName],misc[[#This Row],[LLC_MCA_String]],cha_mc[VisualId],MC_Check!$H$2)</f>
        <v>0</v>
      </c>
    </row>
    <row r="162" spans="6:24" x14ac:dyDescent="0.35">
      <c r="F162">
        <v>2</v>
      </c>
      <c r="G162">
        <f t="shared" si="3"/>
        <v>159</v>
      </c>
      <c r="H162" s="5" t="b">
        <f>misc[[#This Row],[Core_Hitter_Count]]&gt;0</f>
        <v>0</v>
      </c>
      <c r="I162" t="b">
        <f>misc[[#This Row],[LLC_Hitter_Count]]&gt;0</f>
        <v>0</v>
      </c>
      <c r="J162" t="b">
        <f>misc[[#This Row],[CHA_Hitter_Count]]&gt;0</f>
        <v>0</v>
      </c>
      <c r="K162" t="str">
        <f>_xlfn.TEXTJOIN("",,"*SOCKET0**COMPUTE",misc[[#This Row],[Compute]],"**UNCORE**CHA**CHA",misc[[#This Row],[location]],splitchar,"UTIL**MC*STATUS*")</f>
        <v>*SOCKET0**COMPUTE2**UNCORE**CHA**CHA159__UTIL**MC*STATUS*</v>
      </c>
      <c r="L162">
        <f>COUNTIFS(cha_mc[TestName],misc[[#This Row],[CHA_MCA_String]],cha_mc[VisualId],MC_Check!$H$2)</f>
        <v>0</v>
      </c>
      <c r="M162" t="str">
        <f>_xlfn.TEXTJOIN("",,"*SOCKET0**COMPUTE",misc[[#This Row],[Compute]],"**CPU**CORE",misc[[#This Row],[location]],splitchar,"THREAD"&amp;"*",splitchar,"DCU*CR*MC1*STATUS**")</f>
        <v>*SOCKET0**COMPUTE2**CPU**CORE159__THREAD*__DCU*CR*MC1*STATUS**</v>
      </c>
      <c r="N162">
        <f>COUNTIFS(core_mc[TestName],misc[[#This Row],[DCU_MCA_String]],core_mc[VisualId],MC_Check!$H$2)</f>
        <v>0</v>
      </c>
      <c r="O162" t="str">
        <f>_xlfn.TEXTJOIN("",,"*SOCKET0**COMPUTE",misc[[#This Row],[Compute]],"**CPU**CORE",misc[[#This Row],[location]],splitchar,"DTLB*CR*MC2*STATUS**")</f>
        <v>*SOCKET0**COMPUTE2**CPU**CORE159__DTLB*CR*MC2*STATUS**</v>
      </c>
      <c r="P162">
        <f>COUNTIFS(core_mc[TestName],misc[[#This Row],[DTLB_MCA_String]],core_mc[VisualId],MC_Check!$H$2)</f>
        <v>0</v>
      </c>
      <c r="Q162" t="str">
        <f>_xlfn.TEXTJOIN("",,"*SOCKET0**COMPUTE",misc[[#This Row],[Compute]],"**CPU**CORE",misc[[#This Row],[location]],splitchar,"THREAD"&amp;"*",splitchar,"IFU*CR*MC0*STATUS**")</f>
        <v>*SOCKET0**COMPUTE2**CPU**CORE159__THREAD*__IFU*CR*MC0*STATUS**</v>
      </c>
      <c r="R162">
        <f>COUNTIFS(core_mc[TestName],misc[[#This Row],[IFU_MCA_String]],core_mc[VisualId],MC_Check!$H$2)</f>
        <v>0</v>
      </c>
      <c r="S162" t="str">
        <f>_xlfn.TEXTJOIN("",,"*SOCKET0**COMPUTE",misc[[#This Row],[Compute]],"**CPU**CORE",misc[[#This Row],[location]],splitchar,"ML2*CR*MC3*STATUS*")</f>
        <v>*SOCKET0**COMPUTE2**CPU**CORE159__ML2*CR*MC3*STATUS*</v>
      </c>
      <c r="T162">
        <f>COUNTIFS(core_mc[TestName],misc[[#This Row],[CORE_MCA_String]],core_mc[VisualId],MC_Check!$H$2)</f>
        <v>0</v>
      </c>
      <c r="U162">
        <f>misc[[#This Row],[Core_ML2_Count]]+misc[[#This Row],[Core_IFU_Count]]+misc[[#This Row],[Core_DCU_Count]]+misc[[#This Row],[Core_DTLB_Count]]</f>
        <v>0</v>
      </c>
      <c r="V162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62" t="str">
        <f>_xlfn.TEXTJOIN("",,"*SOCKET0**COMPUTE",misc[[#This Row],[Compute]],"**UNCORE**SCF**SCF*LLC**SCF*LLC",misc[[#This Row],[location]],splitchar,"MCI*STATUS*")</f>
        <v>*SOCKET0**COMPUTE2**UNCORE**SCF**SCF*LLC**SCF*LLC159__MCI*STATUS*</v>
      </c>
      <c r="X162">
        <f>COUNTIFS(cha_mc[TestName],misc[[#This Row],[LLC_MCA_String]],cha_mc[VisualId],MC_Check!$H$2)</f>
        <v>0</v>
      </c>
    </row>
    <row r="163" spans="6:24" x14ac:dyDescent="0.35">
      <c r="F163">
        <v>2</v>
      </c>
      <c r="G163">
        <f t="shared" si="3"/>
        <v>160</v>
      </c>
      <c r="H163" s="5" t="b">
        <f>misc[[#This Row],[Core_Hitter_Count]]&gt;0</f>
        <v>0</v>
      </c>
      <c r="I163" t="b">
        <f>misc[[#This Row],[LLC_Hitter_Count]]&gt;0</f>
        <v>0</v>
      </c>
      <c r="J163" t="b">
        <f>misc[[#This Row],[CHA_Hitter_Count]]&gt;0</f>
        <v>0</v>
      </c>
      <c r="K163" t="str">
        <f>_xlfn.TEXTJOIN("",,"*SOCKET0**COMPUTE",misc[[#This Row],[Compute]],"**UNCORE**CHA**CHA",misc[[#This Row],[location]],splitchar,"UTIL**MC*STATUS*")</f>
        <v>*SOCKET0**COMPUTE2**UNCORE**CHA**CHA160__UTIL**MC*STATUS*</v>
      </c>
      <c r="L163">
        <f>COUNTIFS(cha_mc[TestName],misc[[#This Row],[CHA_MCA_String]],cha_mc[VisualId],MC_Check!$H$2)</f>
        <v>0</v>
      </c>
      <c r="M163" t="str">
        <f>_xlfn.TEXTJOIN("",,"*SOCKET0**COMPUTE",misc[[#This Row],[Compute]],"**CPU**CORE",misc[[#This Row],[location]],splitchar,"THREAD"&amp;"*",splitchar,"DCU*CR*MC1*STATUS**")</f>
        <v>*SOCKET0**COMPUTE2**CPU**CORE160__THREAD*__DCU*CR*MC1*STATUS**</v>
      </c>
      <c r="N163">
        <f>COUNTIFS(core_mc[TestName],misc[[#This Row],[DCU_MCA_String]],core_mc[VisualId],MC_Check!$H$2)</f>
        <v>0</v>
      </c>
      <c r="O163" t="str">
        <f>_xlfn.TEXTJOIN("",,"*SOCKET0**COMPUTE",misc[[#This Row],[Compute]],"**CPU**CORE",misc[[#This Row],[location]],splitchar,"DTLB*CR*MC2*STATUS**")</f>
        <v>*SOCKET0**COMPUTE2**CPU**CORE160__DTLB*CR*MC2*STATUS**</v>
      </c>
      <c r="P163">
        <f>COUNTIFS(core_mc[TestName],misc[[#This Row],[DTLB_MCA_String]],core_mc[VisualId],MC_Check!$H$2)</f>
        <v>0</v>
      </c>
      <c r="Q163" t="str">
        <f>_xlfn.TEXTJOIN("",,"*SOCKET0**COMPUTE",misc[[#This Row],[Compute]],"**CPU**CORE",misc[[#This Row],[location]],splitchar,"THREAD"&amp;"*",splitchar,"IFU*CR*MC0*STATUS**")</f>
        <v>*SOCKET0**COMPUTE2**CPU**CORE160__THREAD*__IFU*CR*MC0*STATUS**</v>
      </c>
      <c r="R163">
        <f>COUNTIFS(core_mc[TestName],misc[[#This Row],[IFU_MCA_String]],core_mc[VisualId],MC_Check!$H$2)</f>
        <v>0</v>
      </c>
      <c r="S163" t="str">
        <f>_xlfn.TEXTJOIN("",,"*SOCKET0**COMPUTE",misc[[#This Row],[Compute]],"**CPU**CORE",misc[[#This Row],[location]],splitchar,"ML2*CR*MC3*STATUS*")</f>
        <v>*SOCKET0**COMPUTE2**CPU**CORE160__ML2*CR*MC3*STATUS*</v>
      </c>
      <c r="T163">
        <f>COUNTIFS(core_mc[TestName],misc[[#This Row],[CORE_MCA_String]],core_mc[VisualId],MC_Check!$H$2)</f>
        <v>0</v>
      </c>
      <c r="U163">
        <f>misc[[#This Row],[Core_ML2_Count]]+misc[[#This Row],[Core_IFU_Count]]+misc[[#This Row],[Core_DCU_Count]]+misc[[#This Row],[Core_DTLB_Count]]</f>
        <v>0</v>
      </c>
      <c r="V163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63" t="str">
        <f>_xlfn.TEXTJOIN("",,"*SOCKET0**COMPUTE",misc[[#This Row],[Compute]],"**UNCORE**SCF**SCF*LLC**SCF*LLC",misc[[#This Row],[location]],splitchar,"MCI*STATUS*")</f>
        <v>*SOCKET0**COMPUTE2**UNCORE**SCF**SCF*LLC**SCF*LLC160__MCI*STATUS*</v>
      </c>
      <c r="X163">
        <f>COUNTIFS(cha_mc[TestName],misc[[#This Row],[LLC_MCA_String]],cha_mc[VisualId],MC_Check!$H$2)</f>
        <v>0</v>
      </c>
    </row>
    <row r="164" spans="6:24" x14ac:dyDescent="0.35">
      <c r="F164">
        <v>2</v>
      </c>
      <c r="G164">
        <f t="shared" si="3"/>
        <v>161</v>
      </c>
      <c r="H164" s="5" t="b">
        <f>misc[[#This Row],[Core_Hitter_Count]]&gt;0</f>
        <v>0</v>
      </c>
      <c r="I164" t="b">
        <f>misc[[#This Row],[LLC_Hitter_Count]]&gt;0</f>
        <v>0</v>
      </c>
      <c r="J164" t="b">
        <f>misc[[#This Row],[CHA_Hitter_Count]]&gt;0</f>
        <v>0</v>
      </c>
      <c r="K164" t="str">
        <f>_xlfn.TEXTJOIN("",,"*SOCKET0**COMPUTE",misc[[#This Row],[Compute]],"**UNCORE**CHA**CHA",misc[[#This Row],[location]],splitchar,"UTIL**MC*STATUS*")</f>
        <v>*SOCKET0**COMPUTE2**UNCORE**CHA**CHA161__UTIL**MC*STATUS*</v>
      </c>
      <c r="L164">
        <f>COUNTIFS(cha_mc[TestName],misc[[#This Row],[CHA_MCA_String]],cha_mc[VisualId],MC_Check!$H$2)</f>
        <v>0</v>
      </c>
      <c r="M164" t="str">
        <f>_xlfn.TEXTJOIN("",,"*SOCKET0**COMPUTE",misc[[#This Row],[Compute]],"**CPU**CORE",misc[[#This Row],[location]],splitchar,"THREAD"&amp;"*",splitchar,"DCU*CR*MC1*STATUS**")</f>
        <v>*SOCKET0**COMPUTE2**CPU**CORE161__THREAD*__DCU*CR*MC1*STATUS**</v>
      </c>
      <c r="N164">
        <f>COUNTIFS(core_mc[TestName],misc[[#This Row],[DCU_MCA_String]],core_mc[VisualId],MC_Check!$H$2)</f>
        <v>0</v>
      </c>
      <c r="O164" t="str">
        <f>_xlfn.TEXTJOIN("",,"*SOCKET0**COMPUTE",misc[[#This Row],[Compute]],"**CPU**CORE",misc[[#This Row],[location]],splitchar,"DTLB*CR*MC2*STATUS**")</f>
        <v>*SOCKET0**COMPUTE2**CPU**CORE161__DTLB*CR*MC2*STATUS**</v>
      </c>
      <c r="P164">
        <f>COUNTIFS(core_mc[TestName],misc[[#This Row],[DTLB_MCA_String]],core_mc[VisualId],MC_Check!$H$2)</f>
        <v>0</v>
      </c>
      <c r="Q164" t="str">
        <f>_xlfn.TEXTJOIN("",,"*SOCKET0**COMPUTE",misc[[#This Row],[Compute]],"**CPU**CORE",misc[[#This Row],[location]],splitchar,"THREAD"&amp;"*",splitchar,"IFU*CR*MC0*STATUS**")</f>
        <v>*SOCKET0**COMPUTE2**CPU**CORE161__THREAD*__IFU*CR*MC0*STATUS**</v>
      </c>
      <c r="R164">
        <f>COUNTIFS(core_mc[TestName],misc[[#This Row],[IFU_MCA_String]],core_mc[VisualId],MC_Check!$H$2)</f>
        <v>0</v>
      </c>
      <c r="S164" t="str">
        <f>_xlfn.TEXTJOIN("",,"*SOCKET0**COMPUTE",misc[[#This Row],[Compute]],"**CPU**CORE",misc[[#This Row],[location]],splitchar,"ML2*CR*MC3*STATUS*")</f>
        <v>*SOCKET0**COMPUTE2**CPU**CORE161__ML2*CR*MC3*STATUS*</v>
      </c>
      <c r="T164">
        <f>COUNTIFS(core_mc[TestName],misc[[#This Row],[CORE_MCA_String]],core_mc[VisualId],MC_Check!$H$2)</f>
        <v>0</v>
      </c>
      <c r="U164">
        <f>misc[[#This Row],[Core_ML2_Count]]+misc[[#This Row],[Core_IFU_Count]]+misc[[#This Row],[Core_DCU_Count]]+misc[[#This Row],[Core_DTLB_Count]]</f>
        <v>0</v>
      </c>
      <c r="V164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64" t="str">
        <f>_xlfn.TEXTJOIN("",,"*SOCKET0**COMPUTE",misc[[#This Row],[Compute]],"**UNCORE**SCF**SCF*LLC**SCF*LLC",misc[[#This Row],[location]],splitchar,"MCI*STATUS*")</f>
        <v>*SOCKET0**COMPUTE2**UNCORE**SCF**SCF*LLC**SCF*LLC161__MCI*STATUS*</v>
      </c>
      <c r="X164">
        <f>COUNTIFS(cha_mc[TestName],misc[[#This Row],[LLC_MCA_String]],cha_mc[VisualId],MC_Check!$H$2)</f>
        <v>0</v>
      </c>
    </row>
    <row r="165" spans="6:24" x14ac:dyDescent="0.35">
      <c r="F165">
        <v>2</v>
      </c>
      <c r="G165">
        <f t="shared" si="3"/>
        <v>162</v>
      </c>
      <c r="H165" s="5" t="b">
        <f>misc[[#This Row],[Core_Hitter_Count]]&gt;0</f>
        <v>0</v>
      </c>
      <c r="I165" t="b">
        <f>misc[[#This Row],[LLC_Hitter_Count]]&gt;0</f>
        <v>0</v>
      </c>
      <c r="J165" t="b">
        <f>misc[[#This Row],[CHA_Hitter_Count]]&gt;0</f>
        <v>0</v>
      </c>
      <c r="K165" t="str">
        <f>_xlfn.TEXTJOIN("",,"*SOCKET0**COMPUTE",misc[[#This Row],[Compute]],"**UNCORE**CHA**CHA",misc[[#This Row],[location]],splitchar,"UTIL**MC*STATUS*")</f>
        <v>*SOCKET0**COMPUTE2**UNCORE**CHA**CHA162__UTIL**MC*STATUS*</v>
      </c>
      <c r="L165">
        <f>COUNTIFS(cha_mc[TestName],misc[[#This Row],[CHA_MCA_String]],cha_mc[VisualId],MC_Check!$H$2)</f>
        <v>0</v>
      </c>
      <c r="M165" t="str">
        <f>_xlfn.TEXTJOIN("",,"*SOCKET0**COMPUTE",misc[[#This Row],[Compute]],"**CPU**CORE",misc[[#This Row],[location]],splitchar,"THREAD"&amp;"*",splitchar,"DCU*CR*MC1*STATUS**")</f>
        <v>*SOCKET0**COMPUTE2**CPU**CORE162__THREAD*__DCU*CR*MC1*STATUS**</v>
      </c>
      <c r="N165">
        <f>COUNTIFS(core_mc[TestName],misc[[#This Row],[DCU_MCA_String]],core_mc[VisualId],MC_Check!$H$2)</f>
        <v>0</v>
      </c>
      <c r="O165" t="str">
        <f>_xlfn.TEXTJOIN("",,"*SOCKET0**COMPUTE",misc[[#This Row],[Compute]],"**CPU**CORE",misc[[#This Row],[location]],splitchar,"DTLB*CR*MC2*STATUS**")</f>
        <v>*SOCKET0**COMPUTE2**CPU**CORE162__DTLB*CR*MC2*STATUS**</v>
      </c>
      <c r="P165">
        <f>COUNTIFS(core_mc[TestName],misc[[#This Row],[DTLB_MCA_String]],core_mc[VisualId],MC_Check!$H$2)</f>
        <v>0</v>
      </c>
      <c r="Q165" t="str">
        <f>_xlfn.TEXTJOIN("",,"*SOCKET0**COMPUTE",misc[[#This Row],[Compute]],"**CPU**CORE",misc[[#This Row],[location]],splitchar,"THREAD"&amp;"*",splitchar,"IFU*CR*MC0*STATUS**")</f>
        <v>*SOCKET0**COMPUTE2**CPU**CORE162__THREAD*__IFU*CR*MC0*STATUS**</v>
      </c>
      <c r="R165">
        <f>COUNTIFS(core_mc[TestName],misc[[#This Row],[IFU_MCA_String]],core_mc[VisualId],MC_Check!$H$2)</f>
        <v>0</v>
      </c>
      <c r="S165" t="str">
        <f>_xlfn.TEXTJOIN("",,"*SOCKET0**COMPUTE",misc[[#This Row],[Compute]],"**CPU**CORE",misc[[#This Row],[location]],splitchar,"ML2*CR*MC3*STATUS*")</f>
        <v>*SOCKET0**COMPUTE2**CPU**CORE162__ML2*CR*MC3*STATUS*</v>
      </c>
      <c r="T165">
        <f>COUNTIFS(core_mc[TestName],misc[[#This Row],[CORE_MCA_String]],core_mc[VisualId],MC_Check!$H$2)</f>
        <v>0</v>
      </c>
      <c r="U165">
        <f>misc[[#This Row],[Core_ML2_Count]]+misc[[#This Row],[Core_IFU_Count]]+misc[[#This Row],[Core_DCU_Count]]+misc[[#This Row],[Core_DTLB_Count]]</f>
        <v>0</v>
      </c>
      <c r="V165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65" t="str">
        <f>_xlfn.TEXTJOIN("",,"*SOCKET0**COMPUTE",misc[[#This Row],[Compute]],"**UNCORE**SCF**SCF*LLC**SCF*LLC",misc[[#This Row],[location]],splitchar,"MCI*STATUS*")</f>
        <v>*SOCKET0**COMPUTE2**UNCORE**SCF**SCF*LLC**SCF*LLC162__MCI*STATUS*</v>
      </c>
      <c r="X165">
        <f>COUNTIFS(cha_mc[TestName],misc[[#This Row],[LLC_MCA_String]],cha_mc[VisualId],MC_Check!$H$2)</f>
        <v>0</v>
      </c>
    </row>
    <row r="166" spans="6:24" x14ac:dyDescent="0.35">
      <c r="F166">
        <v>2</v>
      </c>
      <c r="G166">
        <f t="shared" si="3"/>
        <v>163</v>
      </c>
      <c r="H166" s="5" t="b">
        <f>misc[[#This Row],[Core_Hitter_Count]]&gt;0</f>
        <v>0</v>
      </c>
      <c r="I166" t="b">
        <f>misc[[#This Row],[LLC_Hitter_Count]]&gt;0</f>
        <v>0</v>
      </c>
      <c r="J166" t="b">
        <f>misc[[#This Row],[CHA_Hitter_Count]]&gt;0</f>
        <v>0</v>
      </c>
      <c r="K166" t="str">
        <f>_xlfn.TEXTJOIN("",,"*SOCKET0**COMPUTE",misc[[#This Row],[Compute]],"**UNCORE**CHA**CHA",misc[[#This Row],[location]],splitchar,"UTIL**MC*STATUS*")</f>
        <v>*SOCKET0**COMPUTE2**UNCORE**CHA**CHA163__UTIL**MC*STATUS*</v>
      </c>
      <c r="L166">
        <f>COUNTIFS(cha_mc[TestName],misc[[#This Row],[CHA_MCA_String]],cha_mc[VisualId],MC_Check!$H$2)</f>
        <v>0</v>
      </c>
      <c r="M166" t="str">
        <f>_xlfn.TEXTJOIN("",,"*SOCKET0**COMPUTE",misc[[#This Row],[Compute]],"**CPU**CORE",misc[[#This Row],[location]],splitchar,"THREAD"&amp;"*",splitchar,"DCU*CR*MC1*STATUS**")</f>
        <v>*SOCKET0**COMPUTE2**CPU**CORE163__THREAD*__DCU*CR*MC1*STATUS**</v>
      </c>
      <c r="N166">
        <f>COUNTIFS(core_mc[TestName],misc[[#This Row],[DCU_MCA_String]],core_mc[VisualId],MC_Check!$H$2)</f>
        <v>0</v>
      </c>
      <c r="O166" t="str">
        <f>_xlfn.TEXTJOIN("",,"*SOCKET0**COMPUTE",misc[[#This Row],[Compute]],"**CPU**CORE",misc[[#This Row],[location]],splitchar,"DTLB*CR*MC2*STATUS**")</f>
        <v>*SOCKET0**COMPUTE2**CPU**CORE163__DTLB*CR*MC2*STATUS**</v>
      </c>
      <c r="P166">
        <f>COUNTIFS(core_mc[TestName],misc[[#This Row],[DTLB_MCA_String]],core_mc[VisualId],MC_Check!$H$2)</f>
        <v>0</v>
      </c>
      <c r="Q166" t="str">
        <f>_xlfn.TEXTJOIN("",,"*SOCKET0**COMPUTE",misc[[#This Row],[Compute]],"**CPU**CORE",misc[[#This Row],[location]],splitchar,"THREAD"&amp;"*",splitchar,"IFU*CR*MC0*STATUS**")</f>
        <v>*SOCKET0**COMPUTE2**CPU**CORE163__THREAD*__IFU*CR*MC0*STATUS**</v>
      </c>
      <c r="R166">
        <f>COUNTIFS(core_mc[TestName],misc[[#This Row],[IFU_MCA_String]],core_mc[VisualId],MC_Check!$H$2)</f>
        <v>0</v>
      </c>
      <c r="S166" t="str">
        <f>_xlfn.TEXTJOIN("",,"*SOCKET0**COMPUTE",misc[[#This Row],[Compute]],"**CPU**CORE",misc[[#This Row],[location]],splitchar,"ML2*CR*MC3*STATUS*")</f>
        <v>*SOCKET0**COMPUTE2**CPU**CORE163__ML2*CR*MC3*STATUS*</v>
      </c>
      <c r="T166">
        <f>COUNTIFS(core_mc[TestName],misc[[#This Row],[CORE_MCA_String]],core_mc[VisualId],MC_Check!$H$2)</f>
        <v>0</v>
      </c>
      <c r="U166">
        <f>misc[[#This Row],[Core_ML2_Count]]+misc[[#This Row],[Core_IFU_Count]]+misc[[#This Row],[Core_DCU_Count]]+misc[[#This Row],[Core_DTLB_Count]]</f>
        <v>0</v>
      </c>
      <c r="V166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66" t="str">
        <f>_xlfn.TEXTJOIN("",,"*SOCKET0**COMPUTE",misc[[#This Row],[Compute]],"**UNCORE**SCF**SCF*LLC**SCF*LLC",misc[[#This Row],[location]],splitchar,"MCI*STATUS*")</f>
        <v>*SOCKET0**COMPUTE2**UNCORE**SCF**SCF*LLC**SCF*LLC163__MCI*STATUS*</v>
      </c>
      <c r="X166">
        <f>COUNTIFS(cha_mc[TestName],misc[[#This Row],[LLC_MCA_String]],cha_mc[VisualId],MC_Check!$H$2)</f>
        <v>0</v>
      </c>
    </row>
    <row r="167" spans="6:24" x14ac:dyDescent="0.35">
      <c r="F167">
        <v>2</v>
      </c>
      <c r="G167">
        <f t="shared" si="3"/>
        <v>164</v>
      </c>
      <c r="H167" s="5" t="b">
        <f>misc[[#This Row],[Core_Hitter_Count]]&gt;0</f>
        <v>0</v>
      </c>
      <c r="I167" t="b">
        <f>misc[[#This Row],[LLC_Hitter_Count]]&gt;0</f>
        <v>0</v>
      </c>
      <c r="J167" t="b">
        <f>misc[[#This Row],[CHA_Hitter_Count]]&gt;0</f>
        <v>0</v>
      </c>
      <c r="K167" t="str">
        <f>_xlfn.TEXTJOIN("",,"*SOCKET0**COMPUTE",misc[[#This Row],[Compute]],"**UNCORE**CHA**CHA",misc[[#This Row],[location]],splitchar,"UTIL**MC*STATUS*")</f>
        <v>*SOCKET0**COMPUTE2**UNCORE**CHA**CHA164__UTIL**MC*STATUS*</v>
      </c>
      <c r="L167">
        <f>COUNTIFS(cha_mc[TestName],misc[[#This Row],[CHA_MCA_String]],cha_mc[VisualId],MC_Check!$H$2)</f>
        <v>0</v>
      </c>
      <c r="M167" t="str">
        <f>_xlfn.TEXTJOIN("",,"*SOCKET0**COMPUTE",misc[[#This Row],[Compute]],"**CPU**CORE",misc[[#This Row],[location]],splitchar,"THREAD"&amp;"*",splitchar,"DCU*CR*MC1*STATUS**")</f>
        <v>*SOCKET0**COMPUTE2**CPU**CORE164__THREAD*__DCU*CR*MC1*STATUS**</v>
      </c>
      <c r="N167">
        <f>COUNTIFS(core_mc[TestName],misc[[#This Row],[DCU_MCA_String]],core_mc[VisualId],MC_Check!$H$2)</f>
        <v>0</v>
      </c>
      <c r="O167" t="str">
        <f>_xlfn.TEXTJOIN("",,"*SOCKET0**COMPUTE",misc[[#This Row],[Compute]],"**CPU**CORE",misc[[#This Row],[location]],splitchar,"DTLB*CR*MC2*STATUS**")</f>
        <v>*SOCKET0**COMPUTE2**CPU**CORE164__DTLB*CR*MC2*STATUS**</v>
      </c>
      <c r="P167">
        <f>COUNTIFS(core_mc[TestName],misc[[#This Row],[DTLB_MCA_String]],core_mc[VisualId],MC_Check!$H$2)</f>
        <v>0</v>
      </c>
      <c r="Q167" t="str">
        <f>_xlfn.TEXTJOIN("",,"*SOCKET0**COMPUTE",misc[[#This Row],[Compute]],"**CPU**CORE",misc[[#This Row],[location]],splitchar,"THREAD"&amp;"*",splitchar,"IFU*CR*MC0*STATUS**")</f>
        <v>*SOCKET0**COMPUTE2**CPU**CORE164__THREAD*__IFU*CR*MC0*STATUS**</v>
      </c>
      <c r="R167">
        <f>COUNTIFS(core_mc[TestName],misc[[#This Row],[IFU_MCA_String]],core_mc[VisualId],MC_Check!$H$2)</f>
        <v>0</v>
      </c>
      <c r="S167" t="str">
        <f>_xlfn.TEXTJOIN("",,"*SOCKET0**COMPUTE",misc[[#This Row],[Compute]],"**CPU**CORE",misc[[#This Row],[location]],splitchar,"ML2*CR*MC3*STATUS*")</f>
        <v>*SOCKET0**COMPUTE2**CPU**CORE164__ML2*CR*MC3*STATUS*</v>
      </c>
      <c r="T167">
        <f>COUNTIFS(core_mc[TestName],misc[[#This Row],[CORE_MCA_String]],core_mc[VisualId],MC_Check!$H$2)</f>
        <v>0</v>
      </c>
      <c r="U167">
        <f>misc[[#This Row],[Core_ML2_Count]]+misc[[#This Row],[Core_IFU_Count]]+misc[[#This Row],[Core_DCU_Count]]+misc[[#This Row],[Core_DTLB_Count]]</f>
        <v>0</v>
      </c>
      <c r="V167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67" t="str">
        <f>_xlfn.TEXTJOIN("",,"*SOCKET0**COMPUTE",misc[[#This Row],[Compute]],"**UNCORE**SCF**SCF*LLC**SCF*LLC",misc[[#This Row],[location]],splitchar,"MCI*STATUS*")</f>
        <v>*SOCKET0**COMPUTE2**UNCORE**SCF**SCF*LLC**SCF*LLC164__MCI*STATUS*</v>
      </c>
      <c r="X167">
        <f>COUNTIFS(cha_mc[TestName],misc[[#This Row],[LLC_MCA_String]],cha_mc[VisualId],MC_Check!$H$2)</f>
        <v>0</v>
      </c>
    </row>
    <row r="168" spans="6:24" x14ac:dyDescent="0.35">
      <c r="F168">
        <v>2</v>
      </c>
      <c r="G168">
        <f t="shared" si="3"/>
        <v>165</v>
      </c>
      <c r="H168" s="5" t="b">
        <f>misc[[#This Row],[Core_Hitter_Count]]&gt;0</f>
        <v>0</v>
      </c>
      <c r="I168" t="b">
        <f>misc[[#This Row],[LLC_Hitter_Count]]&gt;0</f>
        <v>0</v>
      </c>
      <c r="J168" t="b">
        <f>misc[[#This Row],[CHA_Hitter_Count]]&gt;0</f>
        <v>0</v>
      </c>
      <c r="K168" t="str">
        <f>_xlfn.TEXTJOIN("",,"*SOCKET0**COMPUTE",misc[[#This Row],[Compute]],"**UNCORE**CHA**CHA",misc[[#This Row],[location]],splitchar,"UTIL**MC*STATUS*")</f>
        <v>*SOCKET0**COMPUTE2**UNCORE**CHA**CHA165__UTIL**MC*STATUS*</v>
      </c>
      <c r="L168">
        <f>COUNTIFS(cha_mc[TestName],misc[[#This Row],[CHA_MCA_String]],cha_mc[VisualId],MC_Check!$H$2)</f>
        <v>0</v>
      </c>
      <c r="M168" t="str">
        <f>_xlfn.TEXTJOIN("",,"*SOCKET0**COMPUTE",misc[[#This Row],[Compute]],"**CPU**CORE",misc[[#This Row],[location]],splitchar,"THREAD"&amp;"*",splitchar,"DCU*CR*MC1*STATUS**")</f>
        <v>*SOCKET0**COMPUTE2**CPU**CORE165__THREAD*__DCU*CR*MC1*STATUS**</v>
      </c>
      <c r="N168">
        <f>COUNTIFS(core_mc[TestName],misc[[#This Row],[DCU_MCA_String]],core_mc[VisualId],MC_Check!$H$2)</f>
        <v>0</v>
      </c>
      <c r="O168" t="str">
        <f>_xlfn.TEXTJOIN("",,"*SOCKET0**COMPUTE",misc[[#This Row],[Compute]],"**CPU**CORE",misc[[#This Row],[location]],splitchar,"DTLB*CR*MC2*STATUS**")</f>
        <v>*SOCKET0**COMPUTE2**CPU**CORE165__DTLB*CR*MC2*STATUS**</v>
      </c>
      <c r="P168">
        <f>COUNTIFS(core_mc[TestName],misc[[#This Row],[DTLB_MCA_String]],core_mc[VisualId],MC_Check!$H$2)</f>
        <v>0</v>
      </c>
      <c r="Q168" t="str">
        <f>_xlfn.TEXTJOIN("",,"*SOCKET0**COMPUTE",misc[[#This Row],[Compute]],"**CPU**CORE",misc[[#This Row],[location]],splitchar,"THREAD"&amp;"*",splitchar,"IFU*CR*MC0*STATUS**")</f>
        <v>*SOCKET0**COMPUTE2**CPU**CORE165__THREAD*__IFU*CR*MC0*STATUS**</v>
      </c>
      <c r="R168">
        <f>COUNTIFS(core_mc[TestName],misc[[#This Row],[IFU_MCA_String]],core_mc[VisualId],MC_Check!$H$2)</f>
        <v>0</v>
      </c>
      <c r="S168" t="str">
        <f>_xlfn.TEXTJOIN("",,"*SOCKET0**COMPUTE",misc[[#This Row],[Compute]],"**CPU**CORE",misc[[#This Row],[location]],splitchar,"ML2*CR*MC3*STATUS*")</f>
        <v>*SOCKET0**COMPUTE2**CPU**CORE165__ML2*CR*MC3*STATUS*</v>
      </c>
      <c r="T168">
        <f>COUNTIFS(core_mc[TestName],misc[[#This Row],[CORE_MCA_String]],core_mc[VisualId],MC_Check!$H$2)</f>
        <v>0</v>
      </c>
      <c r="U168">
        <f>misc[[#This Row],[Core_ML2_Count]]+misc[[#This Row],[Core_IFU_Count]]+misc[[#This Row],[Core_DCU_Count]]+misc[[#This Row],[Core_DTLB_Count]]</f>
        <v>0</v>
      </c>
      <c r="V168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68" t="str">
        <f>_xlfn.TEXTJOIN("",,"*SOCKET0**COMPUTE",misc[[#This Row],[Compute]],"**UNCORE**SCF**SCF*LLC**SCF*LLC",misc[[#This Row],[location]],splitchar,"MCI*STATUS*")</f>
        <v>*SOCKET0**COMPUTE2**UNCORE**SCF**SCF*LLC**SCF*LLC165__MCI*STATUS*</v>
      </c>
      <c r="X168">
        <f>COUNTIFS(cha_mc[TestName],misc[[#This Row],[LLC_MCA_String]],cha_mc[VisualId],MC_Check!$H$2)</f>
        <v>0</v>
      </c>
    </row>
    <row r="169" spans="6:24" x14ac:dyDescent="0.35">
      <c r="F169">
        <v>2</v>
      </c>
      <c r="G169">
        <f t="shared" si="3"/>
        <v>166</v>
      </c>
      <c r="H169" s="5" t="b">
        <f>misc[[#This Row],[Core_Hitter_Count]]&gt;0</f>
        <v>0</v>
      </c>
      <c r="I169" t="b">
        <f>misc[[#This Row],[LLC_Hitter_Count]]&gt;0</f>
        <v>0</v>
      </c>
      <c r="J169" t="b">
        <f>misc[[#This Row],[CHA_Hitter_Count]]&gt;0</f>
        <v>0</v>
      </c>
      <c r="K169" t="str">
        <f>_xlfn.TEXTJOIN("",,"*SOCKET0**COMPUTE",misc[[#This Row],[Compute]],"**UNCORE**CHA**CHA",misc[[#This Row],[location]],splitchar,"UTIL**MC*STATUS*")</f>
        <v>*SOCKET0**COMPUTE2**UNCORE**CHA**CHA166__UTIL**MC*STATUS*</v>
      </c>
      <c r="L169">
        <f>COUNTIFS(cha_mc[TestName],misc[[#This Row],[CHA_MCA_String]],cha_mc[VisualId],MC_Check!$H$2)</f>
        <v>0</v>
      </c>
      <c r="M169" t="str">
        <f>_xlfn.TEXTJOIN("",,"*SOCKET0**COMPUTE",misc[[#This Row],[Compute]],"**CPU**CORE",misc[[#This Row],[location]],splitchar,"THREAD"&amp;"*",splitchar,"DCU*CR*MC1*STATUS**")</f>
        <v>*SOCKET0**COMPUTE2**CPU**CORE166__THREAD*__DCU*CR*MC1*STATUS**</v>
      </c>
      <c r="N169">
        <f>COUNTIFS(core_mc[TestName],misc[[#This Row],[DCU_MCA_String]],core_mc[VisualId],MC_Check!$H$2)</f>
        <v>0</v>
      </c>
      <c r="O169" t="str">
        <f>_xlfn.TEXTJOIN("",,"*SOCKET0**COMPUTE",misc[[#This Row],[Compute]],"**CPU**CORE",misc[[#This Row],[location]],splitchar,"DTLB*CR*MC2*STATUS**")</f>
        <v>*SOCKET0**COMPUTE2**CPU**CORE166__DTLB*CR*MC2*STATUS**</v>
      </c>
      <c r="P169">
        <f>COUNTIFS(core_mc[TestName],misc[[#This Row],[DTLB_MCA_String]],core_mc[VisualId],MC_Check!$H$2)</f>
        <v>0</v>
      </c>
      <c r="Q169" t="str">
        <f>_xlfn.TEXTJOIN("",,"*SOCKET0**COMPUTE",misc[[#This Row],[Compute]],"**CPU**CORE",misc[[#This Row],[location]],splitchar,"THREAD"&amp;"*",splitchar,"IFU*CR*MC0*STATUS**")</f>
        <v>*SOCKET0**COMPUTE2**CPU**CORE166__THREAD*__IFU*CR*MC0*STATUS**</v>
      </c>
      <c r="R169">
        <f>COUNTIFS(core_mc[TestName],misc[[#This Row],[IFU_MCA_String]],core_mc[VisualId],MC_Check!$H$2)</f>
        <v>0</v>
      </c>
      <c r="S169" t="str">
        <f>_xlfn.TEXTJOIN("",,"*SOCKET0**COMPUTE",misc[[#This Row],[Compute]],"**CPU**CORE",misc[[#This Row],[location]],splitchar,"ML2*CR*MC3*STATUS*")</f>
        <v>*SOCKET0**COMPUTE2**CPU**CORE166__ML2*CR*MC3*STATUS*</v>
      </c>
      <c r="T169">
        <f>COUNTIFS(core_mc[TestName],misc[[#This Row],[CORE_MCA_String]],core_mc[VisualId],MC_Check!$H$2)</f>
        <v>0</v>
      </c>
      <c r="U169">
        <f>misc[[#This Row],[Core_ML2_Count]]+misc[[#This Row],[Core_IFU_Count]]+misc[[#This Row],[Core_DCU_Count]]+misc[[#This Row],[Core_DTLB_Count]]</f>
        <v>0</v>
      </c>
      <c r="V169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69" t="str">
        <f>_xlfn.TEXTJOIN("",,"*SOCKET0**COMPUTE",misc[[#This Row],[Compute]],"**UNCORE**SCF**SCF*LLC**SCF*LLC",misc[[#This Row],[location]],splitchar,"MCI*STATUS*")</f>
        <v>*SOCKET0**COMPUTE2**UNCORE**SCF**SCF*LLC**SCF*LLC166__MCI*STATUS*</v>
      </c>
      <c r="X169">
        <f>COUNTIFS(cha_mc[TestName],misc[[#This Row],[LLC_MCA_String]],cha_mc[VisualId],MC_Check!$H$2)</f>
        <v>0</v>
      </c>
    </row>
    <row r="170" spans="6:24" x14ac:dyDescent="0.35">
      <c r="F170">
        <v>2</v>
      </c>
      <c r="G170">
        <f t="shared" si="3"/>
        <v>167</v>
      </c>
      <c r="H170" s="5" t="b">
        <f>misc[[#This Row],[Core_Hitter_Count]]&gt;0</f>
        <v>0</v>
      </c>
      <c r="I170" t="b">
        <f>misc[[#This Row],[LLC_Hitter_Count]]&gt;0</f>
        <v>0</v>
      </c>
      <c r="J170" t="b">
        <f>misc[[#This Row],[CHA_Hitter_Count]]&gt;0</f>
        <v>0</v>
      </c>
      <c r="K170" t="str">
        <f>_xlfn.TEXTJOIN("",,"*SOCKET0**COMPUTE",misc[[#This Row],[Compute]],"**UNCORE**CHA**CHA",misc[[#This Row],[location]],splitchar,"UTIL**MC*STATUS*")</f>
        <v>*SOCKET0**COMPUTE2**UNCORE**CHA**CHA167__UTIL**MC*STATUS*</v>
      </c>
      <c r="L170">
        <f>COUNTIFS(cha_mc[TestName],misc[[#This Row],[CHA_MCA_String]],cha_mc[VisualId],MC_Check!$H$2)</f>
        <v>0</v>
      </c>
      <c r="M170" t="str">
        <f>_xlfn.TEXTJOIN("",,"*SOCKET0**COMPUTE",misc[[#This Row],[Compute]],"**CPU**CORE",misc[[#This Row],[location]],splitchar,"THREAD"&amp;"*",splitchar,"DCU*CR*MC1*STATUS**")</f>
        <v>*SOCKET0**COMPUTE2**CPU**CORE167__THREAD*__DCU*CR*MC1*STATUS**</v>
      </c>
      <c r="N170">
        <f>COUNTIFS(core_mc[TestName],misc[[#This Row],[DCU_MCA_String]],core_mc[VisualId],MC_Check!$H$2)</f>
        <v>0</v>
      </c>
      <c r="O170" t="str">
        <f>_xlfn.TEXTJOIN("",,"*SOCKET0**COMPUTE",misc[[#This Row],[Compute]],"**CPU**CORE",misc[[#This Row],[location]],splitchar,"DTLB*CR*MC2*STATUS**")</f>
        <v>*SOCKET0**COMPUTE2**CPU**CORE167__DTLB*CR*MC2*STATUS**</v>
      </c>
      <c r="P170">
        <f>COUNTIFS(core_mc[TestName],misc[[#This Row],[DTLB_MCA_String]],core_mc[VisualId],MC_Check!$H$2)</f>
        <v>0</v>
      </c>
      <c r="Q170" t="str">
        <f>_xlfn.TEXTJOIN("",,"*SOCKET0**COMPUTE",misc[[#This Row],[Compute]],"**CPU**CORE",misc[[#This Row],[location]],splitchar,"THREAD"&amp;"*",splitchar,"IFU*CR*MC0*STATUS**")</f>
        <v>*SOCKET0**COMPUTE2**CPU**CORE167__THREAD*__IFU*CR*MC0*STATUS**</v>
      </c>
      <c r="R170">
        <f>COUNTIFS(core_mc[TestName],misc[[#This Row],[IFU_MCA_String]],core_mc[VisualId],MC_Check!$H$2)</f>
        <v>0</v>
      </c>
      <c r="S170" t="str">
        <f>_xlfn.TEXTJOIN("",,"*SOCKET0**COMPUTE",misc[[#This Row],[Compute]],"**CPU**CORE",misc[[#This Row],[location]],splitchar,"ML2*CR*MC3*STATUS*")</f>
        <v>*SOCKET0**COMPUTE2**CPU**CORE167__ML2*CR*MC3*STATUS*</v>
      </c>
      <c r="T170">
        <f>COUNTIFS(core_mc[TestName],misc[[#This Row],[CORE_MCA_String]],core_mc[VisualId],MC_Check!$H$2)</f>
        <v>0</v>
      </c>
      <c r="U170">
        <f>misc[[#This Row],[Core_ML2_Count]]+misc[[#This Row],[Core_IFU_Count]]+misc[[#This Row],[Core_DCU_Count]]+misc[[#This Row],[Core_DTLB_Count]]</f>
        <v>0</v>
      </c>
      <c r="V170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70" t="str">
        <f>_xlfn.TEXTJOIN("",,"*SOCKET0**COMPUTE",misc[[#This Row],[Compute]],"**UNCORE**SCF**SCF*LLC**SCF*LLC",misc[[#This Row],[location]],splitchar,"MCI*STATUS*")</f>
        <v>*SOCKET0**COMPUTE2**UNCORE**SCF**SCF*LLC**SCF*LLC167__MCI*STATUS*</v>
      </c>
      <c r="X170">
        <f>COUNTIFS(cha_mc[TestName],misc[[#This Row],[LLC_MCA_String]],cha_mc[VisualId],MC_Check!$H$2)</f>
        <v>0</v>
      </c>
    </row>
    <row r="171" spans="6:24" x14ac:dyDescent="0.35">
      <c r="F171">
        <v>2</v>
      </c>
      <c r="G171">
        <f t="shared" si="3"/>
        <v>168</v>
      </c>
      <c r="H171" s="5" t="b">
        <f>misc[[#This Row],[Core_Hitter_Count]]&gt;0</f>
        <v>0</v>
      </c>
      <c r="I171" t="b">
        <f>misc[[#This Row],[LLC_Hitter_Count]]&gt;0</f>
        <v>0</v>
      </c>
      <c r="J171" t="b">
        <f>misc[[#This Row],[CHA_Hitter_Count]]&gt;0</f>
        <v>0</v>
      </c>
      <c r="K171" t="str">
        <f>_xlfn.TEXTJOIN("",,"*SOCKET0**COMPUTE",misc[[#This Row],[Compute]],"**UNCORE**CHA**CHA",misc[[#This Row],[location]],splitchar,"UTIL**MC*STATUS*")</f>
        <v>*SOCKET0**COMPUTE2**UNCORE**CHA**CHA168__UTIL**MC*STATUS*</v>
      </c>
      <c r="L171">
        <f>COUNTIFS(cha_mc[TestName],misc[[#This Row],[CHA_MCA_String]],cha_mc[VisualId],MC_Check!$H$2)</f>
        <v>0</v>
      </c>
      <c r="M171" t="str">
        <f>_xlfn.TEXTJOIN("",,"*SOCKET0**COMPUTE",misc[[#This Row],[Compute]],"**CPU**CORE",misc[[#This Row],[location]],splitchar,"THREAD"&amp;"*",splitchar,"DCU*CR*MC1*STATUS**")</f>
        <v>*SOCKET0**COMPUTE2**CPU**CORE168__THREAD*__DCU*CR*MC1*STATUS**</v>
      </c>
      <c r="N171">
        <f>COUNTIFS(core_mc[TestName],misc[[#This Row],[DCU_MCA_String]],core_mc[VisualId],MC_Check!$H$2)</f>
        <v>0</v>
      </c>
      <c r="O171" t="str">
        <f>_xlfn.TEXTJOIN("",,"*SOCKET0**COMPUTE",misc[[#This Row],[Compute]],"**CPU**CORE",misc[[#This Row],[location]],splitchar,"DTLB*CR*MC2*STATUS**")</f>
        <v>*SOCKET0**COMPUTE2**CPU**CORE168__DTLB*CR*MC2*STATUS**</v>
      </c>
      <c r="P171">
        <f>COUNTIFS(core_mc[TestName],misc[[#This Row],[DTLB_MCA_String]],core_mc[VisualId],MC_Check!$H$2)</f>
        <v>0</v>
      </c>
      <c r="Q171" t="str">
        <f>_xlfn.TEXTJOIN("",,"*SOCKET0**COMPUTE",misc[[#This Row],[Compute]],"**CPU**CORE",misc[[#This Row],[location]],splitchar,"THREAD"&amp;"*",splitchar,"IFU*CR*MC0*STATUS**")</f>
        <v>*SOCKET0**COMPUTE2**CPU**CORE168__THREAD*__IFU*CR*MC0*STATUS**</v>
      </c>
      <c r="R171">
        <f>COUNTIFS(core_mc[TestName],misc[[#This Row],[IFU_MCA_String]],core_mc[VisualId],MC_Check!$H$2)</f>
        <v>0</v>
      </c>
      <c r="S171" t="str">
        <f>_xlfn.TEXTJOIN("",,"*SOCKET0**COMPUTE",misc[[#This Row],[Compute]],"**CPU**CORE",misc[[#This Row],[location]],splitchar,"ML2*CR*MC3*STATUS*")</f>
        <v>*SOCKET0**COMPUTE2**CPU**CORE168__ML2*CR*MC3*STATUS*</v>
      </c>
      <c r="T171">
        <f>COUNTIFS(core_mc[TestName],misc[[#This Row],[CORE_MCA_String]],core_mc[VisualId],MC_Check!$H$2)</f>
        <v>0</v>
      </c>
      <c r="U171">
        <f>misc[[#This Row],[Core_ML2_Count]]+misc[[#This Row],[Core_IFU_Count]]+misc[[#This Row],[Core_DCU_Count]]+misc[[#This Row],[Core_DTLB_Count]]</f>
        <v>0</v>
      </c>
      <c r="V171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71" t="str">
        <f>_xlfn.TEXTJOIN("",,"*SOCKET0**COMPUTE",misc[[#This Row],[Compute]],"**UNCORE**SCF**SCF*LLC**SCF*LLC",misc[[#This Row],[location]],splitchar,"MCI*STATUS*")</f>
        <v>*SOCKET0**COMPUTE2**UNCORE**SCF**SCF*LLC**SCF*LLC168__MCI*STATUS*</v>
      </c>
      <c r="X171">
        <f>COUNTIFS(cha_mc[TestName],misc[[#This Row],[LLC_MCA_String]],cha_mc[VisualId],MC_Check!$H$2)</f>
        <v>0</v>
      </c>
    </row>
    <row r="172" spans="6:24" x14ac:dyDescent="0.35">
      <c r="F172">
        <v>2</v>
      </c>
      <c r="G172">
        <f t="shared" si="3"/>
        <v>169</v>
      </c>
      <c r="H172" s="5" t="b">
        <f>misc[[#This Row],[Core_Hitter_Count]]&gt;0</f>
        <v>0</v>
      </c>
      <c r="I172" t="b">
        <f>misc[[#This Row],[LLC_Hitter_Count]]&gt;0</f>
        <v>0</v>
      </c>
      <c r="J172" t="b">
        <f>misc[[#This Row],[CHA_Hitter_Count]]&gt;0</f>
        <v>0</v>
      </c>
      <c r="K172" t="str">
        <f>_xlfn.TEXTJOIN("",,"*SOCKET0**COMPUTE",misc[[#This Row],[Compute]],"**UNCORE**CHA**CHA",misc[[#This Row],[location]],splitchar,"UTIL**MC*STATUS*")</f>
        <v>*SOCKET0**COMPUTE2**UNCORE**CHA**CHA169__UTIL**MC*STATUS*</v>
      </c>
      <c r="L172">
        <f>COUNTIFS(cha_mc[TestName],misc[[#This Row],[CHA_MCA_String]],cha_mc[VisualId],MC_Check!$H$2)</f>
        <v>0</v>
      </c>
      <c r="M172" t="str">
        <f>_xlfn.TEXTJOIN("",,"*SOCKET0**COMPUTE",misc[[#This Row],[Compute]],"**CPU**CORE",misc[[#This Row],[location]],splitchar,"THREAD"&amp;"*",splitchar,"DCU*CR*MC1*STATUS**")</f>
        <v>*SOCKET0**COMPUTE2**CPU**CORE169__THREAD*__DCU*CR*MC1*STATUS**</v>
      </c>
      <c r="N172">
        <f>COUNTIFS(core_mc[TestName],misc[[#This Row],[DCU_MCA_String]],core_mc[VisualId],MC_Check!$H$2)</f>
        <v>0</v>
      </c>
      <c r="O172" t="str">
        <f>_xlfn.TEXTJOIN("",,"*SOCKET0**COMPUTE",misc[[#This Row],[Compute]],"**CPU**CORE",misc[[#This Row],[location]],splitchar,"DTLB*CR*MC2*STATUS**")</f>
        <v>*SOCKET0**COMPUTE2**CPU**CORE169__DTLB*CR*MC2*STATUS**</v>
      </c>
      <c r="P172">
        <f>COUNTIFS(core_mc[TestName],misc[[#This Row],[DTLB_MCA_String]],core_mc[VisualId],MC_Check!$H$2)</f>
        <v>0</v>
      </c>
      <c r="Q172" t="str">
        <f>_xlfn.TEXTJOIN("",,"*SOCKET0**COMPUTE",misc[[#This Row],[Compute]],"**CPU**CORE",misc[[#This Row],[location]],splitchar,"THREAD"&amp;"*",splitchar,"IFU*CR*MC0*STATUS**")</f>
        <v>*SOCKET0**COMPUTE2**CPU**CORE169__THREAD*__IFU*CR*MC0*STATUS**</v>
      </c>
      <c r="R172">
        <f>COUNTIFS(core_mc[TestName],misc[[#This Row],[IFU_MCA_String]],core_mc[VisualId],MC_Check!$H$2)</f>
        <v>0</v>
      </c>
      <c r="S172" t="str">
        <f>_xlfn.TEXTJOIN("",,"*SOCKET0**COMPUTE",misc[[#This Row],[Compute]],"**CPU**CORE",misc[[#This Row],[location]],splitchar,"ML2*CR*MC3*STATUS*")</f>
        <v>*SOCKET0**COMPUTE2**CPU**CORE169__ML2*CR*MC3*STATUS*</v>
      </c>
      <c r="T172">
        <f>COUNTIFS(core_mc[TestName],misc[[#This Row],[CORE_MCA_String]],core_mc[VisualId],MC_Check!$H$2)</f>
        <v>0</v>
      </c>
      <c r="U172">
        <f>misc[[#This Row],[Core_ML2_Count]]+misc[[#This Row],[Core_IFU_Count]]+misc[[#This Row],[Core_DCU_Count]]+misc[[#This Row],[Core_DTLB_Count]]</f>
        <v>0</v>
      </c>
      <c r="V172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72" t="str">
        <f>_xlfn.TEXTJOIN("",,"*SOCKET0**COMPUTE",misc[[#This Row],[Compute]],"**UNCORE**SCF**SCF*LLC**SCF*LLC",misc[[#This Row],[location]],splitchar,"MCI*STATUS*")</f>
        <v>*SOCKET0**COMPUTE2**UNCORE**SCF**SCF*LLC**SCF*LLC169__MCI*STATUS*</v>
      </c>
      <c r="X172">
        <f>COUNTIFS(cha_mc[TestName],misc[[#This Row],[LLC_MCA_String]],cha_mc[VisualId],MC_Check!$H$2)</f>
        <v>0</v>
      </c>
    </row>
    <row r="173" spans="6:24" x14ac:dyDescent="0.35">
      <c r="F173">
        <v>2</v>
      </c>
      <c r="G173">
        <f t="shared" si="3"/>
        <v>170</v>
      </c>
      <c r="H173" s="5" t="b">
        <f>misc[[#This Row],[Core_Hitter_Count]]&gt;0</f>
        <v>0</v>
      </c>
      <c r="I173" t="b">
        <f>misc[[#This Row],[LLC_Hitter_Count]]&gt;0</f>
        <v>0</v>
      </c>
      <c r="J173" t="b">
        <f>misc[[#This Row],[CHA_Hitter_Count]]&gt;0</f>
        <v>0</v>
      </c>
      <c r="K173" t="str">
        <f>_xlfn.TEXTJOIN("",,"*SOCKET0**COMPUTE",misc[[#This Row],[Compute]],"**UNCORE**CHA**CHA",misc[[#This Row],[location]],splitchar,"UTIL**MC*STATUS*")</f>
        <v>*SOCKET0**COMPUTE2**UNCORE**CHA**CHA170__UTIL**MC*STATUS*</v>
      </c>
      <c r="L173">
        <f>COUNTIFS(cha_mc[TestName],misc[[#This Row],[CHA_MCA_String]],cha_mc[VisualId],MC_Check!$H$2)</f>
        <v>0</v>
      </c>
      <c r="M173" t="str">
        <f>_xlfn.TEXTJOIN("",,"*SOCKET0**COMPUTE",misc[[#This Row],[Compute]],"**CPU**CORE",misc[[#This Row],[location]],splitchar,"THREAD"&amp;"*",splitchar,"DCU*CR*MC1*STATUS**")</f>
        <v>*SOCKET0**COMPUTE2**CPU**CORE170__THREAD*__DCU*CR*MC1*STATUS**</v>
      </c>
      <c r="N173">
        <f>COUNTIFS(core_mc[TestName],misc[[#This Row],[DCU_MCA_String]],core_mc[VisualId],MC_Check!$H$2)</f>
        <v>0</v>
      </c>
      <c r="O173" t="str">
        <f>_xlfn.TEXTJOIN("",,"*SOCKET0**COMPUTE",misc[[#This Row],[Compute]],"**CPU**CORE",misc[[#This Row],[location]],splitchar,"DTLB*CR*MC2*STATUS**")</f>
        <v>*SOCKET0**COMPUTE2**CPU**CORE170__DTLB*CR*MC2*STATUS**</v>
      </c>
      <c r="P173">
        <f>COUNTIFS(core_mc[TestName],misc[[#This Row],[DTLB_MCA_String]],core_mc[VisualId],MC_Check!$H$2)</f>
        <v>0</v>
      </c>
      <c r="Q173" t="str">
        <f>_xlfn.TEXTJOIN("",,"*SOCKET0**COMPUTE",misc[[#This Row],[Compute]],"**CPU**CORE",misc[[#This Row],[location]],splitchar,"THREAD"&amp;"*",splitchar,"IFU*CR*MC0*STATUS**")</f>
        <v>*SOCKET0**COMPUTE2**CPU**CORE170__THREAD*__IFU*CR*MC0*STATUS**</v>
      </c>
      <c r="R173">
        <f>COUNTIFS(core_mc[TestName],misc[[#This Row],[IFU_MCA_String]],core_mc[VisualId],MC_Check!$H$2)</f>
        <v>0</v>
      </c>
      <c r="S173" t="str">
        <f>_xlfn.TEXTJOIN("",,"*SOCKET0**COMPUTE",misc[[#This Row],[Compute]],"**CPU**CORE",misc[[#This Row],[location]],splitchar,"ML2*CR*MC3*STATUS*")</f>
        <v>*SOCKET0**COMPUTE2**CPU**CORE170__ML2*CR*MC3*STATUS*</v>
      </c>
      <c r="T173">
        <f>COUNTIFS(core_mc[TestName],misc[[#This Row],[CORE_MCA_String]],core_mc[VisualId],MC_Check!$H$2)</f>
        <v>0</v>
      </c>
      <c r="U173">
        <f>misc[[#This Row],[Core_ML2_Count]]+misc[[#This Row],[Core_IFU_Count]]+misc[[#This Row],[Core_DCU_Count]]+misc[[#This Row],[Core_DTLB_Count]]</f>
        <v>0</v>
      </c>
      <c r="V173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73" t="str">
        <f>_xlfn.TEXTJOIN("",,"*SOCKET0**COMPUTE",misc[[#This Row],[Compute]],"**UNCORE**SCF**SCF*LLC**SCF*LLC",misc[[#This Row],[location]],splitchar,"MCI*STATUS*")</f>
        <v>*SOCKET0**COMPUTE2**UNCORE**SCF**SCF*LLC**SCF*LLC170__MCI*STATUS*</v>
      </c>
      <c r="X173">
        <f>COUNTIFS(cha_mc[TestName],misc[[#This Row],[LLC_MCA_String]],cha_mc[VisualId],MC_Check!$H$2)</f>
        <v>0</v>
      </c>
    </row>
    <row r="174" spans="6:24" x14ac:dyDescent="0.35">
      <c r="F174">
        <v>2</v>
      </c>
      <c r="G174">
        <f t="shared" si="3"/>
        <v>171</v>
      </c>
      <c r="H174" s="5" t="b">
        <f>misc[[#This Row],[Core_Hitter_Count]]&gt;0</f>
        <v>0</v>
      </c>
      <c r="I174" t="b">
        <f>misc[[#This Row],[LLC_Hitter_Count]]&gt;0</f>
        <v>0</v>
      </c>
      <c r="J174" t="b">
        <f>misc[[#This Row],[CHA_Hitter_Count]]&gt;0</f>
        <v>0</v>
      </c>
      <c r="K174" t="str">
        <f>_xlfn.TEXTJOIN("",,"*SOCKET0**COMPUTE",misc[[#This Row],[Compute]],"**UNCORE**CHA**CHA",misc[[#This Row],[location]],splitchar,"UTIL**MC*STATUS*")</f>
        <v>*SOCKET0**COMPUTE2**UNCORE**CHA**CHA171__UTIL**MC*STATUS*</v>
      </c>
      <c r="L174">
        <f>COUNTIFS(cha_mc[TestName],misc[[#This Row],[CHA_MCA_String]],cha_mc[VisualId],MC_Check!$H$2)</f>
        <v>0</v>
      </c>
      <c r="M174" t="str">
        <f>_xlfn.TEXTJOIN("",,"*SOCKET0**COMPUTE",misc[[#This Row],[Compute]],"**CPU**CORE",misc[[#This Row],[location]],splitchar,"THREAD"&amp;"*",splitchar,"DCU*CR*MC1*STATUS**")</f>
        <v>*SOCKET0**COMPUTE2**CPU**CORE171__THREAD*__DCU*CR*MC1*STATUS**</v>
      </c>
      <c r="N174">
        <f>COUNTIFS(core_mc[TestName],misc[[#This Row],[DCU_MCA_String]],core_mc[VisualId],MC_Check!$H$2)</f>
        <v>0</v>
      </c>
      <c r="O174" t="str">
        <f>_xlfn.TEXTJOIN("",,"*SOCKET0**COMPUTE",misc[[#This Row],[Compute]],"**CPU**CORE",misc[[#This Row],[location]],splitchar,"DTLB*CR*MC2*STATUS**")</f>
        <v>*SOCKET0**COMPUTE2**CPU**CORE171__DTLB*CR*MC2*STATUS**</v>
      </c>
      <c r="P174">
        <f>COUNTIFS(core_mc[TestName],misc[[#This Row],[DTLB_MCA_String]],core_mc[VisualId],MC_Check!$H$2)</f>
        <v>0</v>
      </c>
      <c r="Q174" t="str">
        <f>_xlfn.TEXTJOIN("",,"*SOCKET0**COMPUTE",misc[[#This Row],[Compute]],"**CPU**CORE",misc[[#This Row],[location]],splitchar,"THREAD"&amp;"*",splitchar,"IFU*CR*MC0*STATUS**")</f>
        <v>*SOCKET0**COMPUTE2**CPU**CORE171__THREAD*__IFU*CR*MC0*STATUS**</v>
      </c>
      <c r="R174">
        <f>COUNTIFS(core_mc[TestName],misc[[#This Row],[IFU_MCA_String]],core_mc[VisualId],MC_Check!$H$2)</f>
        <v>0</v>
      </c>
      <c r="S174" t="str">
        <f>_xlfn.TEXTJOIN("",,"*SOCKET0**COMPUTE",misc[[#This Row],[Compute]],"**CPU**CORE",misc[[#This Row],[location]],splitchar,"ML2*CR*MC3*STATUS*")</f>
        <v>*SOCKET0**COMPUTE2**CPU**CORE171__ML2*CR*MC3*STATUS*</v>
      </c>
      <c r="T174">
        <f>COUNTIFS(core_mc[TestName],misc[[#This Row],[CORE_MCA_String]],core_mc[VisualId],MC_Check!$H$2)</f>
        <v>0</v>
      </c>
      <c r="U174">
        <f>misc[[#This Row],[Core_ML2_Count]]+misc[[#This Row],[Core_IFU_Count]]+misc[[#This Row],[Core_DCU_Count]]+misc[[#This Row],[Core_DTLB_Count]]</f>
        <v>0</v>
      </c>
      <c r="V174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74" t="str">
        <f>_xlfn.TEXTJOIN("",,"*SOCKET0**COMPUTE",misc[[#This Row],[Compute]],"**UNCORE**SCF**SCF*LLC**SCF*LLC",misc[[#This Row],[location]],splitchar,"MCI*STATUS*")</f>
        <v>*SOCKET0**COMPUTE2**UNCORE**SCF**SCF*LLC**SCF*LLC171__MCI*STATUS*</v>
      </c>
      <c r="X174">
        <f>COUNTIFS(cha_mc[TestName],misc[[#This Row],[LLC_MCA_String]],cha_mc[VisualId],MC_Check!$H$2)</f>
        <v>0</v>
      </c>
    </row>
    <row r="175" spans="6:24" x14ac:dyDescent="0.35">
      <c r="F175">
        <v>2</v>
      </c>
      <c r="G175">
        <f t="shared" si="3"/>
        <v>172</v>
      </c>
      <c r="H175" s="5" t="b">
        <f>misc[[#This Row],[Core_Hitter_Count]]&gt;0</f>
        <v>0</v>
      </c>
      <c r="I175" t="b">
        <f>misc[[#This Row],[LLC_Hitter_Count]]&gt;0</f>
        <v>0</v>
      </c>
      <c r="J175" t="b">
        <f>misc[[#This Row],[CHA_Hitter_Count]]&gt;0</f>
        <v>0</v>
      </c>
      <c r="K175" t="str">
        <f>_xlfn.TEXTJOIN("",,"*SOCKET0**COMPUTE",misc[[#This Row],[Compute]],"**UNCORE**CHA**CHA",misc[[#This Row],[location]],splitchar,"UTIL**MC*STATUS*")</f>
        <v>*SOCKET0**COMPUTE2**UNCORE**CHA**CHA172__UTIL**MC*STATUS*</v>
      </c>
      <c r="L175">
        <f>COUNTIFS(cha_mc[TestName],misc[[#This Row],[CHA_MCA_String]],cha_mc[VisualId],MC_Check!$H$2)</f>
        <v>0</v>
      </c>
      <c r="M175" t="str">
        <f>_xlfn.TEXTJOIN("",,"*SOCKET0**COMPUTE",misc[[#This Row],[Compute]],"**CPU**CORE",misc[[#This Row],[location]],splitchar,"THREAD"&amp;"*",splitchar,"DCU*CR*MC1*STATUS**")</f>
        <v>*SOCKET0**COMPUTE2**CPU**CORE172__THREAD*__DCU*CR*MC1*STATUS**</v>
      </c>
      <c r="N175">
        <f>COUNTIFS(core_mc[TestName],misc[[#This Row],[DCU_MCA_String]],core_mc[VisualId],MC_Check!$H$2)</f>
        <v>0</v>
      </c>
      <c r="O175" t="str">
        <f>_xlfn.TEXTJOIN("",,"*SOCKET0**COMPUTE",misc[[#This Row],[Compute]],"**CPU**CORE",misc[[#This Row],[location]],splitchar,"DTLB*CR*MC2*STATUS**")</f>
        <v>*SOCKET0**COMPUTE2**CPU**CORE172__DTLB*CR*MC2*STATUS**</v>
      </c>
      <c r="P175">
        <f>COUNTIFS(core_mc[TestName],misc[[#This Row],[DTLB_MCA_String]],core_mc[VisualId],MC_Check!$H$2)</f>
        <v>0</v>
      </c>
      <c r="Q175" t="str">
        <f>_xlfn.TEXTJOIN("",,"*SOCKET0**COMPUTE",misc[[#This Row],[Compute]],"**CPU**CORE",misc[[#This Row],[location]],splitchar,"THREAD"&amp;"*",splitchar,"IFU*CR*MC0*STATUS**")</f>
        <v>*SOCKET0**COMPUTE2**CPU**CORE172__THREAD*__IFU*CR*MC0*STATUS**</v>
      </c>
      <c r="R175">
        <f>COUNTIFS(core_mc[TestName],misc[[#This Row],[IFU_MCA_String]],core_mc[VisualId],MC_Check!$H$2)</f>
        <v>0</v>
      </c>
      <c r="S175" t="str">
        <f>_xlfn.TEXTJOIN("",,"*SOCKET0**COMPUTE",misc[[#This Row],[Compute]],"**CPU**CORE",misc[[#This Row],[location]],splitchar,"ML2*CR*MC3*STATUS*")</f>
        <v>*SOCKET0**COMPUTE2**CPU**CORE172__ML2*CR*MC3*STATUS*</v>
      </c>
      <c r="T175">
        <f>COUNTIFS(core_mc[TestName],misc[[#This Row],[CORE_MCA_String]],core_mc[VisualId],MC_Check!$H$2)</f>
        <v>0</v>
      </c>
      <c r="U175">
        <f>misc[[#This Row],[Core_ML2_Count]]+misc[[#This Row],[Core_IFU_Count]]+misc[[#This Row],[Core_DCU_Count]]+misc[[#This Row],[Core_DTLB_Count]]</f>
        <v>0</v>
      </c>
      <c r="V175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75" t="str">
        <f>_xlfn.TEXTJOIN("",,"*SOCKET0**COMPUTE",misc[[#This Row],[Compute]],"**UNCORE**SCF**SCF*LLC**SCF*LLC",misc[[#This Row],[location]],splitchar,"MCI*STATUS*")</f>
        <v>*SOCKET0**COMPUTE2**UNCORE**SCF**SCF*LLC**SCF*LLC172__MCI*STATUS*</v>
      </c>
      <c r="X175">
        <f>COUNTIFS(cha_mc[TestName],misc[[#This Row],[LLC_MCA_String]],cha_mc[VisualId],MC_Check!$H$2)</f>
        <v>0</v>
      </c>
    </row>
    <row r="176" spans="6:24" x14ac:dyDescent="0.35">
      <c r="F176">
        <v>2</v>
      </c>
      <c r="G176">
        <f t="shared" si="3"/>
        <v>173</v>
      </c>
      <c r="H176" s="5" t="b">
        <f>misc[[#This Row],[Core_Hitter_Count]]&gt;0</f>
        <v>0</v>
      </c>
      <c r="I176" t="b">
        <f>misc[[#This Row],[LLC_Hitter_Count]]&gt;0</f>
        <v>0</v>
      </c>
      <c r="J176" t="b">
        <f>misc[[#This Row],[CHA_Hitter_Count]]&gt;0</f>
        <v>0</v>
      </c>
      <c r="K176" t="str">
        <f>_xlfn.TEXTJOIN("",,"*SOCKET0**COMPUTE",misc[[#This Row],[Compute]],"**UNCORE**CHA**CHA",misc[[#This Row],[location]],splitchar,"UTIL**MC*STATUS*")</f>
        <v>*SOCKET0**COMPUTE2**UNCORE**CHA**CHA173__UTIL**MC*STATUS*</v>
      </c>
      <c r="L176">
        <f>COUNTIFS(cha_mc[TestName],misc[[#This Row],[CHA_MCA_String]],cha_mc[VisualId],MC_Check!$H$2)</f>
        <v>0</v>
      </c>
      <c r="M176" t="str">
        <f>_xlfn.TEXTJOIN("",,"*SOCKET0**COMPUTE",misc[[#This Row],[Compute]],"**CPU**CORE",misc[[#This Row],[location]],splitchar,"THREAD"&amp;"*",splitchar,"DCU*CR*MC1*STATUS**")</f>
        <v>*SOCKET0**COMPUTE2**CPU**CORE173__THREAD*__DCU*CR*MC1*STATUS**</v>
      </c>
      <c r="N176">
        <f>COUNTIFS(core_mc[TestName],misc[[#This Row],[DCU_MCA_String]],core_mc[VisualId],MC_Check!$H$2)</f>
        <v>0</v>
      </c>
      <c r="O176" t="str">
        <f>_xlfn.TEXTJOIN("",,"*SOCKET0**COMPUTE",misc[[#This Row],[Compute]],"**CPU**CORE",misc[[#This Row],[location]],splitchar,"DTLB*CR*MC2*STATUS**")</f>
        <v>*SOCKET0**COMPUTE2**CPU**CORE173__DTLB*CR*MC2*STATUS**</v>
      </c>
      <c r="P176">
        <f>COUNTIFS(core_mc[TestName],misc[[#This Row],[DTLB_MCA_String]],core_mc[VisualId],MC_Check!$H$2)</f>
        <v>0</v>
      </c>
      <c r="Q176" t="str">
        <f>_xlfn.TEXTJOIN("",,"*SOCKET0**COMPUTE",misc[[#This Row],[Compute]],"**CPU**CORE",misc[[#This Row],[location]],splitchar,"THREAD"&amp;"*",splitchar,"IFU*CR*MC0*STATUS**")</f>
        <v>*SOCKET0**COMPUTE2**CPU**CORE173__THREAD*__IFU*CR*MC0*STATUS**</v>
      </c>
      <c r="R176">
        <f>COUNTIFS(core_mc[TestName],misc[[#This Row],[IFU_MCA_String]],core_mc[VisualId],MC_Check!$H$2)</f>
        <v>0</v>
      </c>
      <c r="S176" t="str">
        <f>_xlfn.TEXTJOIN("",,"*SOCKET0**COMPUTE",misc[[#This Row],[Compute]],"**CPU**CORE",misc[[#This Row],[location]],splitchar,"ML2*CR*MC3*STATUS*")</f>
        <v>*SOCKET0**COMPUTE2**CPU**CORE173__ML2*CR*MC3*STATUS*</v>
      </c>
      <c r="T176">
        <f>COUNTIFS(core_mc[TestName],misc[[#This Row],[CORE_MCA_String]],core_mc[VisualId],MC_Check!$H$2)</f>
        <v>0</v>
      </c>
      <c r="U176">
        <f>misc[[#This Row],[Core_ML2_Count]]+misc[[#This Row],[Core_IFU_Count]]+misc[[#This Row],[Core_DCU_Count]]+misc[[#This Row],[Core_DTLB_Count]]</f>
        <v>0</v>
      </c>
      <c r="V176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76" t="str">
        <f>_xlfn.TEXTJOIN("",,"*SOCKET0**COMPUTE",misc[[#This Row],[Compute]],"**UNCORE**SCF**SCF*LLC**SCF*LLC",misc[[#This Row],[location]],splitchar,"MCI*STATUS*")</f>
        <v>*SOCKET0**COMPUTE2**UNCORE**SCF**SCF*LLC**SCF*LLC173__MCI*STATUS*</v>
      </c>
      <c r="X176">
        <f>COUNTIFS(cha_mc[TestName],misc[[#This Row],[LLC_MCA_String]],cha_mc[VisualId],MC_Check!$H$2)</f>
        <v>0</v>
      </c>
    </row>
    <row r="177" spans="6:24" x14ac:dyDescent="0.35">
      <c r="F177">
        <v>2</v>
      </c>
      <c r="G177">
        <f t="shared" si="3"/>
        <v>174</v>
      </c>
      <c r="H177" s="5" t="b">
        <f>misc[[#This Row],[Core_Hitter_Count]]&gt;0</f>
        <v>0</v>
      </c>
      <c r="I177" t="b">
        <f>misc[[#This Row],[LLC_Hitter_Count]]&gt;0</f>
        <v>0</v>
      </c>
      <c r="J177" t="b">
        <f>misc[[#This Row],[CHA_Hitter_Count]]&gt;0</f>
        <v>0</v>
      </c>
      <c r="K177" t="str">
        <f>_xlfn.TEXTJOIN("",,"*SOCKET0**COMPUTE",misc[[#This Row],[Compute]],"**UNCORE**CHA**CHA",misc[[#This Row],[location]],splitchar,"UTIL**MC*STATUS*")</f>
        <v>*SOCKET0**COMPUTE2**UNCORE**CHA**CHA174__UTIL**MC*STATUS*</v>
      </c>
      <c r="L177">
        <f>COUNTIFS(cha_mc[TestName],misc[[#This Row],[CHA_MCA_String]],cha_mc[VisualId],MC_Check!$H$2)</f>
        <v>0</v>
      </c>
      <c r="M177" t="str">
        <f>_xlfn.TEXTJOIN("",,"*SOCKET0**COMPUTE",misc[[#This Row],[Compute]],"**CPU**CORE",misc[[#This Row],[location]],splitchar,"THREAD"&amp;"*",splitchar,"DCU*CR*MC1*STATUS**")</f>
        <v>*SOCKET0**COMPUTE2**CPU**CORE174__THREAD*__DCU*CR*MC1*STATUS**</v>
      </c>
      <c r="N177">
        <f>COUNTIFS(core_mc[TestName],misc[[#This Row],[DCU_MCA_String]],core_mc[VisualId],MC_Check!$H$2)</f>
        <v>0</v>
      </c>
      <c r="O177" t="str">
        <f>_xlfn.TEXTJOIN("",,"*SOCKET0**COMPUTE",misc[[#This Row],[Compute]],"**CPU**CORE",misc[[#This Row],[location]],splitchar,"DTLB*CR*MC2*STATUS**")</f>
        <v>*SOCKET0**COMPUTE2**CPU**CORE174__DTLB*CR*MC2*STATUS**</v>
      </c>
      <c r="P177">
        <f>COUNTIFS(core_mc[TestName],misc[[#This Row],[DTLB_MCA_String]],core_mc[VisualId],MC_Check!$H$2)</f>
        <v>0</v>
      </c>
      <c r="Q177" t="str">
        <f>_xlfn.TEXTJOIN("",,"*SOCKET0**COMPUTE",misc[[#This Row],[Compute]],"**CPU**CORE",misc[[#This Row],[location]],splitchar,"THREAD"&amp;"*",splitchar,"IFU*CR*MC0*STATUS**")</f>
        <v>*SOCKET0**COMPUTE2**CPU**CORE174__THREAD*__IFU*CR*MC0*STATUS**</v>
      </c>
      <c r="R177">
        <f>COUNTIFS(core_mc[TestName],misc[[#This Row],[IFU_MCA_String]],core_mc[VisualId],MC_Check!$H$2)</f>
        <v>0</v>
      </c>
      <c r="S177" t="str">
        <f>_xlfn.TEXTJOIN("",,"*SOCKET0**COMPUTE",misc[[#This Row],[Compute]],"**CPU**CORE",misc[[#This Row],[location]],splitchar,"ML2*CR*MC3*STATUS*")</f>
        <v>*SOCKET0**COMPUTE2**CPU**CORE174__ML2*CR*MC3*STATUS*</v>
      </c>
      <c r="T177">
        <f>COUNTIFS(core_mc[TestName],misc[[#This Row],[CORE_MCA_String]],core_mc[VisualId],MC_Check!$H$2)</f>
        <v>0</v>
      </c>
      <c r="U177">
        <f>misc[[#This Row],[Core_ML2_Count]]+misc[[#This Row],[Core_IFU_Count]]+misc[[#This Row],[Core_DCU_Count]]+misc[[#This Row],[Core_DTLB_Count]]</f>
        <v>0</v>
      </c>
      <c r="V177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77" t="str">
        <f>_xlfn.TEXTJOIN("",,"*SOCKET0**COMPUTE",misc[[#This Row],[Compute]],"**UNCORE**SCF**SCF*LLC**SCF*LLC",misc[[#This Row],[location]],splitchar,"MCI*STATUS*")</f>
        <v>*SOCKET0**COMPUTE2**UNCORE**SCF**SCF*LLC**SCF*LLC174__MCI*STATUS*</v>
      </c>
      <c r="X177">
        <f>COUNTIFS(cha_mc[TestName],misc[[#This Row],[LLC_MCA_String]],cha_mc[VisualId],MC_Check!$H$2)</f>
        <v>0</v>
      </c>
    </row>
    <row r="178" spans="6:24" x14ac:dyDescent="0.35">
      <c r="F178">
        <v>2</v>
      </c>
      <c r="G178">
        <f t="shared" si="3"/>
        <v>175</v>
      </c>
      <c r="H178" s="5" t="b">
        <f>misc[[#This Row],[Core_Hitter_Count]]&gt;0</f>
        <v>0</v>
      </c>
      <c r="I178" t="b">
        <f>misc[[#This Row],[LLC_Hitter_Count]]&gt;0</f>
        <v>0</v>
      </c>
      <c r="J178" t="b">
        <f>misc[[#This Row],[CHA_Hitter_Count]]&gt;0</f>
        <v>0</v>
      </c>
      <c r="K178" t="str">
        <f>_xlfn.TEXTJOIN("",,"*SOCKET0**COMPUTE",misc[[#This Row],[Compute]],"**UNCORE**CHA**CHA",misc[[#This Row],[location]],splitchar,"UTIL**MC*STATUS*")</f>
        <v>*SOCKET0**COMPUTE2**UNCORE**CHA**CHA175__UTIL**MC*STATUS*</v>
      </c>
      <c r="L178">
        <f>COUNTIFS(cha_mc[TestName],misc[[#This Row],[CHA_MCA_String]],cha_mc[VisualId],MC_Check!$H$2)</f>
        <v>0</v>
      </c>
      <c r="M178" t="str">
        <f>_xlfn.TEXTJOIN("",,"*SOCKET0**COMPUTE",misc[[#This Row],[Compute]],"**CPU**CORE",misc[[#This Row],[location]],splitchar,"THREAD"&amp;"*",splitchar,"DCU*CR*MC1*STATUS**")</f>
        <v>*SOCKET0**COMPUTE2**CPU**CORE175__THREAD*__DCU*CR*MC1*STATUS**</v>
      </c>
      <c r="N178">
        <f>COUNTIFS(core_mc[TestName],misc[[#This Row],[DCU_MCA_String]],core_mc[VisualId],MC_Check!$H$2)</f>
        <v>0</v>
      </c>
      <c r="O178" t="str">
        <f>_xlfn.TEXTJOIN("",,"*SOCKET0**COMPUTE",misc[[#This Row],[Compute]],"**CPU**CORE",misc[[#This Row],[location]],splitchar,"DTLB*CR*MC2*STATUS**")</f>
        <v>*SOCKET0**COMPUTE2**CPU**CORE175__DTLB*CR*MC2*STATUS**</v>
      </c>
      <c r="P178">
        <f>COUNTIFS(core_mc[TestName],misc[[#This Row],[DTLB_MCA_String]],core_mc[VisualId],MC_Check!$H$2)</f>
        <v>0</v>
      </c>
      <c r="Q178" t="str">
        <f>_xlfn.TEXTJOIN("",,"*SOCKET0**COMPUTE",misc[[#This Row],[Compute]],"**CPU**CORE",misc[[#This Row],[location]],splitchar,"THREAD"&amp;"*",splitchar,"IFU*CR*MC0*STATUS**")</f>
        <v>*SOCKET0**COMPUTE2**CPU**CORE175__THREAD*__IFU*CR*MC0*STATUS**</v>
      </c>
      <c r="R178">
        <f>COUNTIFS(core_mc[TestName],misc[[#This Row],[IFU_MCA_String]],core_mc[VisualId],MC_Check!$H$2)</f>
        <v>0</v>
      </c>
      <c r="S178" t="str">
        <f>_xlfn.TEXTJOIN("",,"*SOCKET0**COMPUTE",misc[[#This Row],[Compute]],"**CPU**CORE",misc[[#This Row],[location]],splitchar,"ML2*CR*MC3*STATUS*")</f>
        <v>*SOCKET0**COMPUTE2**CPU**CORE175__ML2*CR*MC3*STATUS*</v>
      </c>
      <c r="T178">
        <f>COUNTIFS(core_mc[TestName],misc[[#This Row],[CORE_MCA_String]],core_mc[VisualId],MC_Check!$H$2)</f>
        <v>0</v>
      </c>
      <c r="U178">
        <f>misc[[#This Row],[Core_ML2_Count]]+misc[[#This Row],[Core_IFU_Count]]+misc[[#This Row],[Core_DCU_Count]]+misc[[#This Row],[Core_DTLB_Count]]</f>
        <v>0</v>
      </c>
      <c r="V178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78" t="str">
        <f>_xlfn.TEXTJOIN("",,"*SOCKET0**COMPUTE",misc[[#This Row],[Compute]],"**UNCORE**SCF**SCF*LLC**SCF*LLC",misc[[#This Row],[location]],splitchar,"MCI*STATUS*")</f>
        <v>*SOCKET0**COMPUTE2**UNCORE**SCF**SCF*LLC**SCF*LLC175__MCI*STATUS*</v>
      </c>
      <c r="X178">
        <f>COUNTIFS(cha_mc[TestName],misc[[#This Row],[LLC_MCA_String]],cha_mc[VisualId],MC_Check!$H$2)</f>
        <v>0</v>
      </c>
    </row>
    <row r="179" spans="6:24" x14ac:dyDescent="0.35">
      <c r="F179">
        <v>2</v>
      </c>
      <c r="G179">
        <f t="shared" si="3"/>
        <v>176</v>
      </c>
      <c r="H179" s="5" t="b">
        <f>misc[[#This Row],[Core_Hitter_Count]]&gt;0</f>
        <v>0</v>
      </c>
      <c r="I179" t="b">
        <f>misc[[#This Row],[LLC_Hitter_Count]]&gt;0</f>
        <v>0</v>
      </c>
      <c r="J179" t="b">
        <f>misc[[#This Row],[CHA_Hitter_Count]]&gt;0</f>
        <v>0</v>
      </c>
      <c r="K179" t="str">
        <f>_xlfn.TEXTJOIN("",,"*SOCKET0**COMPUTE",misc[[#This Row],[Compute]],"**UNCORE**CHA**CHA",misc[[#This Row],[location]],splitchar,"UTIL**MC*STATUS*")</f>
        <v>*SOCKET0**COMPUTE2**UNCORE**CHA**CHA176__UTIL**MC*STATUS*</v>
      </c>
      <c r="L179">
        <f>COUNTIFS(cha_mc[TestName],misc[[#This Row],[CHA_MCA_String]],cha_mc[VisualId],MC_Check!$H$2)</f>
        <v>0</v>
      </c>
      <c r="M179" t="str">
        <f>_xlfn.TEXTJOIN("",,"*SOCKET0**COMPUTE",misc[[#This Row],[Compute]],"**CPU**CORE",misc[[#This Row],[location]],splitchar,"THREAD"&amp;"*",splitchar,"DCU*CR*MC1*STATUS**")</f>
        <v>*SOCKET0**COMPUTE2**CPU**CORE176__THREAD*__DCU*CR*MC1*STATUS**</v>
      </c>
      <c r="N179">
        <f>COUNTIFS(core_mc[TestName],misc[[#This Row],[DCU_MCA_String]],core_mc[VisualId],MC_Check!$H$2)</f>
        <v>0</v>
      </c>
      <c r="O179" t="str">
        <f>_xlfn.TEXTJOIN("",,"*SOCKET0**COMPUTE",misc[[#This Row],[Compute]],"**CPU**CORE",misc[[#This Row],[location]],splitchar,"DTLB*CR*MC2*STATUS**")</f>
        <v>*SOCKET0**COMPUTE2**CPU**CORE176__DTLB*CR*MC2*STATUS**</v>
      </c>
      <c r="P179">
        <f>COUNTIFS(core_mc[TestName],misc[[#This Row],[DTLB_MCA_String]],core_mc[VisualId],MC_Check!$H$2)</f>
        <v>0</v>
      </c>
      <c r="Q179" t="str">
        <f>_xlfn.TEXTJOIN("",,"*SOCKET0**COMPUTE",misc[[#This Row],[Compute]],"**CPU**CORE",misc[[#This Row],[location]],splitchar,"THREAD"&amp;"*",splitchar,"IFU*CR*MC0*STATUS**")</f>
        <v>*SOCKET0**COMPUTE2**CPU**CORE176__THREAD*__IFU*CR*MC0*STATUS**</v>
      </c>
      <c r="R179">
        <f>COUNTIFS(core_mc[TestName],misc[[#This Row],[IFU_MCA_String]],core_mc[VisualId],MC_Check!$H$2)</f>
        <v>0</v>
      </c>
      <c r="S179" t="str">
        <f>_xlfn.TEXTJOIN("",,"*SOCKET0**COMPUTE",misc[[#This Row],[Compute]],"**CPU**CORE",misc[[#This Row],[location]],splitchar,"ML2*CR*MC3*STATUS*")</f>
        <v>*SOCKET0**COMPUTE2**CPU**CORE176__ML2*CR*MC3*STATUS*</v>
      </c>
      <c r="T179">
        <f>COUNTIFS(core_mc[TestName],misc[[#This Row],[CORE_MCA_String]],core_mc[VisualId],MC_Check!$H$2)</f>
        <v>0</v>
      </c>
      <c r="U179">
        <f>misc[[#This Row],[Core_ML2_Count]]+misc[[#This Row],[Core_IFU_Count]]+misc[[#This Row],[Core_DCU_Count]]+misc[[#This Row],[Core_DTLB_Count]]</f>
        <v>0</v>
      </c>
      <c r="V179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79" t="str">
        <f>_xlfn.TEXTJOIN("",,"*SOCKET0**COMPUTE",misc[[#This Row],[Compute]],"**UNCORE**SCF**SCF*LLC**SCF*LLC",misc[[#This Row],[location]],splitchar,"MCI*STATUS*")</f>
        <v>*SOCKET0**COMPUTE2**UNCORE**SCF**SCF*LLC**SCF*LLC176__MCI*STATUS*</v>
      </c>
      <c r="X179">
        <f>COUNTIFS(cha_mc[TestName],misc[[#This Row],[LLC_MCA_String]],cha_mc[VisualId],MC_Check!$H$2)</f>
        <v>0</v>
      </c>
    </row>
    <row r="180" spans="6:24" x14ac:dyDescent="0.35">
      <c r="F180">
        <v>2</v>
      </c>
      <c r="G180">
        <f t="shared" si="3"/>
        <v>177</v>
      </c>
      <c r="H180" s="5" t="b">
        <f>misc[[#This Row],[Core_Hitter_Count]]&gt;0</f>
        <v>0</v>
      </c>
      <c r="I180" t="b">
        <f>misc[[#This Row],[LLC_Hitter_Count]]&gt;0</f>
        <v>0</v>
      </c>
      <c r="J180" t="b">
        <f>misc[[#This Row],[CHA_Hitter_Count]]&gt;0</f>
        <v>0</v>
      </c>
      <c r="K180" t="str">
        <f>_xlfn.TEXTJOIN("",,"*SOCKET0**COMPUTE",misc[[#This Row],[Compute]],"**UNCORE**CHA**CHA",misc[[#This Row],[location]],splitchar,"UTIL**MC*STATUS*")</f>
        <v>*SOCKET0**COMPUTE2**UNCORE**CHA**CHA177__UTIL**MC*STATUS*</v>
      </c>
      <c r="L180">
        <f>COUNTIFS(cha_mc[TestName],misc[[#This Row],[CHA_MCA_String]],cha_mc[VisualId],MC_Check!$H$2)</f>
        <v>0</v>
      </c>
      <c r="M180" t="str">
        <f>_xlfn.TEXTJOIN("",,"*SOCKET0**COMPUTE",misc[[#This Row],[Compute]],"**CPU**CORE",misc[[#This Row],[location]],splitchar,"THREAD"&amp;"*",splitchar,"DCU*CR*MC1*STATUS**")</f>
        <v>*SOCKET0**COMPUTE2**CPU**CORE177__THREAD*__DCU*CR*MC1*STATUS**</v>
      </c>
      <c r="N180">
        <f>COUNTIFS(core_mc[TestName],misc[[#This Row],[DCU_MCA_String]],core_mc[VisualId],MC_Check!$H$2)</f>
        <v>0</v>
      </c>
      <c r="O180" t="str">
        <f>_xlfn.TEXTJOIN("",,"*SOCKET0**COMPUTE",misc[[#This Row],[Compute]],"**CPU**CORE",misc[[#This Row],[location]],splitchar,"DTLB*CR*MC2*STATUS**")</f>
        <v>*SOCKET0**COMPUTE2**CPU**CORE177__DTLB*CR*MC2*STATUS**</v>
      </c>
      <c r="P180">
        <f>COUNTIFS(core_mc[TestName],misc[[#This Row],[DTLB_MCA_String]],core_mc[VisualId],MC_Check!$H$2)</f>
        <v>0</v>
      </c>
      <c r="Q180" t="str">
        <f>_xlfn.TEXTJOIN("",,"*SOCKET0**COMPUTE",misc[[#This Row],[Compute]],"**CPU**CORE",misc[[#This Row],[location]],splitchar,"THREAD"&amp;"*",splitchar,"IFU*CR*MC0*STATUS**")</f>
        <v>*SOCKET0**COMPUTE2**CPU**CORE177__THREAD*__IFU*CR*MC0*STATUS**</v>
      </c>
      <c r="R180">
        <f>COUNTIFS(core_mc[TestName],misc[[#This Row],[IFU_MCA_String]],core_mc[VisualId],MC_Check!$H$2)</f>
        <v>0</v>
      </c>
      <c r="S180" t="str">
        <f>_xlfn.TEXTJOIN("",,"*SOCKET0**COMPUTE",misc[[#This Row],[Compute]],"**CPU**CORE",misc[[#This Row],[location]],splitchar,"ML2*CR*MC3*STATUS*")</f>
        <v>*SOCKET0**COMPUTE2**CPU**CORE177__ML2*CR*MC3*STATUS*</v>
      </c>
      <c r="T180">
        <f>COUNTIFS(core_mc[TestName],misc[[#This Row],[CORE_MCA_String]],core_mc[VisualId],MC_Check!$H$2)</f>
        <v>0</v>
      </c>
      <c r="U180">
        <f>misc[[#This Row],[Core_ML2_Count]]+misc[[#This Row],[Core_IFU_Count]]+misc[[#This Row],[Core_DCU_Count]]+misc[[#This Row],[Core_DTLB_Count]]</f>
        <v>0</v>
      </c>
      <c r="V180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80" t="str">
        <f>_xlfn.TEXTJOIN("",,"*SOCKET0**COMPUTE",misc[[#This Row],[Compute]],"**UNCORE**SCF**SCF*LLC**SCF*LLC",misc[[#This Row],[location]],splitchar,"MCI*STATUS*")</f>
        <v>*SOCKET0**COMPUTE2**UNCORE**SCF**SCF*LLC**SCF*LLC177__MCI*STATUS*</v>
      </c>
      <c r="X180">
        <f>COUNTIFS(cha_mc[TestName],misc[[#This Row],[LLC_MCA_String]],cha_mc[VisualId],MC_Check!$H$2)</f>
        <v>0</v>
      </c>
    </row>
    <row r="181" spans="6:24" x14ac:dyDescent="0.35">
      <c r="F181">
        <v>2</v>
      </c>
      <c r="G181">
        <f t="shared" si="3"/>
        <v>178</v>
      </c>
      <c r="H181" s="5" t="b">
        <f>misc[[#This Row],[Core_Hitter_Count]]&gt;0</f>
        <v>0</v>
      </c>
      <c r="I181" t="b">
        <f>misc[[#This Row],[LLC_Hitter_Count]]&gt;0</f>
        <v>0</v>
      </c>
      <c r="J181" t="b">
        <f>misc[[#This Row],[CHA_Hitter_Count]]&gt;0</f>
        <v>0</v>
      </c>
      <c r="K181" t="str">
        <f>_xlfn.TEXTJOIN("",,"*SOCKET0**COMPUTE",misc[[#This Row],[Compute]],"**UNCORE**CHA**CHA",misc[[#This Row],[location]],splitchar,"UTIL**MC*STATUS*")</f>
        <v>*SOCKET0**COMPUTE2**UNCORE**CHA**CHA178__UTIL**MC*STATUS*</v>
      </c>
      <c r="L181">
        <f>COUNTIFS(cha_mc[TestName],misc[[#This Row],[CHA_MCA_String]],cha_mc[VisualId],MC_Check!$H$2)</f>
        <v>0</v>
      </c>
      <c r="M181" t="str">
        <f>_xlfn.TEXTJOIN("",,"*SOCKET0**COMPUTE",misc[[#This Row],[Compute]],"**CPU**CORE",misc[[#This Row],[location]],splitchar,"THREAD"&amp;"*",splitchar,"DCU*CR*MC1*STATUS**")</f>
        <v>*SOCKET0**COMPUTE2**CPU**CORE178__THREAD*__DCU*CR*MC1*STATUS**</v>
      </c>
      <c r="N181">
        <f>COUNTIFS(core_mc[TestName],misc[[#This Row],[DCU_MCA_String]],core_mc[VisualId],MC_Check!$H$2)</f>
        <v>0</v>
      </c>
      <c r="O181" t="str">
        <f>_xlfn.TEXTJOIN("",,"*SOCKET0**COMPUTE",misc[[#This Row],[Compute]],"**CPU**CORE",misc[[#This Row],[location]],splitchar,"DTLB*CR*MC2*STATUS**")</f>
        <v>*SOCKET0**COMPUTE2**CPU**CORE178__DTLB*CR*MC2*STATUS**</v>
      </c>
      <c r="P181">
        <f>COUNTIFS(core_mc[TestName],misc[[#This Row],[DTLB_MCA_String]],core_mc[VisualId],MC_Check!$H$2)</f>
        <v>0</v>
      </c>
      <c r="Q181" t="str">
        <f>_xlfn.TEXTJOIN("",,"*SOCKET0**COMPUTE",misc[[#This Row],[Compute]],"**CPU**CORE",misc[[#This Row],[location]],splitchar,"THREAD"&amp;"*",splitchar,"IFU*CR*MC0*STATUS**")</f>
        <v>*SOCKET0**COMPUTE2**CPU**CORE178__THREAD*__IFU*CR*MC0*STATUS**</v>
      </c>
      <c r="R181">
        <f>COUNTIFS(core_mc[TestName],misc[[#This Row],[IFU_MCA_String]],core_mc[VisualId],MC_Check!$H$2)</f>
        <v>0</v>
      </c>
      <c r="S181" t="str">
        <f>_xlfn.TEXTJOIN("",,"*SOCKET0**COMPUTE",misc[[#This Row],[Compute]],"**CPU**CORE",misc[[#This Row],[location]],splitchar,"ML2*CR*MC3*STATUS*")</f>
        <v>*SOCKET0**COMPUTE2**CPU**CORE178__ML2*CR*MC3*STATUS*</v>
      </c>
      <c r="T181">
        <f>COUNTIFS(core_mc[TestName],misc[[#This Row],[CORE_MCA_String]],core_mc[VisualId],MC_Check!$H$2)</f>
        <v>0</v>
      </c>
      <c r="U181">
        <f>misc[[#This Row],[Core_ML2_Count]]+misc[[#This Row],[Core_IFU_Count]]+misc[[#This Row],[Core_DCU_Count]]+misc[[#This Row],[Core_DTLB_Count]]</f>
        <v>0</v>
      </c>
      <c r="V181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81" t="str">
        <f>_xlfn.TEXTJOIN("",,"*SOCKET0**COMPUTE",misc[[#This Row],[Compute]],"**UNCORE**SCF**SCF*LLC**SCF*LLC",misc[[#This Row],[location]],splitchar,"MCI*STATUS*")</f>
        <v>*SOCKET0**COMPUTE2**UNCORE**SCF**SCF*LLC**SCF*LLC178__MCI*STATUS*</v>
      </c>
      <c r="X181">
        <f>COUNTIFS(cha_mc[TestName],misc[[#This Row],[LLC_MCA_String]],cha_mc[VisualId],MC_Check!$H$2)</f>
        <v>0</v>
      </c>
    </row>
    <row r="182" spans="6:24" x14ac:dyDescent="0.35">
      <c r="F182">
        <v>2</v>
      </c>
      <c r="G182">
        <f t="shared" si="3"/>
        <v>179</v>
      </c>
      <c r="H182" s="5" t="b">
        <f>misc[[#This Row],[Core_Hitter_Count]]&gt;0</f>
        <v>0</v>
      </c>
      <c r="I182" t="b">
        <f>misc[[#This Row],[LLC_Hitter_Count]]&gt;0</f>
        <v>0</v>
      </c>
      <c r="J182" t="b">
        <f>misc[[#This Row],[CHA_Hitter_Count]]&gt;0</f>
        <v>0</v>
      </c>
      <c r="K182" t="str">
        <f>_xlfn.TEXTJOIN("",,"*SOCKET0**COMPUTE",misc[[#This Row],[Compute]],"**UNCORE**CHA**CHA",misc[[#This Row],[location]],splitchar,"UTIL**MC*STATUS*")</f>
        <v>*SOCKET0**COMPUTE2**UNCORE**CHA**CHA179__UTIL**MC*STATUS*</v>
      </c>
      <c r="L182">
        <f>COUNTIFS(cha_mc[TestName],misc[[#This Row],[CHA_MCA_String]],cha_mc[VisualId],MC_Check!$H$2)</f>
        <v>0</v>
      </c>
      <c r="M182" t="str">
        <f>_xlfn.TEXTJOIN("",,"*SOCKET0**COMPUTE",misc[[#This Row],[Compute]],"**CPU**CORE",misc[[#This Row],[location]],splitchar,"THREAD"&amp;"*",splitchar,"DCU*CR*MC1*STATUS**")</f>
        <v>*SOCKET0**COMPUTE2**CPU**CORE179__THREAD*__DCU*CR*MC1*STATUS**</v>
      </c>
      <c r="N182">
        <f>COUNTIFS(core_mc[TestName],misc[[#This Row],[DCU_MCA_String]],core_mc[VisualId],MC_Check!$H$2)</f>
        <v>0</v>
      </c>
      <c r="O182" t="str">
        <f>_xlfn.TEXTJOIN("",,"*SOCKET0**COMPUTE",misc[[#This Row],[Compute]],"**CPU**CORE",misc[[#This Row],[location]],splitchar,"DTLB*CR*MC2*STATUS**")</f>
        <v>*SOCKET0**COMPUTE2**CPU**CORE179__DTLB*CR*MC2*STATUS**</v>
      </c>
      <c r="P182">
        <f>COUNTIFS(core_mc[TestName],misc[[#This Row],[DTLB_MCA_String]],core_mc[VisualId],MC_Check!$H$2)</f>
        <v>0</v>
      </c>
      <c r="Q182" t="str">
        <f>_xlfn.TEXTJOIN("",,"*SOCKET0**COMPUTE",misc[[#This Row],[Compute]],"**CPU**CORE",misc[[#This Row],[location]],splitchar,"THREAD"&amp;"*",splitchar,"IFU*CR*MC0*STATUS**")</f>
        <v>*SOCKET0**COMPUTE2**CPU**CORE179__THREAD*__IFU*CR*MC0*STATUS**</v>
      </c>
      <c r="R182">
        <f>COUNTIFS(core_mc[TestName],misc[[#This Row],[IFU_MCA_String]],core_mc[VisualId],MC_Check!$H$2)</f>
        <v>0</v>
      </c>
      <c r="S182" t="str">
        <f>_xlfn.TEXTJOIN("",,"*SOCKET0**COMPUTE",misc[[#This Row],[Compute]],"**CPU**CORE",misc[[#This Row],[location]],splitchar,"ML2*CR*MC3*STATUS*")</f>
        <v>*SOCKET0**COMPUTE2**CPU**CORE179__ML2*CR*MC3*STATUS*</v>
      </c>
      <c r="T182">
        <f>COUNTIFS(core_mc[TestName],misc[[#This Row],[CORE_MCA_String]],core_mc[VisualId],MC_Check!$H$2)</f>
        <v>0</v>
      </c>
      <c r="U182">
        <f>misc[[#This Row],[Core_ML2_Count]]+misc[[#This Row],[Core_IFU_Count]]+misc[[#This Row],[Core_DCU_Count]]+misc[[#This Row],[Core_DTLB_Count]]</f>
        <v>0</v>
      </c>
      <c r="V182" t="str">
        <f>_xlfn.TEXTJOIN(", ",,IF(misc[[#This Row],[Core_DCU_Count]]&gt;0,"DCU",""),IF(misc[[#This Row],[Core_IFU_Count]]&gt;0,"IFU",""),IF(misc[[#This Row],[Core_ML2_Count]]&gt;0,"ML2",""),IF(misc[[#This Row],[Core_DTLB_Count]]&gt;0,"DTLB",""))</f>
        <v/>
      </c>
      <c r="W182" t="str">
        <f>_xlfn.TEXTJOIN("",,"*SOCKET0**COMPUTE",misc[[#This Row],[Compute]],"**UNCORE**SCF**SCF*LLC**SCF*LLC",misc[[#This Row],[location]],splitchar,"MCI*STATUS*")</f>
        <v>*SOCKET0**COMPUTE2**UNCORE**SCF**SCF*LLC**SCF*LLC179__MCI*STATUS*</v>
      </c>
      <c r="X182">
        <f>COUNTIFS(cha_mc[TestName],misc[[#This Row],[LLC_MCA_String]],cha_mc[VisualId],MC_Check!$H$2)</f>
        <v>0</v>
      </c>
    </row>
  </sheetData>
  <mergeCells count="1">
    <mergeCell ref="A1:C1"/>
  </mergeCells>
  <phoneticPr fontId="2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CHA</vt:lpstr>
      <vt:lpstr>CORE</vt:lpstr>
      <vt:lpstr>PPV</vt:lpstr>
      <vt:lpstr>MC_Check</vt:lpstr>
      <vt:lpstr>ErrorData</vt:lpstr>
      <vt:lpstr>splitchar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Espinoza Ballestero, Gabriel</dc:creator>
  <cp:lastModifiedBy>Espinoza Ballestero, Gabriel</cp:lastModifiedBy>
  <dcterms:created xsi:type="dcterms:W3CDTF">2024-08-22T21:24:30Z</dcterms:created>
  <dcterms:modified xsi:type="dcterms:W3CDTF">2026-01-29T14:51:20Z</dcterms:modified>
</cp:coreProperties>
</file>