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Git\Automation\Automation\PPV\MCChecker\DMR\"/>
    </mc:Choice>
  </mc:AlternateContent>
  <xr:revisionPtr revIDLastSave="0" documentId="8_{A918FC64-C075-4975-86BB-9280373325E2}" xr6:coauthVersionLast="47" xr6:coauthVersionMax="47" xr10:uidLastSave="{00000000-0000-0000-0000-000000000000}"/>
  <bookViews>
    <workbookView xWindow="-108" yWindow="-108" windowWidth="23256" windowHeight="12456" activeTab="4" xr2:uid="{B533D783-8E94-47EE-A5E0-31DB8C66C10E}"/>
  </bookViews>
  <sheets>
    <sheet name="CHA" sheetId="1" r:id="rId1"/>
    <sheet name="CORE" sheetId="5" r:id="rId2"/>
    <sheet name="PPV" sheetId="3" r:id="rId3"/>
    <sheet name="MC_Check" sheetId="2" r:id="rId4"/>
    <sheet name="ErrorData" sheetId="6" r:id="rId5"/>
  </sheets>
  <definedNames>
    <definedName name="splitchar" comment="Change if using pysv registers or dpmb format">ErrorData!$G$1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49" i="2" l="1"/>
  <c r="X50" i="2" s="1"/>
  <c r="X51" i="2" s="1"/>
  <c r="X52" i="2" s="1"/>
  <c r="X53" i="2" s="1"/>
  <c r="X54" i="2" s="1"/>
  <c r="X55" i="2" s="1"/>
  <c r="X56" i="2" s="1"/>
  <c r="W49" i="2"/>
  <c r="W50" i="2" s="1"/>
  <c r="W51" i="2" s="1"/>
  <c r="W52" i="2" s="1"/>
  <c r="W53" i="2" s="1"/>
  <c r="W54" i="2" s="1"/>
  <c r="W55" i="2" s="1"/>
  <c r="W56" i="2" s="1"/>
  <c r="V49" i="2"/>
  <c r="V50" i="2" s="1"/>
  <c r="V51" i="2" s="1"/>
  <c r="V52" i="2" s="1"/>
  <c r="V53" i="2" s="1"/>
  <c r="V54" i="2" s="1"/>
  <c r="V55" i="2" s="1"/>
  <c r="V56" i="2" s="1"/>
  <c r="U49" i="2"/>
  <c r="U50" i="2" s="1"/>
  <c r="U51" i="2" s="1"/>
  <c r="U52" i="2" s="1"/>
  <c r="U53" i="2" s="1"/>
  <c r="U54" i="2" s="1"/>
  <c r="U55" i="2" s="1"/>
  <c r="U56" i="2" s="1"/>
  <c r="R49" i="2"/>
  <c r="R50" i="2" s="1"/>
  <c r="R51" i="2" s="1"/>
  <c r="R52" i="2" s="1"/>
  <c r="R53" i="2" s="1"/>
  <c r="R54" i="2" s="1"/>
  <c r="R55" i="2" s="1"/>
  <c r="R56" i="2" s="1"/>
  <c r="Q49" i="2"/>
  <c r="Q50" i="2" s="1"/>
  <c r="Q51" i="2" s="1"/>
  <c r="Q52" i="2" s="1"/>
  <c r="Q53" i="2" s="1"/>
  <c r="Q54" i="2" s="1"/>
  <c r="Q55" i="2" s="1"/>
  <c r="Q56" i="2" s="1"/>
  <c r="P49" i="2"/>
  <c r="P50" i="2" s="1"/>
  <c r="P51" i="2" s="1"/>
  <c r="P52" i="2" s="1"/>
  <c r="P53" i="2" s="1"/>
  <c r="P54" i="2" s="1"/>
  <c r="P55" i="2" s="1"/>
  <c r="P56" i="2" s="1"/>
  <c r="O49" i="2"/>
  <c r="O50" i="2" s="1"/>
  <c r="O51" i="2" s="1"/>
  <c r="O52" i="2" s="1"/>
  <c r="O53" i="2" s="1"/>
  <c r="O54" i="2" s="1"/>
  <c r="O55" i="2" s="1"/>
  <c r="O56" i="2" s="1"/>
  <c r="X36" i="2"/>
  <c r="X37" i="2" s="1"/>
  <c r="X38" i="2" s="1"/>
  <c r="X39" i="2" s="1"/>
  <c r="X40" i="2" s="1"/>
  <c r="X41" i="2" s="1"/>
  <c r="X42" i="2" s="1"/>
  <c r="X43" i="2" s="1"/>
  <c r="W36" i="2"/>
  <c r="W37" i="2" s="1"/>
  <c r="W38" i="2" s="1"/>
  <c r="W39" i="2" s="1"/>
  <c r="W40" i="2" s="1"/>
  <c r="W41" i="2" s="1"/>
  <c r="W42" i="2" s="1"/>
  <c r="W43" i="2" s="1"/>
  <c r="V36" i="2"/>
  <c r="V37" i="2" s="1"/>
  <c r="V38" i="2" s="1"/>
  <c r="V39" i="2" s="1"/>
  <c r="V40" i="2" s="1"/>
  <c r="V41" i="2" s="1"/>
  <c r="V42" i="2" s="1"/>
  <c r="V43" i="2" s="1"/>
  <c r="U36" i="2"/>
  <c r="U37" i="2" s="1"/>
  <c r="U38" i="2" s="1"/>
  <c r="U39" i="2" s="1"/>
  <c r="U40" i="2" s="1"/>
  <c r="U41" i="2" s="1"/>
  <c r="U42" i="2" s="1"/>
  <c r="U43" i="2" s="1"/>
  <c r="R36" i="2"/>
  <c r="R37" i="2" s="1"/>
  <c r="R38" i="2" s="1"/>
  <c r="R39" i="2" s="1"/>
  <c r="R40" i="2" s="1"/>
  <c r="R41" i="2" s="1"/>
  <c r="R42" i="2" s="1"/>
  <c r="R43" i="2" s="1"/>
  <c r="Q36" i="2"/>
  <c r="Q37" i="2" s="1"/>
  <c r="Q38" i="2" s="1"/>
  <c r="Q39" i="2" s="1"/>
  <c r="Q40" i="2" s="1"/>
  <c r="Q41" i="2" s="1"/>
  <c r="Q42" i="2" s="1"/>
  <c r="Q43" i="2" s="1"/>
  <c r="P36" i="2"/>
  <c r="P37" i="2" s="1"/>
  <c r="P38" i="2" s="1"/>
  <c r="P39" i="2" s="1"/>
  <c r="P40" i="2" s="1"/>
  <c r="P41" i="2" s="1"/>
  <c r="P42" i="2" s="1"/>
  <c r="P43" i="2" s="1"/>
  <c r="O36" i="2"/>
  <c r="O37" i="2" s="1"/>
  <c r="O38" i="2" s="1"/>
  <c r="O39" i="2" s="1"/>
  <c r="O40" i="2" s="1"/>
  <c r="O41" i="2" s="1"/>
  <c r="O42" i="2" s="1"/>
  <c r="O43" i="2" s="1"/>
  <c r="X23" i="2"/>
  <c r="X24" i="2" s="1"/>
  <c r="X25" i="2" s="1"/>
  <c r="X26" i="2" s="1"/>
  <c r="X27" i="2" s="1"/>
  <c r="X28" i="2" s="1"/>
  <c r="X29" i="2" s="1"/>
  <c r="X30" i="2" s="1"/>
  <c r="W23" i="2"/>
  <c r="W24" i="2" s="1"/>
  <c r="W25" i="2" s="1"/>
  <c r="W26" i="2" s="1"/>
  <c r="W27" i="2" s="1"/>
  <c r="W28" i="2" s="1"/>
  <c r="W29" i="2" s="1"/>
  <c r="W30" i="2" s="1"/>
  <c r="V23" i="2"/>
  <c r="V24" i="2" s="1"/>
  <c r="V25" i="2" s="1"/>
  <c r="V26" i="2" s="1"/>
  <c r="V27" i="2" s="1"/>
  <c r="V28" i="2" s="1"/>
  <c r="V29" i="2" s="1"/>
  <c r="V30" i="2" s="1"/>
  <c r="U23" i="2"/>
  <c r="U24" i="2" s="1"/>
  <c r="U25" i="2" s="1"/>
  <c r="U26" i="2" s="1"/>
  <c r="U27" i="2" s="1"/>
  <c r="U28" i="2" s="1"/>
  <c r="U29" i="2" s="1"/>
  <c r="U30" i="2" s="1"/>
  <c r="R23" i="2"/>
  <c r="R24" i="2" s="1"/>
  <c r="R25" i="2" s="1"/>
  <c r="R26" i="2" s="1"/>
  <c r="R27" i="2" s="1"/>
  <c r="R28" i="2" s="1"/>
  <c r="R29" i="2" s="1"/>
  <c r="R30" i="2" s="1"/>
  <c r="Q23" i="2"/>
  <c r="Q24" i="2" s="1"/>
  <c r="Q25" i="2" s="1"/>
  <c r="Q26" i="2" s="1"/>
  <c r="Q27" i="2" s="1"/>
  <c r="Q28" i="2" s="1"/>
  <c r="Q29" i="2" s="1"/>
  <c r="Q30" i="2" s="1"/>
  <c r="P23" i="2"/>
  <c r="P24" i="2" s="1"/>
  <c r="P25" i="2" s="1"/>
  <c r="P26" i="2" s="1"/>
  <c r="P27" i="2" s="1"/>
  <c r="P28" i="2" s="1"/>
  <c r="P29" i="2" s="1"/>
  <c r="P30" i="2" s="1"/>
  <c r="O23" i="2"/>
  <c r="O24" i="2" s="1"/>
  <c r="O25" i="2" s="1"/>
  <c r="O26" i="2" s="1"/>
  <c r="O27" i="2" s="1"/>
  <c r="O28" i="2" s="1"/>
  <c r="O29" i="2" s="1"/>
  <c r="O30" i="2" s="1"/>
  <c r="X10" i="2"/>
  <c r="W10" i="2"/>
  <c r="V10" i="2"/>
  <c r="U10" i="2"/>
  <c r="R10" i="2"/>
  <c r="Q10" i="2"/>
  <c r="P10" i="2"/>
  <c r="O10" i="2"/>
  <c r="B3" i="6" l="1" a="1"/>
  <c r="B3" i="6" s="1"/>
  <c r="C3" i="6" a="1"/>
  <c r="C3" i="6" s="1"/>
  <c r="H5" i="2" l="1"/>
  <c r="J114" i="6"/>
  <c r="J122" i="6" s="1"/>
  <c r="J130" i="6" s="1"/>
  <c r="J113" i="6"/>
  <c r="J121" i="6" s="1"/>
  <c r="J129" i="6" s="1"/>
  <c r="J112" i="6"/>
  <c r="J120" i="6" s="1"/>
  <c r="J128" i="6" s="1"/>
  <c r="J111" i="6"/>
  <c r="J119" i="6" s="1"/>
  <c r="J127" i="6" s="1"/>
  <c r="J110" i="6"/>
  <c r="J118" i="6" s="1"/>
  <c r="J126" i="6" s="1"/>
  <c r="J109" i="6"/>
  <c r="J117" i="6" s="1"/>
  <c r="J125" i="6" s="1"/>
  <c r="J108" i="6"/>
  <c r="J116" i="6" s="1"/>
  <c r="J124" i="6" s="1"/>
  <c r="J107" i="6"/>
  <c r="J115" i="6" s="1"/>
  <c r="J123" i="6" s="1"/>
  <c r="J82" i="6"/>
  <c r="J90" i="6" s="1"/>
  <c r="J98" i="6" s="1"/>
  <c r="J81" i="6"/>
  <c r="J89" i="6" s="1"/>
  <c r="J97" i="6" s="1"/>
  <c r="J80" i="6"/>
  <c r="J88" i="6" s="1"/>
  <c r="J96" i="6" s="1"/>
  <c r="J79" i="6"/>
  <c r="J87" i="6" s="1"/>
  <c r="J95" i="6" s="1"/>
  <c r="J78" i="6"/>
  <c r="J86" i="6" s="1"/>
  <c r="J94" i="6" s="1"/>
  <c r="J77" i="6"/>
  <c r="J85" i="6" s="1"/>
  <c r="J93" i="6" s="1"/>
  <c r="J76" i="6"/>
  <c r="J84" i="6" s="1"/>
  <c r="J92" i="6" s="1"/>
  <c r="J75" i="6"/>
  <c r="J83" i="6" s="1"/>
  <c r="J91" i="6" s="1"/>
  <c r="J50" i="6"/>
  <c r="J58" i="6" s="1"/>
  <c r="J66" i="6" s="1"/>
  <c r="J49" i="6"/>
  <c r="J57" i="6" s="1"/>
  <c r="J65" i="6" s="1"/>
  <c r="J48" i="6"/>
  <c r="J56" i="6" s="1"/>
  <c r="J64" i="6" s="1"/>
  <c r="J47" i="6"/>
  <c r="J55" i="6" s="1"/>
  <c r="J63" i="6" s="1"/>
  <c r="J46" i="6"/>
  <c r="J54" i="6" s="1"/>
  <c r="J62" i="6" s="1"/>
  <c r="J45" i="6"/>
  <c r="J53" i="6" s="1"/>
  <c r="J61" i="6" s="1"/>
  <c r="J44" i="6"/>
  <c r="J52" i="6" s="1"/>
  <c r="J60" i="6" s="1"/>
  <c r="J43" i="6"/>
  <c r="J51" i="6" s="1"/>
  <c r="J59" i="6" s="1"/>
  <c r="J12" i="6"/>
  <c r="J13" i="6"/>
  <c r="J21" i="6" s="1"/>
  <c r="J29" i="6" s="1"/>
  <c r="J14" i="6"/>
  <c r="J15" i="6"/>
  <c r="J16" i="6"/>
  <c r="J17" i="6"/>
  <c r="J25" i="6" s="1"/>
  <c r="J33" i="6" s="1"/>
  <c r="J18" i="6"/>
  <c r="J19" i="6"/>
  <c r="J20" i="6"/>
  <c r="J22" i="6"/>
  <c r="J23" i="6"/>
  <c r="J24" i="6"/>
  <c r="J32" i="6" s="1"/>
  <c r="J26" i="6"/>
  <c r="J27" i="6"/>
  <c r="J28" i="6"/>
  <c r="J30" i="6"/>
  <c r="J31" i="6"/>
  <c r="J34" i="6"/>
  <c r="J11" i="6"/>
  <c r="M4" i="6"/>
  <c r="M5" i="6"/>
  <c r="M6" i="6"/>
  <c r="M7" i="6"/>
  <c r="M8" i="6"/>
  <c r="M9" i="6"/>
  <c r="M10" i="6"/>
  <c r="M11" i="6"/>
  <c r="M12" i="6"/>
  <c r="M13" i="6"/>
  <c r="M14" i="6"/>
  <c r="M15" i="6"/>
  <c r="M16" i="6"/>
  <c r="M17" i="6"/>
  <c r="M18" i="6"/>
  <c r="M19" i="6"/>
  <c r="M20" i="6"/>
  <c r="M21" i="6"/>
  <c r="M22" i="6"/>
  <c r="M23" i="6"/>
  <c r="M24" i="6"/>
  <c r="M25" i="6"/>
  <c r="M26" i="6"/>
  <c r="M27" i="6"/>
  <c r="M28" i="6"/>
  <c r="M29" i="6"/>
  <c r="M30" i="6"/>
  <c r="M31" i="6"/>
  <c r="M32" i="6"/>
  <c r="M33" i="6"/>
  <c r="M34" i="6"/>
  <c r="M35" i="6"/>
  <c r="M36" i="6"/>
  <c r="M37" i="6"/>
  <c r="M38" i="6"/>
  <c r="M39" i="6"/>
  <c r="M40" i="6"/>
  <c r="M41" i="6"/>
  <c r="M42" i="6"/>
  <c r="M43" i="6"/>
  <c r="M44" i="6"/>
  <c r="M45" i="6"/>
  <c r="M46" i="6"/>
  <c r="M47" i="6"/>
  <c r="M48" i="6"/>
  <c r="M49" i="6"/>
  <c r="M50" i="6"/>
  <c r="M51" i="6"/>
  <c r="M52" i="6"/>
  <c r="M53" i="6"/>
  <c r="M54" i="6"/>
  <c r="M55" i="6"/>
  <c r="M56" i="6"/>
  <c r="M57" i="6"/>
  <c r="M58" i="6"/>
  <c r="M59" i="6"/>
  <c r="M60" i="6"/>
  <c r="M61" i="6"/>
  <c r="M62" i="6"/>
  <c r="M63" i="6"/>
  <c r="M64" i="6"/>
  <c r="M65" i="6"/>
  <c r="M66" i="6"/>
  <c r="M67" i="6"/>
  <c r="M68" i="6"/>
  <c r="M69" i="6"/>
  <c r="M70" i="6"/>
  <c r="M71" i="6"/>
  <c r="M72" i="6"/>
  <c r="M73" i="6"/>
  <c r="M74" i="6"/>
  <c r="M75" i="6"/>
  <c r="M76" i="6"/>
  <c r="M77" i="6"/>
  <c r="M78" i="6"/>
  <c r="M79" i="6"/>
  <c r="M80" i="6"/>
  <c r="M81" i="6"/>
  <c r="M82" i="6"/>
  <c r="M83" i="6"/>
  <c r="M84" i="6"/>
  <c r="M85" i="6"/>
  <c r="M86" i="6"/>
  <c r="M87" i="6"/>
  <c r="M88" i="6"/>
  <c r="M89" i="6"/>
  <c r="M90" i="6"/>
  <c r="M91" i="6"/>
  <c r="M92" i="6"/>
  <c r="M93" i="6"/>
  <c r="M94" i="6"/>
  <c r="M95" i="6"/>
  <c r="M96" i="6"/>
  <c r="M97" i="6"/>
  <c r="M98" i="6"/>
  <c r="M99" i="6"/>
  <c r="M100" i="6"/>
  <c r="M101" i="6"/>
  <c r="M102" i="6"/>
  <c r="M103" i="6"/>
  <c r="M104" i="6"/>
  <c r="M105" i="6"/>
  <c r="M106" i="6"/>
  <c r="M107" i="6"/>
  <c r="M108" i="6"/>
  <c r="M109" i="6"/>
  <c r="M110" i="6"/>
  <c r="M111" i="6"/>
  <c r="M112" i="6"/>
  <c r="M113" i="6"/>
  <c r="M114" i="6"/>
  <c r="M115" i="6"/>
  <c r="M116" i="6"/>
  <c r="M117" i="6"/>
  <c r="M118" i="6"/>
  <c r="M119" i="6"/>
  <c r="M120" i="6"/>
  <c r="M121" i="6"/>
  <c r="M122" i="6"/>
  <c r="M123" i="6"/>
  <c r="M124" i="6"/>
  <c r="M125" i="6"/>
  <c r="M126" i="6"/>
  <c r="M127" i="6"/>
  <c r="M128" i="6"/>
  <c r="M129" i="6"/>
  <c r="M130" i="6"/>
  <c r="M131" i="6"/>
  <c r="M132" i="6"/>
  <c r="M133" i="6"/>
  <c r="M134" i="6"/>
  <c r="M135" i="6"/>
  <c r="M136" i="6"/>
  <c r="M137" i="6"/>
  <c r="M138" i="6"/>
  <c r="M139" i="6"/>
  <c r="M140" i="6"/>
  <c r="M141" i="6"/>
  <c r="M142" i="6"/>
  <c r="M143" i="6"/>
  <c r="M144" i="6"/>
  <c r="M145" i="6"/>
  <c r="M146" i="6"/>
  <c r="M147" i="6"/>
  <c r="M148" i="6"/>
  <c r="M149" i="6"/>
  <c r="M150" i="6"/>
  <c r="M151" i="6"/>
  <c r="M152" i="6"/>
  <c r="M153" i="6"/>
  <c r="M154" i="6"/>
  <c r="M155" i="6"/>
  <c r="M156" i="6"/>
  <c r="M157" i="6"/>
  <c r="M158" i="6"/>
  <c r="M159" i="6"/>
  <c r="M160" i="6"/>
  <c r="M161" i="6"/>
  <c r="M162" i="6"/>
  <c r="M163" i="6"/>
  <c r="M164" i="6"/>
  <c r="M165" i="6"/>
  <c r="M166" i="6"/>
  <c r="M167" i="6"/>
  <c r="M168" i="6"/>
  <c r="M169" i="6"/>
  <c r="M170" i="6"/>
  <c r="M171" i="6"/>
  <c r="M172" i="6"/>
  <c r="M173" i="6"/>
  <c r="M174" i="6"/>
  <c r="M175" i="6"/>
  <c r="M176" i="6"/>
  <c r="M177" i="6"/>
  <c r="M178" i="6"/>
  <c r="M179" i="6"/>
  <c r="M180" i="6"/>
  <c r="M181" i="6"/>
  <c r="M182" i="6"/>
  <c r="M3" i="6"/>
  <c r="K110" i="6"/>
  <c r="K114" i="6" s="1"/>
  <c r="K118" i="6" s="1"/>
  <c r="K122" i="6" s="1"/>
  <c r="K126" i="6" s="1"/>
  <c r="K130" i="6" s="1"/>
  <c r="K108" i="6"/>
  <c r="K112" i="6" s="1"/>
  <c r="K116" i="6" s="1"/>
  <c r="K120" i="6" s="1"/>
  <c r="K124" i="6" s="1"/>
  <c r="K128" i="6" s="1"/>
  <c r="K107" i="6"/>
  <c r="K111" i="6" s="1"/>
  <c r="K115" i="6" s="1"/>
  <c r="K119" i="6" s="1"/>
  <c r="K123" i="6" s="1"/>
  <c r="K127" i="6" s="1"/>
  <c r="K106" i="6"/>
  <c r="K105" i="6"/>
  <c r="K109" i="6" s="1"/>
  <c r="K113" i="6" s="1"/>
  <c r="K117" i="6" s="1"/>
  <c r="K121" i="6" s="1"/>
  <c r="K125" i="6" s="1"/>
  <c r="K129" i="6" s="1"/>
  <c r="K104" i="6"/>
  <c r="K103" i="6"/>
  <c r="K77" i="6"/>
  <c r="K81" i="6" s="1"/>
  <c r="K85" i="6" s="1"/>
  <c r="K89" i="6" s="1"/>
  <c r="K93" i="6" s="1"/>
  <c r="K97" i="6" s="1"/>
  <c r="K74" i="6"/>
  <c r="K78" i="6" s="1"/>
  <c r="K82" i="6" s="1"/>
  <c r="K86" i="6" s="1"/>
  <c r="K90" i="6" s="1"/>
  <c r="K94" i="6" s="1"/>
  <c r="K98" i="6" s="1"/>
  <c r="K73" i="6"/>
  <c r="K72" i="6"/>
  <c r="K76" i="6" s="1"/>
  <c r="K80" i="6" s="1"/>
  <c r="K84" i="6" s="1"/>
  <c r="K88" i="6" s="1"/>
  <c r="K92" i="6" s="1"/>
  <c r="K96" i="6" s="1"/>
  <c r="K71" i="6"/>
  <c r="K75" i="6" s="1"/>
  <c r="K79" i="6" s="1"/>
  <c r="K83" i="6" s="1"/>
  <c r="K87" i="6" s="1"/>
  <c r="K91" i="6" s="1"/>
  <c r="K95" i="6" s="1"/>
  <c r="K46" i="6"/>
  <c r="K50" i="6" s="1"/>
  <c r="K54" i="6" s="1"/>
  <c r="K58" i="6" s="1"/>
  <c r="K62" i="6" s="1"/>
  <c r="K66" i="6" s="1"/>
  <c r="K44" i="6"/>
  <c r="K48" i="6" s="1"/>
  <c r="K52" i="6" s="1"/>
  <c r="K56" i="6" s="1"/>
  <c r="K60" i="6" s="1"/>
  <c r="K64" i="6" s="1"/>
  <c r="K43" i="6"/>
  <c r="K47" i="6" s="1"/>
  <c r="K51" i="6" s="1"/>
  <c r="K55" i="6" s="1"/>
  <c r="K59" i="6" s="1"/>
  <c r="K63" i="6" s="1"/>
  <c r="K42" i="6"/>
  <c r="K41" i="6"/>
  <c r="K45" i="6" s="1"/>
  <c r="K49" i="6" s="1"/>
  <c r="K53" i="6" s="1"/>
  <c r="K57" i="6" s="1"/>
  <c r="K61" i="6" s="1"/>
  <c r="K65" i="6" s="1"/>
  <c r="K40" i="6"/>
  <c r="K39" i="6"/>
  <c r="K10" i="6"/>
  <c r="K14" i="6" s="1"/>
  <c r="K18" i="6" s="1"/>
  <c r="K22" i="6" s="1"/>
  <c r="K26" i="6" s="1"/>
  <c r="K30" i="6" s="1"/>
  <c r="K34" i="6" s="1"/>
  <c r="K9" i="6"/>
  <c r="K13" i="6" s="1"/>
  <c r="K17" i="6" s="1"/>
  <c r="K21" i="6" s="1"/>
  <c r="K25" i="6" s="1"/>
  <c r="K29" i="6" s="1"/>
  <c r="K33" i="6" s="1"/>
  <c r="K8" i="6"/>
  <c r="K12" i="6" s="1"/>
  <c r="K16" i="6" s="1"/>
  <c r="K20" i="6" s="1"/>
  <c r="K24" i="6" s="1"/>
  <c r="K28" i="6" s="1"/>
  <c r="K32" i="6" s="1"/>
  <c r="K7" i="6"/>
  <c r="K11" i="6" s="1"/>
  <c r="K15" i="6" s="1"/>
  <c r="K19" i="6" s="1"/>
  <c r="K23" i="6" s="1"/>
  <c r="K27" i="6" s="1"/>
  <c r="K31" i="6" s="1"/>
  <c r="X11" i="2"/>
  <c r="X12" i="2" s="1"/>
  <c r="X13" i="2" s="1"/>
  <c r="X14" i="2" s="1"/>
  <c r="X15" i="2" s="1"/>
  <c r="X16" i="2" s="1"/>
  <c r="X17" i="2" s="1"/>
  <c r="W11" i="2"/>
  <c r="W12" i="2" s="1"/>
  <c r="W13" i="2" s="1"/>
  <c r="W14" i="2" s="1"/>
  <c r="W15" i="2" s="1"/>
  <c r="W16" i="2" s="1"/>
  <c r="W17" i="2" s="1"/>
  <c r="V11" i="2"/>
  <c r="V12" i="2" s="1"/>
  <c r="V13" i="2" s="1"/>
  <c r="V14" i="2" s="1"/>
  <c r="V15" i="2" s="1"/>
  <c r="V16" i="2" s="1"/>
  <c r="V17" i="2" s="1"/>
  <c r="U11" i="2"/>
  <c r="U12" i="2" s="1"/>
  <c r="U13" i="2" s="1"/>
  <c r="U14" i="2" s="1"/>
  <c r="U15" i="2" s="1"/>
  <c r="U16" i="2" s="1"/>
  <c r="U17" i="2" s="1"/>
  <c r="R11" i="2"/>
  <c r="R12" i="2" s="1"/>
  <c r="R13" i="2" s="1"/>
  <c r="R14" i="2" s="1"/>
  <c r="R15" i="2" s="1"/>
  <c r="R16" i="2" s="1"/>
  <c r="R17" i="2" s="1"/>
  <c r="Q11" i="2"/>
  <c r="Q12" i="2" s="1"/>
  <c r="Q13" i="2" s="1"/>
  <c r="Q14" i="2" s="1"/>
  <c r="Q15" i="2" s="1"/>
  <c r="Q16" i="2" s="1"/>
  <c r="Q17" i="2" s="1"/>
  <c r="P11" i="2"/>
  <c r="P12" i="2" s="1"/>
  <c r="P13" i="2" s="1"/>
  <c r="P14" i="2" s="1"/>
  <c r="P15" i="2" s="1"/>
  <c r="P16" i="2" s="1"/>
  <c r="P17" i="2" s="1"/>
  <c r="O11" i="2"/>
  <c r="O12" i="2" s="1"/>
  <c r="O13" i="2" s="1"/>
  <c r="O14" i="2" s="1"/>
  <c r="O15" i="2" s="1"/>
  <c r="O16" i="2" s="1"/>
  <c r="O17" i="2" s="1"/>
  <c r="H4" i="6"/>
  <c r="H5" i="6"/>
  <c r="H6" i="6"/>
  <c r="H7" i="6"/>
  <c r="I7" i="6" s="1"/>
  <c r="H8" i="6"/>
  <c r="I8" i="6" s="1"/>
  <c r="H9" i="6"/>
  <c r="I9" i="6" s="1"/>
  <c r="H10" i="6"/>
  <c r="I10" i="6" s="1"/>
  <c r="H11" i="6"/>
  <c r="I11" i="6" s="1"/>
  <c r="H12" i="6"/>
  <c r="I12" i="6" s="1"/>
  <c r="H13" i="6"/>
  <c r="I13" i="6" s="1"/>
  <c r="H14" i="6"/>
  <c r="I14" i="6" s="1"/>
  <c r="H15" i="6"/>
  <c r="I15" i="6" s="1"/>
  <c r="H16" i="6"/>
  <c r="I16" i="6" s="1"/>
  <c r="H17" i="6"/>
  <c r="I17" i="6" s="1"/>
  <c r="H18" i="6"/>
  <c r="I18" i="6" s="1"/>
  <c r="H19" i="6"/>
  <c r="I19" i="6" s="1"/>
  <c r="H20" i="6"/>
  <c r="I20" i="6" s="1"/>
  <c r="H21" i="6"/>
  <c r="I21" i="6" s="1"/>
  <c r="H22" i="6"/>
  <c r="I22" i="6" s="1"/>
  <c r="H23" i="6"/>
  <c r="I23" i="6" s="1"/>
  <c r="H24" i="6"/>
  <c r="I24" i="6" s="1"/>
  <c r="H25" i="6"/>
  <c r="I25" i="6" s="1"/>
  <c r="H26" i="6"/>
  <c r="I26" i="6" s="1"/>
  <c r="H27" i="6"/>
  <c r="I27" i="6" s="1"/>
  <c r="H28" i="6"/>
  <c r="I28" i="6" s="1"/>
  <c r="H29" i="6"/>
  <c r="I29" i="6" s="1"/>
  <c r="H30" i="6"/>
  <c r="I30" i="6" s="1"/>
  <c r="H31" i="6"/>
  <c r="I31" i="6" s="1"/>
  <c r="H32" i="6"/>
  <c r="I32" i="6" s="1"/>
  <c r="H33" i="6"/>
  <c r="I33" i="6" s="1"/>
  <c r="H34" i="6"/>
  <c r="I34" i="6" s="1"/>
  <c r="H35" i="6"/>
  <c r="H36" i="6"/>
  <c r="H37" i="6"/>
  <c r="H38" i="6"/>
  <c r="H39" i="6"/>
  <c r="I39" i="6" s="1"/>
  <c r="H40" i="6"/>
  <c r="I40" i="6" s="1"/>
  <c r="H41" i="6"/>
  <c r="I41" i="6" s="1"/>
  <c r="H42" i="6"/>
  <c r="I42" i="6" s="1"/>
  <c r="H43" i="6"/>
  <c r="I43" i="6" s="1"/>
  <c r="H44" i="6"/>
  <c r="I44" i="6" s="1"/>
  <c r="H45" i="6"/>
  <c r="I45" i="6" s="1"/>
  <c r="H46" i="6"/>
  <c r="I46" i="6" s="1"/>
  <c r="H47" i="6"/>
  <c r="I47" i="6" s="1"/>
  <c r="H48" i="6"/>
  <c r="I48" i="6" s="1"/>
  <c r="H49" i="6"/>
  <c r="I49" i="6" s="1"/>
  <c r="H50" i="6"/>
  <c r="I50" i="6" s="1"/>
  <c r="H51" i="6"/>
  <c r="I51" i="6" s="1"/>
  <c r="H52" i="6"/>
  <c r="I52" i="6" s="1"/>
  <c r="H53" i="6"/>
  <c r="I53" i="6" s="1"/>
  <c r="H54" i="6"/>
  <c r="I54" i="6" s="1"/>
  <c r="H55" i="6"/>
  <c r="I55" i="6" s="1"/>
  <c r="H56" i="6"/>
  <c r="I56" i="6" s="1"/>
  <c r="H57" i="6"/>
  <c r="I57" i="6" s="1"/>
  <c r="H58" i="6"/>
  <c r="I58" i="6" s="1"/>
  <c r="H59" i="6"/>
  <c r="I59" i="6" s="1"/>
  <c r="H60" i="6"/>
  <c r="I60" i="6" s="1"/>
  <c r="H61" i="6"/>
  <c r="I61" i="6" s="1"/>
  <c r="H62" i="6"/>
  <c r="I62" i="6" s="1"/>
  <c r="H3" i="6"/>
  <c r="I3" i="6" l="1"/>
  <c r="I38" i="6"/>
  <c r="I6" i="6"/>
  <c r="I5" i="6"/>
  <c r="I37" i="6"/>
  <c r="I36" i="6"/>
  <c r="I4" i="6"/>
  <c r="I35" i="6"/>
  <c r="G1" i="6"/>
  <c r="U38" i="6" s="1"/>
  <c r="AM14" i="6"/>
  <c r="AM13" i="6"/>
  <c r="AM12" i="6"/>
  <c r="AM11" i="6"/>
  <c r="AM10" i="6"/>
  <c r="AM9" i="6"/>
  <c r="AM8" i="6"/>
  <c r="AM7" i="6"/>
  <c r="AM6" i="6"/>
  <c r="AM5" i="6"/>
  <c r="AM4" i="6"/>
  <c r="AM3" i="6"/>
  <c r="Y36" i="6" l="1"/>
  <c r="AC37" i="6"/>
  <c r="AG162" i="6"/>
  <c r="AA3" i="6"/>
  <c r="Q143" i="6"/>
  <c r="AG99" i="6"/>
  <c r="AG38" i="6"/>
  <c r="W41" i="6"/>
  <c r="AC40" i="6"/>
  <c r="AG140" i="6"/>
  <c r="W38" i="6"/>
  <c r="AG10" i="6"/>
  <c r="S8" i="6"/>
  <c r="Q69" i="6"/>
  <c r="Q145" i="6"/>
  <c r="AG137" i="6"/>
  <c r="AG102" i="6"/>
  <c r="Q166" i="6"/>
  <c r="S40" i="6"/>
  <c r="S4" i="6"/>
  <c r="AA4" i="6"/>
  <c r="AG155" i="6"/>
  <c r="AG148" i="6"/>
  <c r="AG143" i="6"/>
  <c r="AC8" i="6"/>
  <c r="Q149" i="6"/>
  <c r="Q169" i="6"/>
  <c r="S36" i="6"/>
  <c r="AG3" i="6"/>
  <c r="AG176" i="6"/>
  <c r="S10" i="6"/>
  <c r="AG5" i="6"/>
  <c r="Y41" i="6"/>
  <c r="AA7" i="6"/>
  <c r="AG138" i="6"/>
  <c r="AG172" i="6"/>
  <c r="Y10" i="6"/>
  <c r="AG159" i="6"/>
  <c r="Q106" i="6"/>
  <c r="Q157" i="6"/>
  <c r="Q147" i="6"/>
  <c r="AG150" i="6"/>
  <c r="Q132" i="6"/>
  <c r="Q42" i="6"/>
  <c r="AC38" i="6"/>
  <c r="Q10" i="6"/>
  <c r="AA35" i="6"/>
  <c r="AA36" i="6"/>
  <c r="AG154" i="6"/>
  <c r="S6" i="6"/>
  <c r="AC10" i="6"/>
  <c r="AA9" i="6"/>
  <c r="W42" i="6"/>
  <c r="Q181" i="6"/>
  <c r="S9" i="6"/>
  <c r="Q160" i="6"/>
  <c r="Q140" i="6"/>
  <c r="S5" i="6"/>
  <c r="Y6" i="6"/>
  <c r="Q40" i="6"/>
  <c r="Y9" i="6"/>
  <c r="AA42" i="6"/>
  <c r="Q134" i="6"/>
  <c r="AC7" i="6"/>
  <c r="Q168" i="6"/>
  <c r="U5" i="6"/>
  <c r="AG131" i="6"/>
  <c r="W37" i="6"/>
  <c r="Q137" i="6"/>
  <c r="AC36" i="6"/>
  <c r="AG146" i="6"/>
  <c r="AA39" i="6"/>
  <c r="AA5" i="6"/>
  <c r="AA6" i="6"/>
  <c r="AC3" i="6"/>
  <c r="AG144" i="6"/>
  <c r="S41" i="6"/>
  <c r="Q142" i="6"/>
  <c r="Q135" i="6"/>
  <c r="Q163" i="6"/>
  <c r="AC131" i="6"/>
  <c r="AC139" i="6"/>
  <c r="AC147" i="6"/>
  <c r="AC155" i="6"/>
  <c r="AC163" i="6"/>
  <c r="AC171" i="6"/>
  <c r="AC179" i="6"/>
  <c r="AA135" i="6"/>
  <c r="AA143" i="6"/>
  <c r="AA151" i="6"/>
  <c r="AA159" i="6"/>
  <c r="AA167" i="6"/>
  <c r="AA175" i="6"/>
  <c r="Y131" i="6"/>
  <c r="Y139" i="6"/>
  <c r="Y147" i="6"/>
  <c r="Y155" i="6"/>
  <c r="Y163" i="6"/>
  <c r="Y171" i="6"/>
  <c r="Y179" i="6"/>
  <c r="W135" i="6"/>
  <c r="W143" i="6"/>
  <c r="W151" i="6"/>
  <c r="W159" i="6"/>
  <c r="W167" i="6"/>
  <c r="W175" i="6"/>
  <c r="U131" i="6"/>
  <c r="U139" i="6"/>
  <c r="U147" i="6"/>
  <c r="U155" i="6"/>
  <c r="U163" i="6"/>
  <c r="U171" i="6"/>
  <c r="U179" i="6"/>
  <c r="S135" i="6"/>
  <c r="S143" i="6"/>
  <c r="S151" i="6"/>
  <c r="S159" i="6"/>
  <c r="S167" i="6"/>
  <c r="S175" i="6"/>
  <c r="AA155" i="6"/>
  <c r="Y135" i="6"/>
  <c r="Y167" i="6"/>
  <c r="W147" i="6"/>
  <c r="W179" i="6"/>
  <c r="U159" i="6"/>
  <c r="S139" i="6"/>
  <c r="S179" i="6"/>
  <c r="Y178" i="6"/>
  <c r="W158" i="6"/>
  <c r="U146" i="6"/>
  <c r="S142" i="6"/>
  <c r="S182" i="6"/>
  <c r="AC132" i="6"/>
  <c r="AC140" i="6"/>
  <c r="AC148" i="6"/>
  <c r="AC156" i="6"/>
  <c r="AC164" i="6"/>
  <c r="AC172" i="6"/>
  <c r="AC180" i="6"/>
  <c r="AA136" i="6"/>
  <c r="AA144" i="6"/>
  <c r="AA152" i="6"/>
  <c r="AA160" i="6"/>
  <c r="AA168" i="6"/>
  <c r="AA176" i="6"/>
  <c r="Y132" i="6"/>
  <c r="Y140" i="6"/>
  <c r="Y148" i="6"/>
  <c r="Y156" i="6"/>
  <c r="Y164" i="6"/>
  <c r="Y172" i="6"/>
  <c r="Y180" i="6"/>
  <c r="W136" i="6"/>
  <c r="W144" i="6"/>
  <c r="W152" i="6"/>
  <c r="W160" i="6"/>
  <c r="W168" i="6"/>
  <c r="W176" i="6"/>
  <c r="U132" i="6"/>
  <c r="U140" i="6"/>
  <c r="U148" i="6"/>
  <c r="U156" i="6"/>
  <c r="U164" i="6"/>
  <c r="U172" i="6"/>
  <c r="U180" i="6"/>
  <c r="S136" i="6"/>
  <c r="S144" i="6"/>
  <c r="S152" i="6"/>
  <c r="S160" i="6"/>
  <c r="S168" i="6"/>
  <c r="S176" i="6"/>
  <c r="AA147" i="6"/>
  <c r="Y151" i="6"/>
  <c r="W131" i="6"/>
  <c r="W155" i="6"/>
  <c r="U135" i="6"/>
  <c r="U167" i="6"/>
  <c r="S147" i="6"/>
  <c r="S171" i="6"/>
  <c r="Y154" i="6"/>
  <c r="W166" i="6"/>
  <c r="U154" i="6"/>
  <c r="S150" i="6"/>
  <c r="S174" i="6"/>
  <c r="AC133" i="6"/>
  <c r="AC141" i="6"/>
  <c r="AC149" i="6"/>
  <c r="AC157" i="6"/>
  <c r="AC165" i="6"/>
  <c r="AC173" i="6"/>
  <c r="AC181" i="6"/>
  <c r="AA137" i="6"/>
  <c r="AA145" i="6"/>
  <c r="AA153" i="6"/>
  <c r="AA161" i="6"/>
  <c r="AA169" i="6"/>
  <c r="AA177" i="6"/>
  <c r="Y133" i="6"/>
  <c r="Y141" i="6"/>
  <c r="Y149" i="6"/>
  <c r="Y157" i="6"/>
  <c r="Y165" i="6"/>
  <c r="Y173" i="6"/>
  <c r="Y181" i="6"/>
  <c r="W137" i="6"/>
  <c r="W145" i="6"/>
  <c r="W153" i="6"/>
  <c r="W161" i="6"/>
  <c r="W169" i="6"/>
  <c r="W177" i="6"/>
  <c r="U133" i="6"/>
  <c r="U141" i="6"/>
  <c r="U149" i="6"/>
  <c r="U157" i="6"/>
  <c r="U165" i="6"/>
  <c r="U173" i="6"/>
  <c r="U181" i="6"/>
  <c r="S137" i="6"/>
  <c r="S145" i="6"/>
  <c r="S153" i="6"/>
  <c r="S161" i="6"/>
  <c r="S169" i="6"/>
  <c r="S177" i="6"/>
  <c r="AA171" i="6"/>
  <c r="Y175" i="6"/>
  <c r="W163" i="6"/>
  <c r="U143" i="6"/>
  <c r="U175" i="6"/>
  <c r="S155" i="6"/>
  <c r="AC134" i="6"/>
  <c r="AC142" i="6"/>
  <c r="AC150" i="6"/>
  <c r="AC158" i="6"/>
  <c r="AC166" i="6"/>
  <c r="AC174" i="6"/>
  <c r="AC182" i="6"/>
  <c r="AA138" i="6"/>
  <c r="AA146" i="6"/>
  <c r="AA154" i="6"/>
  <c r="AA162" i="6"/>
  <c r="AA170" i="6"/>
  <c r="AA178" i="6"/>
  <c r="Y134" i="6"/>
  <c r="Y142" i="6"/>
  <c r="Y150" i="6"/>
  <c r="Y158" i="6"/>
  <c r="Y166" i="6"/>
  <c r="Y174" i="6"/>
  <c r="Y182" i="6"/>
  <c r="W138" i="6"/>
  <c r="W146" i="6"/>
  <c r="W154" i="6"/>
  <c r="W162" i="6"/>
  <c r="W170" i="6"/>
  <c r="W178" i="6"/>
  <c r="U134" i="6"/>
  <c r="U142" i="6"/>
  <c r="U150" i="6"/>
  <c r="U158" i="6"/>
  <c r="U166" i="6"/>
  <c r="U174" i="6"/>
  <c r="U182" i="6"/>
  <c r="S138" i="6"/>
  <c r="S146" i="6"/>
  <c r="S154" i="6"/>
  <c r="S162" i="6"/>
  <c r="S170" i="6"/>
  <c r="S178" i="6"/>
  <c r="AC135" i="6"/>
  <c r="AC143" i="6"/>
  <c r="AC151" i="6"/>
  <c r="AC159" i="6"/>
  <c r="AC167" i="6"/>
  <c r="AC175" i="6"/>
  <c r="AA131" i="6"/>
  <c r="AA139" i="6"/>
  <c r="AA163" i="6"/>
  <c r="AA179" i="6"/>
  <c r="Y143" i="6"/>
  <c r="Y159" i="6"/>
  <c r="W139" i="6"/>
  <c r="W171" i="6"/>
  <c r="U151" i="6"/>
  <c r="S131" i="6"/>
  <c r="S163" i="6"/>
  <c r="Y162" i="6"/>
  <c r="W174" i="6"/>
  <c r="U170" i="6"/>
  <c r="S158" i="6"/>
  <c r="AC136" i="6"/>
  <c r="AC144" i="6"/>
  <c r="AC152" i="6"/>
  <c r="AC160" i="6"/>
  <c r="AC168" i="6"/>
  <c r="AC176" i="6"/>
  <c r="AA132" i="6"/>
  <c r="AA140" i="6"/>
  <c r="AA148" i="6"/>
  <c r="AA156" i="6"/>
  <c r="AA164" i="6"/>
  <c r="AA172" i="6"/>
  <c r="AA180" i="6"/>
  <c r="Y136" i="6"/>
  <c r="Y144" i="6"/>
  <c r="Y152" i="6"/>
  <c r="Y160" i="6"/>
  <c r="Y168" i="6"/>
  <c r="Y176" i="6"/>
  <c r="W132" i="6"/>
  <c r="W140" i="6"/>
  <c r="W148" i="6"/>
  <c r="W156" i="6"/>
  <c r="W164" i="6"/>
  <c r="W172" i="6"/>
  <c r="W180" i="6"/>
  <c r="U136" i="6"/>
  <c r="U144" i="6"/>
  <c r="U152" i="6"/>
  <c r="U160" i="6"/>
  <c r="U168" i="6"/>
  <c r="U176" i="6"/>
  <c r="S132" i="6"/>
  <c r="S140" i="6"/>
  <c r="S148" i="6"/>
  <c r="S156" i="6"/>
  <c r="S164" i="6"/>
  <c r="S172" i="6"/>
  <c r="S180" i="6"/>
  <c r="AC138" i="6"/>
  <c r="AC146" i="6"/>
  <c r="AC162" i="6"/>
  <c r="AC170" i="6"/>
  <c r="AA134" i="6"/>
  <c r="AA142" i="6"/>
  <c r="AA158" i="6"/>
  <c r="AA166" i="6"/>
  <c r="AA182" i="6"/>
  <c r="Y146" i="6"/>
  <c r="W134" i="6"/>
  <c r="W150" i="6"/>
  <c r="W182" i="6"/>
  <c r="U162" i="6"/>
  <c r="S134" i="6"/>
  <c r="S166" i="6"/>
  <c r="AC137" i="6"/>
  <c r="AC145" i="6"/>
  <c r="AC153" i="6"/>
  <c r="AC161" i="6"/>
  <c r="AC169" i="6"/>
  <c r="AC177" i="6"/>
  <c r="AA133" i="6"/>
  <c r="AA141" i="6"/>
  <c r="AA149" i="6"/>
  <c r="AA157" i="6"/>
  <c r="AA165" i="6"/>
  <c r="AA173" i="6"/>
  <c r="AA181" i="6"/>
  <c r="Y137" i="6"/>
  <c r="Y145" i="6"/>
  <c r="Y153" i="6"/>
  <c r="Y161" i="6"/>
  <c r="Y169" i="6"/>
  <c r="Y177" i="6"/>
  <c r="W133" i="6"/>
  <c r="W141" i="6"/>
  <c r="W149" i="6"/>
  <c r="W157" i="6"/>
  <c r="W165" i="6"/>
  <c r="W173" i="6"/>
  <c r="W181" i="6"/>
  <c r="U137" i="6"/>
  <c r="U145" i="6"/>
  <c r="U153" i="6"/>
  <c r="U161" i="6"/>
  <c r="U169" i="6"/>
  <c r="U177" i="6"/>
  <c r="S133" i="6"/>
  <c r="S141" i="6"/>
  <c r="S149" i="6"/>
  <c r="S157" i="6"/>
  <c r="S165" i="6"/>
  <c r="S173" i="6"/>
  <c r="S181" i="6"/>
  <c r="AC154" i="6"/>
  <c r="AC178" i="6"/>
  <c r="AA150" i="6"/>
  <c r="AA174" i="6"/>
  <c r="Y138" i="6"/>
  <c r="Y170" i="6"/>
  <c r="W142" i="6"/>
  <c r="U138" i="6"/>
  <c r="U178" i="6"/>
  <c r="Q73" i="6"/>
  <c r="W7" i="6"/>
  <c r="Y40" i="6"/>
  <c r="W36" i="6"/>
  <c r="Y37" i="6"/>
  <c r="AG74" i="6"/>
  <c r="W5" i="6"/>
  <c r="AG132" i="6"/>
  <c r="Y38" i="6"/>
  <c r="AA10" i="6"/>
  <c r="Y3" i="6"/>
  <c r="AG72" i="6"/>
  <c r="W9" i="6"/>
  <c r="AG168" i="6"/>
  <c r="Y8" i="6"/>
  <c r="U42" i="6"/>
  <c r="Q105" i="6"/>
  <c r="S7" i="6"/>
  <c r="Q141" i="6"/>
  <c r="Q102" i="6"/>
  <c r="Q41" i="6"/>
  <c r="U40" i="6"/>
  <c r="Q99" i="6"/>
  <c r="Q74" i="6"/>
  <c r="AG179" i="6"/>
  <c r="Q152" i="6"/>
  <c r="Q67" i="6"/>
  <c r="AG174" i="6"/>
  <c r="Q178" i="6"/>
  <c r="Q68" i="6"/>
  <c r="AG41" i="6"/>
  <c r="U6" i="6"/>
  <c r="AG134" i="6"/>
  <c r="U7" i="6"/>
  <c r="U41" i="6"/>
  <c r="U35" i="6"/>
  <c r="AG178" i="6"/>
  <c r="U4" i="6"/>
  <c r="Q39" i="6"/>
  <c r="AA37" i="6"/>
  <c r="AG170" i="6"/>
  <c r="AG156" i="6"/>
  <c r="AC6" i="6"/>
  <c r="AA38" i="6"/>
  <c r="Y4" i="6"/>
  <c r="AG167" i="6"/>
  <c r="AC9" i="6"/>
  <c r="Q8" i="6"/>
  <c r="Y42" i="6"/>
  <c r="AG104" i="6"/>
  <c r="Q3" i="6"/>
  <c r="Q165" i="6"/>
  <c r="Q150" i="6"/>
  <c r="Q153" i="6"/>
  <c r="Q151" i="6"/>
  <c r="AG151" i="6"/>
  <c r="AG145" i="6"/>
  <c r="AG182" i="6"/>
  <c r="Q176" i="6"/>
  <c r="AG142" i="6"/>
  <c r="Q138" i="6"/>
  <c r="AG147" i="6"/>
  <c r="Q148" i="6"/>
  <c r="AG141" i="6"/>
  <c r="AG166" i="6"/>
  <c r="Q131" i="6"/>
  <c r="U37" i="6"/>
  <c r="U39" i="6"/>
  <c r="AA41" i="6"/>
  <c r="W35" i="6"/>
  <c r="W4" i="6"/>
  <c r="W39" i="6"/>
  <c r="S39" i="6"/>
  <c r="AG35" i="6"/>
  <c r="AG164" i="6"/>
  <c r="W6" i="6"/>
  <c r="U3" i="6"/>
  <c r="AG70" i="6"/>
  <c r="AG4" i="6"/>
  <c r="AG136" i="6"/>
  <c r="U8" i="6"/>
  <c r="Q71" i="6"/>
  <c r="AC42" i="6"/>
  <c r="AG67" i="6"/>
  <c r="Q37" i="6"/>
  <c r="Q173" i="6"/>
  <c r="Q158" i="6"/>
  <c r="Q161" i="6"/>
  <c r="Q171" i="6"/>
  <c r="Q159" i="6"/>
  <c r="AG169" i="6"/>
  <c r="Q36" i="6"/>
  <c r="Q5" i="6"/>
  <c r="Q103" i="6"/>
  <c r="Q146" i="6"/>
  <c r="AG171" i="6"/>
  <c r="Q156" i="6"/>
  <c r="AG149" i="6"/>
  <c r="AG69" i="6"/>
  <c r="Q167" i="6"/>
  <c r="Q72" i="6"/>
  <c r="Q100" i="6"/>
  <c r="AG101" i="6"/>
  <c r="AG37" i="6"/>
  <c r="Q154" i="6"/>
  <c r="AC4" i="6"/>
  <c r="Q164" i="6"/>
  <c r="AG157" i="6"/>
  <c r="AG133" i="6"/>
  <c r="S35" i="6"/>
  <c r="AC41" i="6"/>
  <c r="Y35" i="6"/>
  <c r="W40" i="6"/>
  <c r="Y39" i="6"/>
  <c r="Y5" i="6"/>
  <c r="AG163" i="6"/>
  <c r="AG180" i="6"/>
  <c r="U10" i="6"/>
  <c r="AG68" i="6"/>
  <c r="AG135" i="6"/>
  <c r="Q9" i="6"/>
  <c r="AG152" i="6"/>
  <c r="W8" i="6"/>
  <c r="AG42" i="6"/>
  <c r="AC39" i="6"/>
  <c r="Q101" i="6"/>
  <c r="Q6" i="6"/>
  <c r="Q174" i="6"/>
  <c r="Q177" i="6"/>
  <c r="Q179" i="6"/>
  <c r="Q175" i="6"/>
  <c r="AG139" i="6"/>
  <c r="Q136" i="6"/>
  <c r="AG161" i="6"/>
  <c r="AG153" i="6"/>
  <c r="Q162" i="6"/>
  <c r="Q70" i="6"/>
  <c r="Q172" i="6"/>
  <c r="AG165" i="6"/>
  <c r="AG173" i="6"/>
  <c r="S3" i="6"/>
  <c r="AC35" i="6"/>
  <c r="AA40" i="6"/>
  <c r="U36" i="6"/>
  <c r="S37" i="6"/>
  <c r="AG36" i="6"/>
  <c r="AC5" i="6"/>
  <c r="AG100" i="6"/>
  <c r="S38" i="6"/>
  <c r="W10" i="6"/>
  <c r="W3" i="6"/>
  <c r="AG175" i="6"/>
  <c r="U9" i="6"/>
  <c r="AG160" i="6"/>
  <c r="AA8" i="6"/>
  <c r="S42" i="6"/>
  <c r="AG103" i="6"/>
  <c r="Y7" i="6"/>
  <c r="Q133" i="6"/>
  <c r="Q38" i="6"/>
  <c r="Q182" i="6"/>
  <c r="Q139" i="6"/>
  <c r="Q35" i="6"/>
  <c r="Q4" i="6"/>
  <c r="Q155" i="6"/>
  <c r="Q144" i="6"/>
  <c r="AG6" i="6"/>
  <c r="AG177" i="6"/>
  <c r="Q170" i="6"/>
  <c r="AG158" i="6"/>
  <c r="Q180" i="6"/>
  <c r="AG181" i="6"/>
  <c r="Q104" i="6"/>
  <c r="AG7" i="6"/>
  <c r="Q7" i="6"/>
  <c r="Q78" i="6"/>
  <c r="AA14" i="6"/>
  <c r="W14" i="6"/>
  <c r="AC14" i="6"/>
  <c r="Y14" i="6"/>
  <c r="S14" i="6"/>
  <c r="Q14" i="6"/>
  <c r="U14" i="6"/>
  <c r="AG8" i="6"/>
  <c r="AA44" i="6"/>
  <c r="W44" i="6"/>
  <c r="U44" i="6"/>
  <c r="Q44" i="6"/>
  <c r="S44" i="6"/>
  <c r="AC44" i="6"/>
  <c r="Y44" i="6"/>
  <c r="Q110" i="6"/>
  <c r="Q108" i="6"/>
  <c r="Q107" i="6"/>
  <c r="AG39" i="6"/>
  <c r="Q77" i="6"/>
  <c r="AG106" i="6"/>
  <c r="AA46" i="6"/>
  <c r="W46" i="6"/>
  <c r="AC46" i="6"/>
  <c r="Y46" i="6"/>
  <c r="S46" i="6"/>
  <c r="Q46" i="6"/>
  <c r="U46" i="6"/>
  <c r="AA45" i="6"/>
  <c r="W45" i="6"/>
  <c r="AC45" i="6"/>
  <c r="Y45" i="6"/>
  <c r="S45" i="6"/>
  <c r="Q45" i="6"/>
  <c r="U45" i="6"/>
  <c r="AA12" i="6"/>
  <c r="W12" i="6"/>
  <c r="U12" i="6"/>
  <c r="Y12" i="6"/>
  <c r="S12" i="6"/>
  <c r="AC12" i="6"/>
  <c r="Q12" i="6"/>
  <c r="AC11" i="6"/>
  <c r="Y11" i="6"/>
  <c r="AA11" i="6"/>
  <c r="W11" i="6"/>
  <c r="U11" i="6"/>
  <c r="S11" i="6"/>
  <c r="Q11" i="6"/>
  <c r="R11" i="6" s="1"/>
  <c r="AA13" i="6"/>
  <c r="W13" i="6"/>
  <c r="AC13" i="6"/>
  <c r="Y13" i="6"/>
  <c r="S13" i="6"/>
  <c r="U13" i="6"/>
  <c r="Q13" i="6"/>
  <c r="Q109" i="6"/>
  <c r="AG73" i="6"/>
  <c r="AG9" i="6"/>
  <c r="Q76" i="6"/>
  <c r="AC43" i="6"/>
  <c r="Y43" i="6"/>
  <c r="AA43" i="6"/>
  <c r="U43" i="6"/>
  <c r="S43" i="6"/>
  <c r="W43" i="6"/>
  <c r="Q43" i="6"/>
  <c r="Q75" i="6"/>
  <c r="AG105" i="6"/>
  <c r="AG40" i="6"/>
  <c r="AG71" i="6"/>
  <c r="AU4" i="6"/>
  <c r="AU6" i="6"/>
  <c r="AO3" i="6"/>
  <c r="AU7" i="6"/>
  <c r="AO10" i="6"/>
  <c r="AY7" i="6"/>
  <c r="AO14" i="6"/>
  <c r="AY3" i="6"/>
  <c r="AO8" i="6"/>
  <c r="AU5" i="6"/>
  <c r="AO9" i="6"/>
  <c r="AY6" i="6"/>
  <c r="AU3" i="6"/>
  <c r="AO11" i="6"/>
  <c r="AY5" i="6"/>
  <c r="AO4" i="6"/>
  <c r="AO12" i="6"/>
  <c r="AY4" i="6"/>
  <c r="AO5" i="6"/>
  <c r="AO13" i="6"/>
  <c r="AO7" i="6"/>
  <c r="AO6" i="6"/>
  <c r="B3" i="2" a="1"/>
  <c r="H63" i="6"/>
  <c r="B3" i="2" l="1"/>
  <c r="C23" i="2"/>
  <c r="C37" i="2"/>
  <c r="C24" i="2"/>
  <c r="C29" i="2"/>
  <c r="C25" i="2"/>
  <c r="C26" i="2"/>
  <c r="C21" i="2"/>
  <c r="C36" i="2"/>
  <c r="C35" i="2"/>
  <c r="C27" i="2"/>
  <c r="C34" i="2"/>
  <c r="C33" i="2"/>
  <c r="C32" i="2"/>
  <c r="C31" i="2"/>
  <c r="C10" i="2"/>
  <c r="C30" i="2"/>
  <c r="C22" i="2"/>
  <c r="C28" i="2"/>
  <c r="AG14" i="6"/>
  <c r="AG109" i="6"/>
  <c r="AG45" i="6"/>
  <c r="AG46" i="6"/>
  <c r="Q81" i="6"/>
  <c r="Q113" i="6"/>
  <c r="AC17" i="6"/>
  <c r="Y17" i="6"/>
  <c r="AA17" i="6"/>
  <c r="W17" i="6"/>
  <c r="U17" i="6"/>
  <c r="Q17" i="6"/>
  <c r="S17" i="6"/>
  <c r="AC16" i="6"/>
  <c r="Y16" i="6"/>
  <c r="AA16" i="6"/>
  <c r="W16" i="6"/>
  <c r="S16" i="6"/>
  <c r="Q16" i="6"/>
  <c r="U16" i="6"/>
  <c r="AC50" i="6"/>
  <c r="Y50" i="6"/>
  <c r="AA50" i="6"/>
  <c r="W50" i="6"/>
  <c r="U50" i="6"/>
  <c r="S50" i="6"/>
  <c r="Q50" i="6"/>
  <c r="AG44" i="6"/>
  <c r="AG13" i="6"/>
  <c r="AG77" i="6"/>
  <c r="AA15" i="6"/>
  <c r="W15" i="6"/>
  <c r="Q15" i="6"/>
  <c r="S15" i="6"/>
  <c r="U15" i="6"/>
  <c r="Y15" i="6"/>
  <c r="AC15" i="6"/>
  <c r="AC49" i="6"/>
  <c r="Y49" i="6"/>
  <c r="AA49" i="6"/>
  <c r="U49" i="6"/>
  <c r="S49" i="6"/>
  <c r="W49" i="6"/>
  <c r="Q49" i="6"/>
  <c r="AG12" i="6"/>
  <c r="Q79" i="6"/>
  <c r="AA47" i="6"/>
  <c r="W47" i="6"/>
  <c r="Q47" i="6"/>
  <c r="AC47" i="6"/>
  <c r="Y47" i="6"/>
  <c r="U47" i="6"/>
  <c r="S47" i="6"/>
  <c r="Q80" i="6"/>
  <c r="Q111" i="6"/>
  <c r="Q112" i="6"/>
  <c r="Q114" i="6"/>
  <c r="AC48" i="6"/>
  <c r="Y48" i="6"/>
  <c r="AA48" i="6"/>
  <c r="S48" i="6"/>
  <c r="Q48" i="6"/>
  <c r="U48" i="6"/>
  <c r="W48" i="6"/>
  <c r="AG43" i="6"/>
  <c r="AG75" i="6"/>
  <c r="AG78" i="6"/>
  <c r="AG11" i="6"/>
  <c r="AG76" i="6"/>
  <c r="AG107" i="6"/>
  <c r="AG108" i="6"/>
  <c r="AG110" i="6"/>
  <c r="AC18" i="6"/>
  <c r="Y18" i="6"/>
  <c r="AA18" i="6"/>
  <c r="W18" i="6"/>
  <c r="U18" i="6"/>
  <c r="S18" i="6"/>
  <c r="Q18" i="6"/>
  <c r="Q82" i="6"/>
  <c r="I63" i="6"/>
  <c r="H64" i="6"/>
  <c r="I64" i="6" s="1"/>
  <c r="C17" i="2"/>
  <c r="C16" i="2"/>
  <c r="C8" i="2"/>
  <c r="C15" i="2"/>
  <c r="C7" i="2"/>
  <c r="C14" i="2"/>
  <c r="C6" i="2"/>
  <c r="C13" i="2"/>
  <c r="C5" i="2"/>
  <c r="C20" i="2"/>
  <c r="C12" i="2"/>
  <c r="C4" i="2"/>
  <c r="C9" i="2"/>
  <c r="C19" i="2"/>
  <c r="C11" i="2"/>
  <c r="C18" i="2"/>
  <c r="R3" i="6"/>
  <c r="AG112" i="6" l="1"/>
  <c r="AG79" i="6"/>
  <c r="AA53" i="6"/>
  <c r="W53" i="6"/>
  <c r="AC53" i="6"/>
  <c r="AD53" i="6" s="1"/>
  <c r="Y53" i="6"/>
  <c r="S53" i="6"/>
  <c r="T53" i="6" s="1"/>
  <c r="U53" i="6"/>
  <c r="V53" i="6" s="1"/>
  <c r="Q53" i="6"/>
  <c r="AC19" i="6"/>
  <c r="Y19" i="6"/>
  <c r="U19" i="6"/>
  <c r="AA19" i="6"/>
  <c r="AB19" i="6" s="1"/>
  <c r="W19" i="6"/>
  <c r="X19" i="6" s="1"/>
  <c r="Q19" i="6"/>
  <c r="S19" i="6"/>
  <c r="T19" i="6" s="1"/>
  <c r="AG16" i="6"/>
  <c r="AH16" i="6" s="1"/>
  <c r="O16" i="6" s="1"/>
  <c r="AG17" i="6"/>
  <c r="AH17" i="6" s="1"/>
  <c r="O17" i="6" s="1"/>
  <c r="AG113" i="6"/>
  <c r="AG81" i="6"/>
  <c r="AG48" i="6"/>
  <c r="AG49" i="6"/>
  <c r="AG82" i="6"/>
  <c r="AG47" i="6"/>
  <c r="AG18" i="6"/>
  <c r="AH18" i="6" s="1"/>
  <c r="O18" i="6" s="1"/>
  <c r="AG114" i="6"/>
  <c r="AG111" i="6"/>
  <c r="AG80" i="6"/>
  <c r="AG50" i="6"/>
  <c r="AH50" i="6" s="1"/>
  <c r="O50" i="6" s="1"/>
  <c r="AG15" i="6"/>
  <c r="Q86" i="6"/>
  <c r="AA22" i="6"/>
  <c r="AB22" i="6" s="1"/>
  <c r="W22" i="6"/>
  <c r="AC22" i="6"/>
  <c r="Y22" i="6"/>
  <c r="S22" i="6"/>
  <c r="Q22" i="6"/>
  <c r="U22" i="6"/>
  <c r="AA52" i="6"/>
  <c r="AB52" i="6" s="1"/>
  <c r="W52" i="6"/>
  <c r="X52" i="6" s="1"/>
  <c r="AC52" i="6"/>
  <c r="Y52" i="6"/>
  <c r="U52" i="6"/>
  <c r="S52" i="6"/>
  <c r="Q52" i="6"/>
  <c r="Q118" i="6"/>
  <c r="Q116" i="6"/>
  <c r="Q115" i="6"/>
  <c r="Q84" i="6"/>
  <c r="AC51" i="6"/>
  <c r="Y51" i="6"/>
  <c r="Q51" i="6"/>
  <c r="S51" i="6"/>
  <c r="U51" i="6"/>
  <c r="AA51" i="6"/>
  <c r="W51" i="6"/>
  <c r="X51" i="6" s="1"/>
  <c r="Q83" i="6"/>
  <c r="AA54" i="6"/>
  <c r="W54" i="6"/>
  <c r="AC54" i="6"/>
  <c r="Y54" i="6"/>
  <c r="Z54" i="6" s="1"/>
  <c r="S54" i="6"/>
  <c r="U54" i="6"/>
  <c r="V54" i="6" s="1"/>
  <c r="Q54" i="6"/>
  <c r="AA20" i="6"/>
  <c r="AB20" i="6" s="1"/>
  <c r="W20" i="6"/>
  <c r="AC20" i="6"/>
  <c r="AD20" i="6" s="1"/>
  <c r="Y20" i="6"/>
  <c r="U20" i="6"/>
  <c r="V20" i="6" s="1"/>
  <c r="S20" i="6"/>
  <c r="Q20" i="6"/>
  <c r="AA21" i="6"/>
  <c r="W21" i="6"/>
  <c r="AC21" i="6"/>
  <c r="AD21" i="6" s="1"/>
  <c r="Y21" i="6"/>
  <c r="S21" i="6"/>
  <c r="U21" i="6"/>
  <c r="V21" i="6" s="1"/>
  <c r="Q21" i="6"/>
  <c r="Q117" i="6"/>
  <c r="Q85" i="6"/>
  <c r="AB46" i="6"/>
  <c r="AD44" i="6"/>
  <c r="AB16" i="6"/>
  <c r="AB10" i="6"/>
  <c r="AB18" i="6"/>
  <c r="AV7" i="6"/>
  <c r="AB8" i="6"/>
  <c r="AD41" i="6"/>
  <c r="AD17" i="6"/>
  <c r="AD46" i="6"/>
  <c r="AB44" i="6"/>
  <c r="AD40" i="6"/>
  <c r="AD12" i="6"/>
  <c r="AB5" i="6"/>
  <c r="AD10" i="6"/>
  <c r="AD48" i="6"/>
  <c r="AD36" i="6"/>
  <c r="AD43" i="6"/>
  <c r="AD5" i="6"/>
  <c r="AV5" i="6"/>
  <c r="AV4" i="6"/>
  <c r="AB17" i="6"/>
  <c r="AB45" i="6"/>
  <c r="AD47" i="6"/>
  <c r="AB49" i="6"/>
  <c r="AV3" i="6"/>
  <c r="AB50" i="6"/>
  <c r="AZ6" i="6"/>
  <c r="AB48" i="6"/>
  <c r="AD39" i="6"/>
  <c r="AB15" i="6"/>
  <c r="AB21" i="6"/>
  <c r="AB11" i="6"/>
  <c r="AD19" i="6"/>
  <c r="AZ5" i="6"/>
  <c r="AD45" i="6"/>
  <c r="AB3" i="6"/>
  <c r="AB35" i="6"/>
  <c r="AB37" i="6"/>
  <c r="AD54" i="6"/>
  <c r="AZ3" i="6"/>
  <c r="AB6" i="6"/>
  <c r="AB12" i="6"/>
  <c r="AB54" i="6"/>
  <c r="AZ4" i="6"/>
  <c r="AD35" i="6"/>
  <c r="AB13" i="6"/>
  <c r="AB14" i="6"/>
  <c r="AD13" i="6"/>
  <c r="H8" i="2" a="1"/>
  <c r="H8" i="2" s="1"/>
  <c r="G8" i="2" a="1"/>
  <c r="G8" i="2" s="1"/>
  <c r="AD49" i="6"/>
  <c r="AD8" i="6"/>
  <c r="AD6" i="6"/>
  <c r="AD11" i="6"/>
  <c r="AD42" i="6"/>
  <c r="AD14" i="6"/>
  <c r="AD9" i="6"/>
  <c r="AD22" i="6"/>
  <c r="AD4" i="6"/>
  <c r="AD7" i="6"/>
  <c r="AD37" i="6"/>
  <c r="AD50" i="6"/>
  <c r="AD18" i="6"/>
  <c r="AD16" i="6"/>
  <c r="AV6" i="6"/>
  <c r="AB9" i="6"/>
  <c r="AB40" i="6"/>
  <c r="AD15" i="6"/>
  <c r="AB4" i="6"/>
  <c r="AB42" i="6"/>
  <c r="AB47" i="6"/>
  <c r="AB38" i="6"/>
  <c r="AB39" i="6"/>
  <c r="AB43" i="6"/>
  <c r="AB36" i="6"/>
  <c r="AZ7" i="6"/>
  <c r="AB41" i="6"/>
  <c r="AD3" i="6"/>
  <c r="AB7" i="6"/>
  <c r="AD38" i="6"/>
  <c r="Z53" i="6"/>
  <c r="AB53" i="6"/>
  <c r="X53" i="6"/>
  <c r="AB51" i="6"/>
  <c r="AD51" i="6"/>
  <c r="T51" i="6"/>
  <c r="V51" i="6"/>
  <c r="Z51" i="6"/>
  <c r="Z52" i="6"/>
  <c r="AD52" i="6"/>
  <c r="T52" i="6"/>
  <c r="V52" i="6"/>
  <c r="Z36" i="6"/>
  <c r="T22" i="6"/>
  <c r="V7" i="6"/>
  <c r="X41" i="6"/>
  <c r="V9" i="6"/>
  <c r="V10" i="6"/>
  <c r="V36" i="6"/>
  <c r="V49" i="6"/>
  <c r="X50" i="6"/>
  <c r="T16" i="6"/>
  <c r="X9" i="6"/>
  <c r="V12" i="6"/>
  <c r="V50" i="6"/>
  <c r="V41" i="6"/>
  <c r="V6" i="6"/>
  <c r="V3" i="6"/>
  <c r="V44" i="6"/>
  <c r="V4" i="6"/>
  <c r="V14" i="6"/>
  <c r="V18" i="6"/>
  <c r="V17" i="6"/>
  <c r="V42" i="6"/>
  <c r="X39" i="6"/>
  <c r="X7" i="6"/>
  <c r="X15" i="6"/>
  <c r="X18" i="6"/>
  <c r="T54" i="6"/>
  <c r="X45" i="6"/>
  <c r="T20" i="6"/>
  <c r="X40" i="6"/>
  <c r="T35" i="6"/>
  <c r="AP3" i="6"/>
  <c r="X46" i="6"/>
  <c r="AP11" i="6"/>
  <c r="AN11" i="6" s="1"/>
  <c r="T38" i="6"/>
  <c r="X44" i="6"/>
  <c r="X5" i="6"/>
  <c r="T41" i="6"/>
  <c r="AP5" i="6"/>
  <c r="AN5" i="6" s="1"/>
  <c r="T15" i="6"/>
  <c r="T10" i="6"/>
  <c r="T13" i="6"/>
  <c r="X20" i="6"/>
  <c r="X14" i="6"/>
  <c r="T14" i="6"/>
  <c r="T48" i="6"/>
  <c r="T12" i="6"/>
  <c r="V43" i="6"/>
  <c r="AP13" i="6"/>
  <c r="AN13" i="6" s="1"/>
  <c r="AP7" i="6"/>
  <c r="AN7" i="6" s="1"/>
  <c r="X42" i="6"/>
  <c r="V48" i="6"/>
  <c r="X8" i="6"/>
  <c r="AP12" i="6"/>
  <c r="AN12" i="6" s="1"/>
  <c r="AP9" i="6"/>
  <c r="AN9" i="6" s="1"/>
  <c r="T49" i="6"/>
  <c r="X21" i="6"/>
  <c r="V46" i="6"/>
  <c r="V22" i="6"/>
  <c r="V38" i="6"/>
  <c r="T44" i="6"/>
  <c r="T8" i="6"/>
  <c r="V35" i="6"/>
  <c r="X35" i="6"/>
  <c r="X38" i="6"/>
  <c r="V40" i="6"/>
  <c r="AP14" i="6"/>
  <c r="AN14" i="6" s="1"/>
  <c r="T3" i="6"/>
  <c r="X48" i="6"/>
  <c r="AP6" i="6"/>
  <c r="AN6" i="6" s="1"/>
  <c r="T18" i="6"/>
  <c r="V39" i="6"/>
  <c r="X47" i="6"/>
  <c r="V5" i="6"/>
  <c r="X12" i="6"/>
  <c r="T47" i="6"/>
  <c r="X22" i="6"/>
  <c r="T50" i="6"/>
  <c r="X36" i="6"/>
  <c r="X16" i="6"/>
  <c r="T45" i="6"/>
  <c r="T40" i="6"/>
  <c r="T4" i="6"/>
  <c r="X3" i="6"/>
  <c r="X37" i="6"/>
  <c r="V47" i="6"/>
  <c r="T21" i="6"/>
  <c r="AP8" i="6"/>
  <c r="V13" i="6"/>
  <c r="V45" i="6"/>
  <c r="X4" i="6"/>
  <c r="V37" i="6"/>
  <c r="T36" i="6"/>
  <c r="V19" i="6"/>
  <c r="T17" i="6"/>
  <c r="V11" i="6"/>
  <c r="AP10" i="6"/>
  <c r="AN10" i="6" s="1"/>
  <c r="V16" i="6"/>
  <c r="X43" i="6"/>
  <c r="T43" i="6"/>
  <c r="T11" i="6"/>
  <c r="X10" i="6"/>
  <c r="T46" i="6"/>
  <c r="T6" i="6"/>
  <c r="V8" i="6"/>
  <c r="X17" i="6"/>
  <c r="T9" i="6"/>
  <c r="X11" i="6"/>
  <c r="X49" i="6"/>
  <c r="T39" i="6"/>
  <c r="T7" i="6"/>
  <c r="X54" i="6"/>
  <c r="X6" i="6"/>
  <c r="T42" i="6"/>
  <c r="AP4" i="6"/>
  <c r="AN4" i="6" s="1"/>
  <c r="T37" i="6"/>
  <c r="X13" i="6"/>
  <c r="V15" i="6"/>
  <c r="T5" i="6"/>
  <c r="Z47" i="6"/>
  <c r="Z50" i="6"/>
  <c r="Z48" i="6"/>
  <c r="Z4" i="6"/>
  <c r="Z6" i="6"/>
  <c r="Z9" i="6"/>
  <c r="Z12" i="6"/>
  <c r="Z3" i="6"/>
  <c r="Z5" i="6"/>
  <c r="Z11" i="6"/>
  <c r="Z14" i="6"/>
  <c r="Z17" i="6"/>
  <c r="Z20" i="6"/>
  <c r="Z7" i="6"/>
  <c r="Z10" i="6"/>
  <c r="Z13" i="6"/>
  <c r="Z8" i="6"/>
  <c r="Z19" i="6"/>
  <c r="Z22" i="6"/>
  <c r="Z15" i="6"/>
  <c r="Z18" i="6"/>
  <c r="Z21" i="6"/>
  <c r="Z16" i="6"/>
  <c r="G6" i="2"/>
  <c r="Z35" i="6"/>
  <c r="Z38" i="6"/>
  <c r="Z41" i="6"/>
  <c r="Z44" i="6"/>
  <c r="Z37" i="6"/>
  <c r="Z43" i="6"/>
  <c r="Z46" i="6"/>
  <c r="Z49" i="6"/>
  <c r="Z39" i="6"/>
  <c r="Z42" i="6"/>
  <c r="Z45" i="6"/>
  <c r="Z40" i="6"/>
  <c r="R37" i="6"/>
  <c r="P37" i="6" s="1"/>
  <c r="R17" i="6"/>
  <c r="P17" i="6" s="1"/>
  <c r="AH46" i="6"/>
  <c r="O46" i="6" s="1"/>
  <c r="AH39" i="6"/>
  <c r="O39" i="6" s="1"/>
  <c r="L1" i="2"/>
  <c r="H3" i="2"/>
  <c r="R35" i="6"/>
  <c r="P35" i="6" s="1"/>
  <c r="AH13" i="6"/>
  <c r="O13" i="6" s="1"/>
  <c r="AH35" i="6"/>
  <c r="O35" i="6" s="1"/>
  <c r="AH45" i="6"/>
  <c r="O45" i="6" s="1"/>
  <c r="R13" i="6"/>
  <c r="P13" i="6" s="1"/>
  <c r="AH9" i="6"/>
  <c r="O9" i="6" s="1"/>
  <c r="R14" i="6"/>
  <c r="P14" i="6" s="1"/>
  <c r="R46" i="6"/>
  <c r="P46" i="6" s="1"/>
  <c r="R10" i="6"/>
  <c r="P10" i="6" s="1"/>
  <c r="H4" i="2"/>
  <c r="R38" i="6"/>
  <c r="P38" i="6" s="1"/>
  <c r="R50" i="6"/>
  <c r="P50" i="6" s="1"/>
  <c r="R6" i="6"/>
  <c r="P6" i="6" s="1"/>
  <c r="R18" i="6"/>
  <c r="P18" i="6" s="1"/>
  <c r="P11" i="6"/>
  <c r="R16" i="6"/>
  <c r="P16" i="6" s="1"/>
  <c r="AH8" i="6"/>
  <c r="O8" i="6" s="1"/>
  <c r="AH38" i="6"/>
  <c r="O38" i="6" s="1"/>
  <c r="R9" i="6"/>
  <c r="P9" i="6" s="1"/>
  <c r="AH12" i="6"/>
  <c r="O12" i="6" s="1"/>
  <c r="R12" i="6"/>
  <c r="P12" i="6" s="1"/>
  <c r="R36" i="6"/>
  <c r="P36" i="6" s="1"/>
  <c r="AH11" i="6"/>
  <c r="O11" i="6" s="1"/>
  <c r="AH14" i="6"/>
  <c r="O14" i="6" s="1"/>
  <c r="R8" i="6"/>
  <c r="P8" i="6" s="1"/>
  <c r="AH7" i="6"/>
  <c r="O7" i="6" s="1"/>
  <c r="R7" i="6"/>
  <c r="P7" i="6" s="1"/>
  <c r="AH10" i="6"/>
  <c r="O10" i="6" s="1"/>
  <c r="R49" i="6"/>
  <c r="P49" i="6" s="1"/>
  <c r="R4" i="6"/>
  <c r="AH5" i="6"/>
  <c r="O5" i="6" s="1"/>
  <c r="R41" i="6"/>
  <c r="P41" i="6" s="1"/>
  <c r="AH3" i="6"/>
  <c r="AH6" i="6"/>
  <c r="O6" i="6" s="1"/>
  <c r="R44" i="6"/>
  <c r="P44" i="6" s="1"/>
  <c r="R40" i="6"/>
  <c r="P40" i="6" s="1"/>
  <c r="AH37" i="6"/>
  <c r="O37" i="6" s="1"/>
  <c r="R48" i="6"/>
  <c r="P48" i="6" s="1"/>
  <c r="AH49" i="6"/>
  <c r="O49" i="6" s="1"/>
  <c r="R5" i="6"/>
  <c r="P5" i="6" s="1"/>
  <c r="AH47" i="6"/>
  <c r="O47" i="6" s="1"/>
  <c r="AH36" i="6"/>
  <c r="O36" i="6" s="1"/>
  <c r="R43" i="6"/>
  <c r="P43" i="6" s="1"/>
  <c r="AH44" i="6"/>
  <c r="O44" i="6" s="1"/>
  <c r="AH42" i="6"/>
  <c r="O42" i="6" s="1"/>
  <c r="R45" i="6"/>
  <c r="P45" i="6" s="1"/>
  <c r="R39" i="6"/>
  <c r="P39" i="6" s="1"/>
  <c r="AH48" i="6"/>
  <c r="O48" i="6" s="1"/>
  <c r="R42" i="6"/>
  <c r="P42" i="6" s="1"/>
  <c r="AH41" i="6"/>
  <c r="O41" i="6" s="1"/>
  <c r="AH40" i="6"/>
  <c r="O40" i="6" s="1"/>
  <c r="R15" i="6"/>
  <c r="P15" i="6" s="1"/>
  <c r="AH43" i="6"/>
  <c r="O43" i="6" s="1"/>
  <c r="AH4" i="6"/>
  <c r="O4" i="6" s="1"/>
  <c r="R47" i="6"/>
  <c r="P47" i="6" s="1"/>
  <c r="AH15" i="6"/>
  <c r="O15" i="6" s="1"/>
  <c r="C3" i="2"/>
  <c r="AF36" i="6" l="1"/>
  <c r="AF43" i="6"/>
  <c r="AF12" i="6"/>
  <c r="AF53" i="6"/>
  <c r="AF11" i="6"/>
  <c r="AF6" i="6"/>
  <c r="AF13" i="6"/>
  <c r="AF38" i="6"/>
  <c r="AF54" i="6"/>
  <c r="AF52" i="6"/>
  <c r="AF5" i="6"/>
  <c r="AF7" i="6"/>
  <c r="AF46" i="6"/>
  <c r="AF17" i="6"/>
  <c r="AF21" i="6"/>
  <c r="AF18" i="6"/>
  <c r="AF49" i="6"/>
  <c r="AF10" i="6"/>
  <c r="AF39" i="6"/>
  <c r="AF50" i="6"/>
  <c r="AF19" i="6"/>
  <c r="AF15" i="6"/>
  <c r="AF16" i="6"/>
  <c r="AF8" i="6"/>
  <c r="AF22" i="6"/>
  <c r="AF47" i="6"/>
  <c r="AF44" i="6"/>
  <c r="AF48" i="6"/>
  <c r="AF35" i="6"/>
  <c r="AF37" i="6"/>
  <c r="AF9" i="6"/>
  <c r="AF4" i="6"/>
  <c r="AF3" i="6"/>
  <c r="AF14" i="6"/>
  <c r="AF41" i="6"/>
  <c r="AF51" i="6"/>
  <c r="AF42" i="6"/>
  <c r="AF40" i="6"/>
  <c r="AF20" i="6"/>
  <c r="AF45" i="6"/>
  <c r="AG85" i="6"/>
  <c r="AG21" i="6"/>
  <c r="AH21" i="6" s="1"/>
  <c r="O21" i="6" s="1"/>
  <c r="R21" i="6"/>
  <c r="P21" i="6" s="1"/>
  <c r="AG20" i="6"/>
  <c r="AH20" i="6" s="1"/>
  <c r="O20" i="6" s="1"/>
  <c r="R20" i="6"/>
  <c r="P20" i="6" s="1"/>
  <c r="AG54" i="6"/>
  <c r="AH54" i="6" s="1"/>
  <c r="O54" i="6" s="1"/>
  <c r="R54" i="6"/>
  <c r="P54" i="6" s="1"/>
  <c r="AG116" i="6"/>
  <c r="AG118" i="6"/>
  <c r="AG52" i="6"/>
  <c r="AH52" i="6" s="1"/>
  <c r="O52" i="6" s="1"/>
  <c r="R52" i="6"/>
  <c r="P52" i="6" s="1"/>
  <c r="AG117" i="6"/>
  <c r="AG84" i="6"/>
  <c r="AG22" i="6"/>
  <c r="AH22" i="6" s="1"/>
  <c r="O22" i="6" s="1"/>
  <c r="R22" i="6"/>
  <c r="P22" i="6" s="1"/>
  <c r="AG86" i="6"/>
  <c r="AG83" i="6"/>
  <c r="AG115" i="6"/>
  <c r="AA23" i="6"/>
  <c r="AB23" i="6" s="1"/>
  <c r="W23" i="6"/>
  <c r="X23" i="6" s="1"/>
  <c r="AC23" i="6"/>
  <c r="AD23" i="6" s="1"/>
  <c r="Y23" i="6"/>
  <c r="Z23" i="6" s="1"/>
  <c r="U23" i="6"/>
  <c r="V23" i="6" s="1"/>
  <c r="S23" i="6"/>
  <c r="T23" i="6" s="1"/>
  <c r="Q23" i="6"/>
  <c r="AC57" i="6"/>
  <c r="AD57" i="6" s="1"/>
  <c r="Y57" i="6"/>
  <c r="Z57" i="6" s="1"/>
  <c r="AA57" i="6"/>
  <c r="AB57" i="6" s="1"/>
  <c r="U57" i="6"/>
  <c r="V57" i="6" s="1"/>
  <c r="W57" i="6"/>
  <c r="X57" i="6" s="1"/>
  <c r="S57" i="6"/>
  <c r="T57" i="6" s="1"/>
  <c r="Q57" i="6"/>
  <c r="AG51" i="6"/>
  <c r="AH51" i="6" s="1"/>
  <c r="O51" i="6" s="1"/>
  <c r="R51" i="6"/>
  <c r="P51" i="6" s="1"/>
  <c r="AG53" i="6"/>
  <c r="AH53" i="6" s="1"/>
  <c r="O53" i="6" s="1"/>
  <c r="R53" i="6"/>
  <c r="P53" i="6" s="1"/>
  <c r="AG19" i="6"/>
  <c r="AH19" i="6" s="1"/>
  <c r="O19" i="6" s="1"/>
  <c r="R19" i="6"/>
  <c r="P19" i="6" s="1"/>
  <c r="Q89" i="6"/>
  <c r="Q121" i="6"/>
  <c r="AC25" i="6"/>
  <c r="AD25" i="6" s="1"/>
  <c r="Y25" i="6"/>
  <c r="Z25" i="6" s="1"/>
  <c r="AA25" i="6"/>
  <c r="AB25" i="6" s="1"/>
  <c r="W25" i="6"/>
  <c r="X25" i="6" s="1"/>
  <c r="U25" i="6"/>
  <c r="V25" i="6" s="1"/>
  <c r="S25" i="6"/>
  <c r="T25" i="6" s="1"/>
  <c r="Q25" i="6"/>
  <c r="AC24" i="6"/>
  <c r="AD24" i="6" s="1"/>
  <c r="Y24" i="6"/>
  <c r="Z24" i="6" s="1"/>
  <c r="S24" i="6"/>
  <c r="T24" i="6" s="1"/>
  <c r="Q24" i="6"/>
  <c r="AA24" i="6"/>
  <c r="AB24" i="6" s="1"/>
  <c r="W24" i="6"/>
  <c r="X24" i="6" s="1"/>
  <c r="U24" i="6"/>
  <c r="V24" i="6" s="1"/>
  <c r="AC58" i="6"/>
  <c r="AD58" i="6" s="1"/>
  <c r="Y58" i="6"/>
  <c r="Z58" i="6" s="1"/>
  <c r="AA58" i="6"/>
  <c r="AB58" i="6" s="1"/>
  <c r="W58" i="6"/>
  <c r="X58" i="6" s="1"/>
  <c r="U58" i="6"/>
  <c r="Q58" i="6"/>
  <c r="S58" i="6"/>
  <c r="T58" i="6" s="1"/>
  <c r="Q87" i="6"/>
  <c r="AA55" i="6"/>
  <c r="AB55" i="6" s="1"/>
  <c r="W55" i="6"/>
  <c r="X55" i="6" s="1"/>
  <c r="AC55" i="6"/>
  <c r="AD55" i="6" s="1"/>
  <c r="Y55" i="6"/>
  <c r="Z55" i="6" s="1"/>
  <c r="Q55" i="6"/>
  <c r="U55" i="6"/>
  <c r="V55" i="6" s="1"/>
  <c r="S55" i="6"/>
  <c r="T55" i="6" s="1"/>
  <c r="Q88" i="6"/>
  <c r="Q119" i="6"/>
  <c r="Q120" i="6"/>
  <c r="Q122" i="6"/>
  <c r="AC56" i="6"/>
  <c r="AD56" i="6" s="1"/>
  <c r="Y56" i="6"/>
  <c r="Z56" i="6" s="1"/>
  <c r="W56" i="6"/>
  <c r="X56" i="6" s="1"/>
  <c r="S56" i="6"/>
  <c r="T56" i="6" s="1"/>
  <c r="Q56" i="6"/>
  <c r="U56" i="6"/>
  <c r="V56" i="6" s="1"/>
  <c r="AA56" i="6"/>
  <c r="AB56" i="6" s="1"/>
  <c r="AC26" i="6"/>
  <c r="AD26" i="6" s="1"/>
  <c r="Y26" i="6"/>
  <c r="Z26" i="6" s="1"/>
  <c r="AA26" i="6"/>
  <c r="AB26" i="6" s="1"/>
  <c r="W26" i="6"/>
  <c r="X26" i="6" s="1"/>
  <c r="U26" i="6"/>
  <c r="V26" i="6" s="1"/>
  <c r="S26" i="6"/>
  <c r="T26" i="6" s="1"/>
  <c r="Q26" i="6"/>
  <c r="Q90" i="6"/>
  <c r="P4" i="6"/>
  <c r="H65" i="6"/>
  <c r="I65" i="6" s="1"/>
  <c r="AA5" i="2" a="1"/>
  <c r="AA5" i="2" s="1"/>
  <c r="AE11" i="6"/>
  <c r="N11" i="6" s="1"/>
  <c r="V58" i="6"/>
  <c r="AE44" i="6"/>
  <c r="N44" i="6" s="1"/>
  <c r="AE9" i="6"/>
  <c r="N9" i="6" s="1"/>
  <c r="AE19" i="6"/>
  <c r="N19" i="6" s="1"/>
  <c r="AE41" i="6"/>
  <c r="N41" i="6" s="1"/>
  <c r="AE6" i="6"/>
  <c r="N6" i="6" s="1"/>
  <c r="AE47" i="6"/>
  <c r="N47" i="6" s="1"/>
  <c r="AE35" i="6"/>
  <c r="N35" i="6" s="1"/>
  <c r="AE20" i="6"/>
  <c r="N20" i="6" s="1"/>
  <c r="AE22" i="6"/>
  <c r="N22" i="6" s="1"/>
  <c r="AE12" i="6"/>
  <c r="N12" i="6" s="1"/>
  <c r="AE13" i="6"/>
  <c r="N13" i="6" s="1"/>
  <c r="AE42" i="6"/>
  <c r="N42" i="6" s="1"/>
  <c r="AE45" i="6"/>
  <c r="N45" i="6" s="1"/>
  <c r="AE48" i="6"/>
  <c r="N48" i="6" s="1"/>
  <c r="AE54" i="6"/>
  <c r="N54" i="6" s="1"/>
  <c r="AE36" i="6"/>
  <c r="N36" i="6" s="1"/>
  <c r="AE5" i="6"/>
  <c r="N5" i="6" s="1"/>
  <c r="AE7" i="6"/>
  <c r="N7" i="6" s="1"/>
  <c r="AE15" i="6"/>
  <c r="N15" i="6" s="1"/>
  <c r="AE43" i="6"/>
  <c r="N43" i="6" s="1"/>
  <c r="AE21" i="6"/>
  <c r="N21" i="6" s="1"/>
  <c r="AE50" i="6"/>
  <c r="N50" i="6" s="1"/>
  <c r="AE8" i="6"/>
  <c r="N8" i="6" s="1"/>
  <c r="AE14" i="6"/>
  <c r="N14" i="6" s="1"/>
  <c r="AE39" i="6"/>
  <c r="N39" i="6" s="1"/>
  <c r="AE4" i="6"/>
  <c r="N4" i="6" s="1"/>
  <c r="AE17" i="6"/>
  <c r="N17" i="6" s="1"/>
  <c r="AE40" i="6"/>
  <c r="N40" i="6" s="1"/>
  <c r="AE49" i="6"/>
  <c r="N49" i="6" s="1"/>
  <c r="AE3" i="6"/>
  <c r="AE52" i="6"/>
  <c r="N52" i="6" s="1"/>
  <c r="AE38" i="6"/>
  <c r="N38" i="6" s="1"/>
  <c r="AE51" i="6"/>
  <c r="N51" i="6" s="1"/>
  <c r="AE16" i="6"/>
  <c r="N16" i="6" s="1"/>
  <c r="AE46" i="6"/>
  <c r="N46" i="6" s="1"/>
  <c r="AE37" i="6"/>
  <c r="N37" i="6" s="1"/>
  <c r="AE18" i="6"/>
  <c r="N18" i="6" s="1"/>
  <c r="AE10" i="6"/>
  <c r="N10" i="6" s="1"/>
  <c r="AE53" i="6"/>
  <c r="N53" i="6" s="1"/>
  <c r="AC5" i="2" a="1"/>
  <c r="AC5" i="2" s="1"/>
  <c r="AN8" i="6"/>
  <c r="AN3" i="6"/>
  <c r="AD5" i="2" a="1"/>
  <c r="AD5" i="2" s="1"/>
  <c r="P3" i="6"/>
  <c r="O3" i="6"/>
  <c r="A3" i="6" a="1"/>
  <c r="A3" i="6" s="1"/>
  <c r="AF56" i="6" l="1"/>
  <c r="AF55" i="6"/>
  <c r="AF58" i="6"/>
  <c r="AF24" i="6"/>
  <c r="AF23" i="6"/>
  <c r="AF57" i="6"/>
  <c r="AF26" i="6"/>
  <c r="AF25" i="6"/>
  <c r="AE56" i="6"/>
  <c r="N56" i="6" s="1"/>
  <c r="AE25" i="6"/>
  <c r="N25" i="6" s="1"/>
  <c r="AE24" i="6"/>
  <c r="N24" i="6" s="1"/>
  <c r="AE26" i="6"/>
  <c r="N26" i="6" s="1"/>
  <c r="AE55" i="6"/>
  <c r="N55" i="6" s="1"/>
  <c r="AG120" i="6"/>
  <c r="AG119" i="6"/>
  <c r="AG88" i="6"/>
  <c r="AE57" i="6"/>
  <c r="N57" i="6" s="1"/>
  <c r="AG58" i="6"/>
  <c r="AH58" i="6" s="1"/>
  <c r="O58" i="6" s="1"/>
  <c r="R58" i="6"/>
  <c r="P58" i="6" s="1"/>
  <c r="R56" i="6"/>
  <c r="P56" i="6" s="1"/>
  <c r="AG56" i="6"/>
  <c r="AH56" i="6" s="1"/>
  <c r="O56" i="6" s="1"/>
  <c r="AG122" i="6"/>
  <c r="AG55" i="6"/>
  <c r="AH55" i="6" s="1"/>
  <c r="O55" i="6" s="1"/>
  <c r="R55" i="6"/>
  <c r="P55" i="6" s="1"/>
  <c r="AG25" i="6"/>
  <c r="AH25" i="6" s="1"/>
  <c r="O25" i="6" s="1"/>
  <c r="R25" i="6"/>
  <c r="P25" i="6" s="1"/>
  <c r="AE23" i="6"/>
  <c r="N23" i="6" s="1"/>
  <c r="AG87" i="6"/>
  <c r="AG90" i="6"/>
  <c r="AG121" i="6"/>
  <c r="AG89" i="6"/>
  <c r="AG26" i="6"/>
  <c r="AH26" i="6" s="1"/>
  <c r="O26" i="6" s="1"/>
  <c r="R26" i="6"/>
  <c r="P26" i="6" s="1"/>
  <c r="AA61" i="6"/>
  <c r="AB61" i="6" s="1"/>
  <c r="W61" i="6"/>
  <c r="X61" i="6" s="1"/>
  <c r="AC61" i="6"/>
  <c r="AD61" i="6" s="1"/>
  <c r="Y61" i="6"/>
  <c r="Z61" i="6" s="1"/>
  <c r="S61" i="6"/>
  <c r="T61" i="6" s="1"/>
  <c r="U61" i="6"/>
  <c r="V61" i="6" s="1"/>
  <c r="Q61" i="6"/>
  <c r="AC27" i="6"/>
  <c r="AD27" i="6" s="1"/>
  <c r="Y27" i="6"/>
  <c r="Z27" i="6" s="1"/>
  <c r="U27" i="6"/>
  <c r="V27" i="6" s="1"/>
  <c r="AA27" i="6"/>
  <c r="AB27" i="6" s="1"/>
  <c r="W27" i="6"/>
  <c r="X27" i="6" s="1"/>
  <c r="S27" i="6"/>
  <c r="T27" i="6" s="1"/>
  <c r="Q27" i="6"/>
  <c r="AG57" i="6"/>
  <c r="AH57" i="6" s="1"/>
  <c r="O57" i="6" s="1"/>
  <c r="R57" i="6"/>
  <c r="P57" i="6" s="1"/>
  <c r="AG23" i="6"/>
  <c r="AH23" i="6" s="1"/>
  <c r="O23" i="6" s="1"/>
  <c r="R23" i="6"/>
  <c r="P23" i="6" s="1"/>
  <c r="AG24" i="6"/>
  <c r="AH24" i="6" s="1"/>
  <c r="O24" i="6" s="1"/>
  <c r="R24" i="6"/>
  <c r="P24" i="6" s="1"/>
  <c r="Q94" i="6"/>
  <c r="AA30" i="6"/>
  <c r="AB30" i="6" s="1"/>
  <c r="W30" i="6"/>
  <c r="X30" i="6" s="1"/>
  <c r="AC30" i="6"/>
  <c r="AD30" i="6" s="1"/>
  <c r="Y30" i="6"/>
  <c r="Z30" i="6" s="1"/>
  <c r="S30" i="6"/>
  <c r="T30" i="6" s="1"/>
  <c r="Q30" i="6"/>
  <c r="U30" i="6"/>
  <c r="V30" i="6" s="1"/>
  <c r="AA60" i="6"/>
  <c r="AB60" i="6" s="1"/>
  <c r="W60" i="6"/>
  <c r="X60" i="6" s="1"/>
  <c r="AC60" i="6"/>
  <c r="AD60" i="6" s="1"/>
  <c r="Y60" i="6"/>
  <c r="Z60" i="6" s="1"/>
  <c r="U60" i="6"/>
  <c r="V60" i="6" s="1"/>
  <c r="S60" i="6"/>
  <c r="T60" i="6" s="1"/>
  <c r="Q60" i="6"/>
  <c r="Q126" i="6"/>
  <c r="Q124" i="6"/>
  <c r="Q123" i="6"/>
  <c r="Q92" i="6"/>
  <c r="AC59" i="6"/>
  <c r="AD59" i="6" s="1"/>
  <c r="Y59" i="6"/>
  <c r="Z59" i="6" s="1"/>
  <c r="W59" i="6"/>
  <c r="X59" i="6" s="1"/>
  <c r="U59" i="6"/>
  <c r="V59" i="6" s="1"/>
  <c r="Q59" i="6"/>
  <c r="AA59" i="6"/>
  <c r="AB59" i="6" s="1"/>
  <c r="S59" i="6"/>
  <c r="T59" i="6" s="1"/>
  <c r="Q91" i="6"/>
  <c r="AA62" i="6"/>
  <c r="AB62" i="6" s="1"/>
  <c r="W62" i="6"/>
  <c r="X62" i="6" s="1"/>
  <c r="AC62" i="6"/>
  <c r="AD62" i="6" s="1"/>
  <c r="Y62" i="6"/>
  <c r="Z62" i="6" s="1"/>
  <c r="S62" i="6"/>
  <c r="T62" i="6" s="1"/>
  <c r="U62" i="6"/>
  <c r="V62" i="6" s="1"/>
  <c r="Q62" i="6"/>
  <c r="AA28" i="6"/>
  <c r="AB28" i="6" s="1"/>
  <c r="W28" i="6"/>
  <c r="X28" i="6" s="1"/>
  <c r="AC28" i="6"/>
  <c r="AD28" i="6" s="1"/>
  <c r="Y28" i="6"/>
  <c r="Z28" i="6" s="1"/>
  <c r="U28" i="6"/>
  <c r="V28" i="6" s="1"/>
  <c r="S28" i="6"/>
  <c r="T28" i="6" s="1"/>
  <c r="Q28" i="6"/>
  <c r="AA29" i="6"/>
  <c r="AB29" i="6" s="1"/>
  <c r="W29" i="6"/>
  <c r="X29" i="6" s="1"/>
  <c r="AC29" i="6"/>
  <c r="AD29" i="6" s="1"/>
  <c r="Y29" i="6"/>
  <c r="Z29" i="6" s="1"/>
  <c r="S29" i="6"/>
  <c r="T29" i="6" s="1"/>
  <c r="U29" i="6"/>
  <c r="V29" i="6" s="1"/>
  <c r="Q29" i="6"/>
  <c r="Q125" i="6"/>
  <c r="Q93" i="6"/>
  <c r="H66" i="6"/>
  <c r="I66" i="6" s="1"/>
  <c r="AE58" i="6"/>
  <c r="N58" i="6" s="1"/>
  <c r="N3" i="6"/>
  <c r="AF29" i="6" l="1"/>
  <c r="AF59" i="6"/>
  <c r="AF27" i="6"/>
  <c r="AF61" i="6"/>
  <c r="AF28" i="6"/>
  <c r="AF62" i="6"/>
  <c r="AF60" i="6"/>
  <c r="AF30" i="6"/>
  <c r="AE59" i="6"/>
  <c r="N59" i="6" s="1"/>
  <c r="AE60" i="6"/>
  <c r="N60" i="6" s="1"/>
  <c r="AE30" i="6"/>
  <c r="N30" i="6" s="1"/>
  <c r="AE29" i="6"/>
  <c r="N29" i="6" s="1"/>
  <c r="AE27" i="6"/>
  <c r="N27" i="6" s="1"/>
  <c r="AG123" i="6"/>
  <c r="R59" i="6"/>
  <c r="P59" i="6" s="1"/>
  <c r="AG59" i="6"/>
  <c r="AH59" i="6" s="1"/>
  <c r="O59" i="6" s="1"/>
  <c r="AA31" i="6"/>
  <c r="AB31" i="6" s="1"/>
  <c r="W31" i="6"/>
  <c r="X31" i="6" s="1"/>
  <c r="AC31" i="6"/>
  <c r="AD31" i="6" s="1"/>
  <c r="Y31" i="6"/>
  <c r="Z31" i="6" s="1"/>
  <c r="Q31" i="6"/>
  <c r="U31" i="6"/>
  <c r="V31" i="6" s="1"/>
  <c r="S31" i="6"/>
  <c r="T31" i="6" s="1"/>
  <c r="AC65" i="6"/>
  <c r="AD65" i="6" s="1"/>
  <c r="Y65" i="6"/>
  <c r="Z65" i="6" s="1"/>
  <c r="AA65" i="6"/>
  <c r="AB65" i="6" s="1"/>
  <c r="U65" i="6"/>
  <c r="V65" i="6" s="1"/>
  <c r="W65" i="6"/>
  <c r="X65" i="6" s="1"/>
  <c r="Q65" i="6"/>
  <c r="S65" i="6"/>
  <c r="T65" i="6" s="1"/>
  <c r="AE62" i="6"/>
  <c r="N62" i="6" s="1"/>
  <c r="AG91" i="6"/>
  <c r="R27" i="6"/>
  <c r="P27" i="6" s="1"/>
  <c r="AG27" i="6"/>
  <c r="AH27" i="6" s="1"/>
  <c r="O27" i="6" s="1"/>
  <c r="AG61" i="6"/>
  <c r="AH61" i="6" s="1"/>
  <c r="O61" i="6" s="1"/>
  <c r="R61" i="6"/>
  <c r="P61" i="6" s="1"/>
  <c r="AE28" i="6"/>
  <c r="N28" i="6" s="1"/>
  <c r="Q97" i="6"/>
  <c r="Q129" i="6"/>
  <c r="AC33" i="6"/>
  <c r="AD33" i="6" s="1"/>
  <c r="Y33" i="6"/>
  <c r="Z33" i="6" s="1"/>
  <c r="AA33" i="6"/>
  <c r="AB33" i="6" s="1"/>
  <c r="W33" i="6"/>
  <c r="X33" i="6" s="1"/>
  <c r="U33" i="6"/>
  <c r="V33" i="6" s="1"/>
  <c r="S33" i="6"/>
  <c r="T33" i="6" s="1"/>
  <c r="Q33" i="6"/>
  <c r="AC32" i="6"/>
  <c r="AD32" i="6" s="1"/>
  <c r="Y32" i="6"/>
  <c r="Z32" i="6" s="1"/>
  <c r="S32" i="6"/>
  <c r="T32" i="6" s="1"/>
  <c r="Q32" i="6"/>
  <c r="AA32" i="6"/>
  <c r="AB32" i="6" s="1"/>
  <c r="W32" i="6"/>
  <c r="X32" i="6" s="1"/>
  <c r="U32" i="6"/>
  <c r="V32" i="6" s="1"/>
  <c r="AC66" i="6"/>
  <c r="Y66" i="6"/>
  <c r="Z66" i="6" s="1"/>
  <c r="AA66" i="6"/>
  <c r="AB66" i="6" s="1"/>
  <c r="W66" i="6"/>
  <c r="X66" i="6" s="1"/>
  <c r="U66" i="6"/>
  <c r="V66" i="6" s="1"/>
  <c r="Q66" i="6"/>
  <c r="S66" i="6"/>
  <c r="T66" i="6" s="1"/>
  <c r="Q95" i="6"/>
  <c r="AA63" i="6"/>
  <c r="AB63" i="6" s="1"/>
  <c r="W63" i="6"/>
  <c r="X63" i="6" s="1"/>
  <c r="AC63" i="6"/>
  <c r="AD63" i="6" s="1"/>
  <c r="Y63" i="6"/>
  <c r="Z63" i="6" s="1"/>
  <c r="Q63" i="6"/>
  <c r="S63" i="6"/>
  <c r="T63" i="6" s="1"/>
  <c r="U63" i="6"/>
  <c r="V63" i="6" s="1"/>
  <c r="Q96" i="6"/>
  <c r="Q127" i="6"/>
  <c r="Q128" i="6"/>
  <c r="Q130" i="6"/>
  <c r="AC64" i="6"/>
  <c r="AD64" i="6" s="1"/>
  <c r="Y64" i="6"/>
  <c r="Z64" i="6" s="1"/>
  <c r="W64" i="6"/>
  <c r="X64" i="6" s="1"/>
  <c r="S64" i="6"/>
  <c r="T64" i="6" s="1"/>
  <c r="Q64" i="6"/>
  <c r="AA64" i="6"/>
  <c r="AB64" i="6" s="1"/>
  <c r="U64" i="6"/>
  <c r="V64" i="6" s="1"/>
  <c r="AC34" i="6"/>
  <c r="AD34" i="6" s="1"/>
  <c r="Y34" i="6"/>
  <c r="Z34" i="6" s="1"/>
  <c r="AA34" i="6"/>
  <c r="AB34" i="6" s="1"/>
  <c r="W34" i="6"/>
  <c r="X34" i="6" s="1"/>
  <c r="U34" i="6"/>
  <c r="V34" i="6" s="1"/>
  <c r="Q34" i="6"/>
  <c r="S34" i="6"/>
  <c r="T34" i="6" s="1"/>
  <c r="Q98" i="6"/>
  <c r="AG93" i="6"/>
  <c r="AG125" i="6"/>
  <c r="AG29" i="6"/>
  <c r="AH29" i="6" s="1"/>
  <c r="O29" i="6" s="1"/>
  <c r="R29" i="6"/>
  <c r="P29" i="6" s="1"/>
  <c r="AG28" i="6"/>
  <c r="AH28" i="6" s="1"/>
  <c r="O28" i="6" s="1"/>
  <c r="R28" i="6"/>
  <c r="P28" i="6" s="1"/>
  <c r="AG62" i="6"/>
  <c r="AH62" i="6" s="1"/>
  <c r="O62" i="6" s="1"/>
  <c r="R62" i="6"/>
  <c r="P62" i="6" s="1"/>
  <c r="AG126" i="6"/>
  <c r="AG60" i="6"/>
  <c r="AH60" i="6" s="1"/>
  <c r="O60" i="6" s="1"/>
  <c r="R60" i="6"/>
  <c r="P60" i="6" s="1"/>
  <c r="AG94" i="6"/>
  <c r="AG92" i="6"/>
  <c r="AG124" i="6"/>
  <c r="AG30" i="6"/>
  <c r="AH30" i="6" s="1"/>
  <c r="O30" i="6" s="1"/>
  <c r="R30" i="6"/>
  <c r="P30" i="6" s="1"/>
  <c r="AE61" i="6"/>
  <c r="N61" i="6" s="1"/>
  <c r="AD66" i="6"/>
  <c r="H67" i="6"/>
  <c r="R67" i="6"/>
  <c r="AH67" i="6"/>
  <c r="AF31" i="6" l="1"/>
  <c r="AF32" i="6"/>
  <c r="AF64" i="6"/>
  <c r="AF66" i="6"/>
  <c r="AF34" i="6"/>
  <c r="AF65" i="6"/>
  <c r="AF33" i="6"/>
  <c r="AF63" i="6"/>
  <c r="AE65" i="6"/>
  <c r="N65" i="6" s="1"/>
  <c r="AE34" i="6"/>
  <c r="N34" i="6" s="1"/>
  <c r="AE63" i="6"/>
  <c r="N63" i="6" s="1"/>
  <c r="AG130" i="6"/>
  <c r="AG34" i="6"/>
  <c r="AH34" i="6" s="1"/>
  <c r="O34" i="6" s="1"/>
  <c r="R34" i="6"/>
  <c r="P34" i="6" s="1"/>
  <c r="AG64" i="6"/>
  <c r="AH64" i="6" s="1"/>
  <c r="O64" i="6" s="1"/>
  <c r="R64" i="6"/>
  <c r="P64" i="6" s="1"/>
  <c r="AG95" i="6"/>
  <c r="AG66" i="6"/>
  <c r="AH66" i="6" s="1"/>
  <c r="O66" i="6" s="1"/>
  <c r="R66" i="6"/>
  <c r="P66" i="6" s="1"/>
  <c r="AG98" i="6"/>
  <c r="AG32" i="6"/>
  <c r="AH32" i="6" s="1"/>
  <c r="O32" i="6" s="1"/>
  <c r="R32" i="6"/>
  <c r="P32" i="6" s="1"/>
  <c r="AE33" i="6"/>
  <c r="N33" i="6" s="1"/>
  <c r="AE64" i="6"/>
  <c r="N64" i="6" s="1"/>
  <c r="AG127" i="6"/>
  <c r="AG96" i="6"/>
  <c r="AG63" i="6"/>
  <c r="AH63" i="6" s="1"/>
  <c r="O63" i="6" s="1"/>
  <c r="R63" i="6"/>
  <c r="P63" i="6" s="1"/>
  <c r="AE32" i="6"/>
  <c r="N32" i="6" s="1"/>
  <c r="AG128" i="6"/>
  <c r="AG97" i="6"/>
  <c r="AG65" i="6"/>
  <c r="AH65" i="6" s="1"/>
  <c r="O65" i="6" s="1"/>
  <c r="R65" i="6"/>
  <c r="P65" i="6" s="1"/>
  <c r="AG31" i="6"/>
  <c r="AH31" i="6" s="1"/>
  <c r="O31" i="6" s="1"/>
  <c r="R31" i="6"/>
  <c r="P31" i="6" s="1"/>
  <c r="AG33" i="6"/>
  <c r="AH33" i="6" s="1"/>
  <c r="O33" i="6" s="1"/>
  <c r="R33" i="6"/>
  <c r="P33" i="6" s="1"/>
  <c r="AG129" i="6"/>
  <c r="AE31" i="6"/>
  <c r="N31" i="6" s="1"/>
  <c r="I67" i="6"/>
  <c r="AC67" i="6"/>
  <c r="AD67" i="6" s="1"/>
  <c r="Y67" i="6"/>
  <c r="Z67" i="6" s="1"/>
  <c r="AA67" i="6"/>
  <c r="AB67" i="6" s="1"/>
  <c r="U67" i="6"/>
  <c r="V67" i="6" s="1"/>
  <c r="W67" i="6"/>
  <c r="X67" i="6" s="1"/>
  <c r="S67" i="6"/>
  <c r="T67" i="6" s="1"/>
  <c r="AE66" i="6"/>
  <c r="N66" i="6" s="1"/>
  <c r="H68" i="6"/>
  <c r="R68" i="6"/>
  <c r="AH68" i="6"/>
  <c r="P67" i="6"/>
  <c r="O67" i="6"/>
  <c r="AF67" i="6" l="1"/>
  <c r="I68" i="6"/>
  <c r="AA68" i="6"/>
  <c r="AB68" i="6" s="1"/>
  <c r="W68" i="6"/>
  <c r="X68" i="6" s="1"/>
  <c r="U68" i="6"/>
  <c r="V68" i="6" s="1"/>
  <c r="S68" i="6"/>
  <c r="T68" i="6" s="1"/>
  <c r="AC68" i="6"/>
  <c r="AD68" i="6" s="1"/>
  <c r="Y68" i="6"/>
  <c r="Z68" i="6" s="1"/>
  <c r="AE67" i="6"/>
  <c r="N67" i="6" s="1"/>
  <c r="H69" i="6"/>
  <c r="AH69" i="6"/>
  <c r="R69" i="6"/>
  <c r="P69" i="6" s="1"/>
  <c r="P68" i="6"/>
  <c r="O68" i="6"/>
  <c r="AF68" i="6" l="1"/>
  <c r="I69" i="6"/>
  <c r="AA69" i="6"/>
  <c r="AB69" i="6" s="1"/>
  <c r="W69" i="6"/>
  <c r="X69" i="6" s="1"/>
  <c r="AC69" i="6"/>
  <c r="AD69" i="6" s="1"/>
  <c r="Y69" i="6"/>
  <c r="Z69" i="6" s="1"/>
  <c r="S69" i="6"/>
  <c r="T69" i="6" s="1"/>
  <c r="U69" i="6"/>
  <c r="V69" i="6" s="1"/>
  <c r="AE68" i="6"/>
  <c r="N68" i="6" s="1"/>
  <c r="H70" i="6"/>
  <c r="AH70" i="6"/>
  <c r="O70" i="6" s="1"/>
  <c r="R70" i="6"/>
  <c r="P70" i="6" s="1"/>
  <c r="O69" i="6"/>
  <c r="AF69" i="6" l="1"/>
  <c r="I70" i="6"/>
  <c r="AA70" i="6"/>
  <c r="AB70" i="6" s="1"/>
  <c r="W70" i="6"/>
  <c r="X70" i="6" s="1"/>
  <c r="AC70" i="6"/>
  <c r="AD70" i="6" s="1"/>
  <c r="Y70" i="6"/>
  <c r="Z70" i="6" s="1"/>
  <c r="S70" i="6"/>
  <c r="T70" i="6" s="1"/>
  <c r="U70" i="6"/>
  <c r="V70" i="6" s="1"/>
  <c r="AE69" i="6"/>
  <c r="N69" i="6" s="1"/>
  <c r="H71" i="6"/>
  <c r="AH71" i="6"/>
  <c r="O71" i="6" s="1"/>
  <c r="R71" i="6"/>
  <c r="P71" i="6" s="1"/>
  <c r="AF70" i="6" l="1"/>
  <c r="I71" i="6"/>
  <c r="U71" i="6"/>
  <c r="V71" i="6" s="1"/>
  <c r="W71" i="6"/>
  <c r="X71" i="6" s="1"/>
  <c r="AC71" i="6"/>
  <c r="AD71" i="6" s="1"/>
  <c r="S71" i="6"/>
  <c r="T71" i="6" s="1"/>
  <c r="Y71" i="6"/>
  <c r="Z71" i="6" s="1"/>
  <c r="AA71" i="6"/>
  <c r="AB71" i="6" s="1"/>
  <c r="AE70" i="6"/>
  <c r="N70" i="6" s="1"/>
  <c r="H72" i="6"/>
  <c r="AH72" i="6"/>
  <c r="O72" i="6" s="1"/>
  <c r="R72" i="6"/>
  <c r="P72" i="6" s="1"/>
  <c r="AF71" i="6" l="1"/>
  <c r="I72" i="6"/>
  <c r="Y72" i="6"/>
  <c r="Z72" i="6" s="1"/>
  <c r="W72" i="6"/>
  <c r="X72" i="6" s="1"/>
  <c r="AA72" i="6"/>
  <c r="AB72" i="6" s="1"/>
  <c r="S72" i="6"/>
  <c r="T72" i="6" s="1"/>
  <c r="AC72" i="6"/>
  <c r="AD72" i="6" s="1"/>
  <c r="U72" i="6"/>
  <c r="V72" i="6" s="1"/>
  <c r="AE71" i="6"/>
  <c r="N71" i="6" s="1"/>
  <c r="H73" i="6"/>
  <c r="R73" i="6"/>
  <c r="P73" i="6" s="1"/>
  <c r="AH73" i="6"/>
  <c r="O73" i="6" s="1"/>
  <c r="AF72" i="6" l="1"/>
  <c r="I73" i="6"/>
  <c r="S73" i="6"/>
  <c r="T73" i="6" s="1"/>
  <c r="U73" i="6"/>
  <c r="V73" i="6" s="1"/>
  <c r="W73" i="6"/>
  <c r="X73" i="6" s="1"/>
  <c r="AA73" i="6"/>
  <c r="AB73" i="6" s="1"/>
  <c r="Y73" i="6"/>
  <c r="Z73" i="6" s="1"/>
  <c r="AC73" i="6"/>
  <c r="AD73" i="6" s="1"/>
  <c r="AE72" i="6"/>
  <c r="N72" i="6" s="1"/>
  <c r="H74" i="6"/>
  <c r="AH74" i="6"/>
  <c r="O74" i="6" s="1"/>
  <c r="R74" i="6"/>
  <c r="P74" i="6" s="1"/>
  <c r="AF73" i="6" l="1"/>
  <c r="I74" i="6"/>
  <c r="Y74" i="6"/>
  <c r="Z74" i="6" s="1"/>
  <c r="S74" i="6"/>
  <c r="T74" i="6" s="1"/>
  <c r="AA74" i="6"/>
  <c r="AB74" i="6" s="1"/>
  <c r="AC74" i="6"/>
  <c r="AD74" i="6" s="1"/>
  <c r="W74" i="6"/>
  <c r="X74" i="6" s="1"/>
  <c r="U74" i="6"/>
  <c r="V74" i="6" s="1"/>
  <c r="AE73" i="6"/>
  <c r="N73" i="6" s="1"/>
  <c r="H75" i="6"/>
  <c r="R75" i="6"/>
  <c r="P75" i="6" s="1"/>
  <c r="AH75" i="6"/>
  <c r="O75" i="6" s="1"/>
  <c r="AF74" i="6" l="1"/>
  <c r="I75" i="6"/>
  <c r="S75" i="6"/>
  <c r="T75" i="6" s="1"/>
  <c r="W75" i="6"/>
  <c r="X75" i="6" s="1"/>
  <c r="U75" i="6"/>
  <c r="V75" i="6" s="1"/>
  <c r="AC75" i="6"/>
  <c r="AD75" i="6" s="1"/>
  <c r="AA75" i="6"/>
  <c r="AB75" i="6" s="1"/>
  <c r="Y75" i="6"/>
  <c r="Z75" i="6" s="1"/>
  <c r="AE74" i="6"/>
  <c r="N74" i="6" s="1"/>
  <c r="H76" i="6"/>
  <c r="R76" i="6"/>
  <c r="P76" i="6" s="1"/>
  <c r="AH76" i="6"/>
  <c r="O76" i="6" s="1"/>
  <c r="AF75" i="6" l="1"/>
  <c r="I76" i="6"/>
  <c r="Y76" i="6"/>
  <c r="Z76" i="6" s="1"/>
  <c r="U76" i="6"/>
  <c r="V76" i="6" s="1"/>
  <c r="AC76" i="6"/>
  <c r="AD76" i="6" s="1"/>
  <c r="AA76" i="6"/>
  <c r="AB76" i="6" s="1"/>
  <c r="W76" i="6"/>
  <c r="X76" i="6" s="1"/>
  <c r="S76" i="6"/>
  <c r="T76" i="6" s="1"/>
  <c r="AE75" i="6"/>
  <c r="N75" i="6" s="1"/>
  <c r="H77" i="6"/>
  <c r="AH77" i="6"/>
  <c r="O77" i="6" s="1"/>
  <c r="R77" i="6"/>
  <c r="P77" i="6" s="1"/>
  <c r="AF76" i="6" l="1"/>
  <c r="I77" i="6"/>
  <c r="Y77" i="6"/>
  <c r="Z77" i="6" s="1"/>
  <c r="AA77" i="6"/>
  <c r="AB77" i="6" s="1"/>
  <c r="W77" i="6"/>
  <c r="X77" i="6" s="1"/>
  <c r="AC77" i="6"/>
  <c r="AD77" i="6" s="1"/>
  <c r="S77" i="6"/>
  <c r="T77" i="6" s="1"/>
  <c r="U77" i="6"/>
  <c r="V77" i="6" s="1"/>
  <c r="AE76" i="6"/>
  <c r="N76" i="6" s="1"/>
  <c r="H78" i="6"/>
  <c r="AH78" i="6"/>
  <c r="O78" i="6" s="1"/>
  <c r="R78" i="6"/>
  <c r="P78" i="6" s="1"/>
  <c r="AF77" i="6" l="1"/>
  <c r="I78" i="6"/>
  <c r="S78" i="6"/>
  <c r="T78" i="6" s="1"/>
  <c r="AA78" i="6"/>
  <c r="AB78" i="6" s="1"/>
  <c r="W78" i="6"/>
  <c r="X78" i="6" s="1"/>
  <c r="AC78" i="6"/>
  <c r="AD78" i="6" s="1"/>
  <c r="Y78" i="6"/>
  <c r="Z78" i="6" s="1"/>
  <c r="U78" i="6"/>
  <c r="V78" i="6" s="1"/>
  <c r="AE77" i="6"/>
  <c r="N77" i="6" s="1"/>
  <c r="H79" i="6"/>
  <c r="AH79" i="6"/>
  <c r="O79" i="6" s="1"/>
  <c r="R79" i="6"/>
  <c r="P79" i="6" s="1"/>
  <c r="AF78" i="6" l="1"/>
  <c r="I79" i="6"/>
  <c r="AA79" i="6"/>
  <c r="AB79" i="6" s="1"/>
  <c r="W79" i="6"/>
  <c r="X79" i="6" s="1"/>
  <c r="U79" i="6"/>
  <c r="V79" i="6" s="1"/>
  <c r="S79" i="6"/>
  <c r="T79" i="6" s="1"/>
  <c r="Y79" i="6"/>
  <c r="Z79" i="6" s="1"/>
  <c r="AC79" i="6"/>
  <c r="AD79" i="6" s="1"/>
  <c r="AE78" i="6"/>
  <c r="N78" i="6" s="1"/>
  <c r="H80" i="6"/>
  <c r="AH80" i="6"/>
  <c r="O80" i="6" s="1"/>
  <c r="R80" i="6"/>
  <c r="P80" i="6" s="1"/>
  <c r="AF79" i="6" l="1"/>
  <c r="I80" i="6"/>
  <c r="Y80" i="6"/>
  <c r="Z80" i="6" s="1"/>
  <c r="AC80" i="6"/>
  <c r="AD80" i="6" s="1"/>
  <c r="AA80" i="6"/>
  <c r="AB80" i="6" s="1"/>
  <c r="W80" i="6"/>
  <c r="X80" i="6" s="1"/>
  <c r="S80" i="6"/>
  <c r="T80" i="6" s="1"/>
  <c r="U80" i="6"/>
  <c r="V80" i="6" s="1"/>
  <c r="AE79" i="6"/>
  <c r="N79" i="6" s="1"/>
  <c r="H81" i="6"/>
  <c r="R81" i="6"/>
  <c r="P81" i="6" s="1"/>
  <c r="AH81" i="6"/>
  <c r="O81" i="6" s="1"/>
  <c r="AF80" i="6" l="1"/>
  <c r="I81" i="6"/>
  <c r="AC81" i="6"/>
  <c r="AD81" i="6" s="1"/>
  <c r="U81" i="6"/>
  <c r="V81" i="6" s="1"/>
  <c r="Y81" i="6"/>
  <c r="Z81" i="6" s="1"/>
  <c r="AA81" i="6"/>
  <c r="AB81" i="6" s="1"/>
  <c r="W81" i="6"/>
  <c r="X81" i="6" s="1"/>
  <c r="S81" i="6"/>
  <c r="T81" i="6" s="1"/>
  <c r="AE80" i="6"/>
  <c r="N80" i="6" s="1"/>
  <c r="H82" i="6"/>
  <c r="AH82" i="6"/>
  <c r="O82" i="6" s="1"/>
  <c r="R82" i="6"/>
  <c r="P82" i="6" s="1"/>
  <c r="AF81" i="6" l="1"/>
  <c r="I82" i="6"/>
  <c r="AC82" i="6"/>
  <c r="AD82" i="6" s="1"/>
  <c r="Y82" i="6"/>
  <c r="Z82" i="6" s="1"/>
  <c r="W82" i="6"/>
  <c r="X82" i="6" s="1"/>
  <c r="AA82" i="6"/>
  <c r="AB82" i="6" s="1"/>
  <c r="U82" i="6"/>
  <c r="V82" i="6" s="1"/>
  <c r="S82" i="6"/>
  <c r="T82" i="6" s="1"/>
  <c r="AE81" i="6"/>
  <c r="N81" i="6" s="1"/>
  <c r="H83" i="6"/>
  <c r="AH83" i="6"/>
  <c r="O83" i="6" s="1"/>
  <c r="R83" i="6"/>
  <c r="P83" i="6" s="1"/>
  <c r="AF82" i="6" l="1"/>
  <c r="I83" i="6"/>
  <c r="AC83" i="6"/>
  <c r="AD83" i="6" s="1"/>
  <c r="Y83" i="6"/>
  <c r="Z83" i="6" s="1"/>
  <c r="W83" i="6"/>
  <c r="X83" i="6" s="1"/>
  <c r="AA83" i="6"/>
  <c r="AB83" i="6" s="1"/>
  <c r="S83" i="6"/>
  <c r="T83" i="6" s="1"/>
  <c r="U83" i="6"/>
  <c r="V83" i="6" s="1"/>
  <c r="AE82" i="6"/>
  <c r="N82" i="6" s="1"/>
  <c r="H84" i="6"/>
  <c r="R84" i="6"/>
  <c r="P84" i="6" s="1"/>
  <c r="AH84" i="6"/>
  <c r="O84" i="6" s="1"/>
  <c r="AF83" i="6" l="1"/>
  <c r="I84" i="6"/>
  <c r="AA84" i="6"/>
  <c r="AB84" i="6" s="1"/>
  <c r="W84" i="6"/>
  <c r="X84" i="6" s="1"/>
  <c r="AC84" i="6"/>
  <c r="AD84" i="6" s="1"/>
  <c r="Y84" i="6"/>
  <c r="Z84" i="6" s="1"/>
  <c r="U84" i="6"/>
  <c r="V84" i="6" s="1"/>
  <c r="S84" i="6"/>
  <c r="T84" i="6" s="1"/>
  <c r="AE83" i="6"/>
  <c r="N83" i="6" s="1"/>
  <c r="H85" i="6"/>
  <c r="AH85" i="6"/>
  <c r="O85" i="6" s="1"/>
  <c r="R85" i="6"/>
  <c r="P85" i="6" s="1"/>
  <c r="AF84" i="6" l="1"/>
  <c r="I85" i="6"/>
  <c r="AA85" i="6"/>
  <c r="AB85" i="6" s="1"/>
  <c r="W85" i="6"/>
  <c r="X85" i="6" s="1"/>
  <c r="AC85" i="6"/>
  <c r="AD85" i="6" s="1"/>
  <c r="Y85" i="6"/>
  <c r="Z85" i="6" s="1"/>
  <c r="S85" i="6"/>
  <c r="T85" i="6" s="1"/>
  <c r="U85" i="6"/>
  <c r="V85" i="6" s="1"/>
  <c r="AE84" i="6"/>
  <c r="N84" i="6" s="1"/>
  <c r="H86" i="6"/>
  <c r="AH86" i="6"/>
  <c r="O86" i="6" s="1"/>
  <c r="R86" i="6"/>
  <c r="P86" i="6" s="1"/>
  <c r="AF85" i="6" l="1"/>
  <c r="I86" i="6"/>
  <c r="AA86" i="6"/>
  <c r="AB86" i="6" s="1"/>
  <c r="W86" i="6"/>
  <c r="X86" i="6" s="1"/>
  <c r="AC86" i="6"/>
  <c r="AD86" i="6" s="1"/>
  <c r="Y86" i="6"/>
  <c r="Z86" i="6" s="1"/>
  <c r="S86" i="6"/>
  <c r="T86" i="6" s="1"/>
  <c r="U86" i="6"/>
  <c r="V86" i="6" s="1"/>
  <c r="AE85" i="6"/>
  <c r="N85" i="6" s="1"/>
  <c r="H87" i="6"/>
  <c r="R87" i="6"/>
  <c r="P87" i="6" s="1"/>
  <c r="AH87" i="6"/>
  <c r="O87" i="6" s="1"/>
  <c r="AF86" i="6" l="1"/>
  <c r="I87" i="6"/>
  <c r="W87" i="6"/>
  <c r="X87" i="6" s="1"/>
  <c r="Y87" i="6"/>
  <c r="Z87" i="6" s="1"/>
  <c r="AA87" i="6"/>
  <c r="AB87" i="6" s="1"/>
  <c r="AC87" i="6"/>
  <c r="AD87" i="6" s="1"/>
  <c r="S87" i="6"/>
  <c r="T87" i="6" s="1"/>
  <c r="U87" i="6"/>
  <c r="V87" i="6" s="1"/>
  <c r="AE86" i="6"/>
  <c r="N86" i="6" s="1"/>
  <c r="H88" i="6"/>
  <c r="AH88" i="6"/>
  <c r="O88" i="6" s="1"/>
  <c r="R88" i="6"/>
  <c r="P88" i="6" s="1"/>
  <c r="AF87" i="6" l="1"/>
  <c r="I88" i="6"/>
  <c r="AC88" i="6"/>
  <c r="AD88" i="6" s="1"/>
  <c r="Y88" i="6"/>
  <c r="Z88" i="6" s="1"/>
  <c r="S88" i="6"/>
  <c r="T88" i="6" s="1"/>
  <c r="AA88" i="6"/>
  <c r="AB88" i="6" s="1"/>
  <c r="W88" i="6"/>
  <c r="X88" i="6" s="1"/>
  <c r="U88" i="6"/>
  <c r="V88" i="6" s="1"/>
  <c r="AE87" i="6"/>
  <c r="N87" i="6" s="1"/>
  <c r="H89" i="6"/>
  <c r="R89" i="6"/>
  <c r="P89" i="6" s="1"/>
  <c r="AH89" i="6"/>
  <c r="O89" i="6" s="1"/>
  <c r="AF88" i="6" l="1"/>
  <c r="I89" i="6"/>
  <c r="Y89" i="6"/>
  <c r="Z89" i="6" s="1"/>
  <c r="AA89" i="6"/>
  <c r="AB89" i="6" s="1"/>
  <c r="AC89" i="6"/>
  <c r="AD89" i="6" s="1"/>
  <c r="U89" i="6"/>
  <c r="V89" i="6" s="1"/>
  <c r="W89" i="6"/>
  <c r="X89" i="6" s="1"/>
  <c r="S89" i="6"/>
  <c r="T89" i="6" s="1"/>
  <c r="AE88" i="6"/>
  <c r="N88" i="6" s="1"/>
  <c r="H90" i="6"/>
  <c r="AH90" i="6"/>
  <c r="O90" i="6" s="1"/>
  <c r="R90" i="6"/>
  <c r="P90" i="6" s="1"/>
  <c r="AF89" i="6" l="1"/>
  <c r="I90" i="6"/>
  <c r="AC90" i="6"/>
  <c r="AD90" i="6" s="1"/>
  <c r="AA90" i="6"/>
  <c r="AB90" i="6" s="1"/>
  <c r="W90" i="6"/>
  <c r="X90" i="6" s="1"/>
  <c r="S90" i="6"/>
  <c r="T90" i="6" s="1"/>
  <c r="Y90" i="6"/>
  <c r="Z90" i="6" s="1"/>
  <c r="U90" i="6"/>
  <c r="V90" i="6" s="1"/>
  <c r="AE89" i="6"/>
  <c r="N89" i="6" s="1"/>
  <c r="H91" i="6"/>
  <c r="AH91" i="6"/>
  <c r="O91" i="6" s="1"/>
  <c r="R91" i="6"/>
  <c r="P91" i="6" s="1"/>
  <c r="AF90" i="6" l="1"/>
  <c r="I91" i="6"/>
  <c r="W91" i="6"/>
  <c r="X91" i="6" s="1"/>
  <c r="U91" i="6"/>
  <c r="V91" i="6" s="1"/>
  <c r="AA91" i="6"/>
  <c r="AB91" i="6" s="1"/>
  <c r="AC91" i="6"/>
  <c r="AD91" i="6" s="1"/>
  <c r="Y91" i="6"/>
  <c r="Z91" i="6" s="1"/>
  <c r="S91" i="6"/>
  <c r="T91" i="6" s="1"/>
  <c r="AE90" i="6"/>
  <c r="N90" i="6" s="1"/>
  <c r="H92" i="6"/>
  <c r="R92" i="6"/>
  <c r="P92" i="6" s="1"/>
  <c r="AH92" i="6"/>
  <c r="O92" i="6" s="1"/>
  <c r="AF91" i="6" l="1"/>
  <c r="I92" i="6"/>
  <c r="S92" i="6"/>
  <c r="T92" i="6" s="1"/>
  <c r="AA92" i="6"/>
  <c r="AB92" i="6" s="1"/>
  <c r="W92" i="6"/>
  <c r="X92" i="6" s="1"/>
  <c r="U92" i="6"/>
  <c r="V92" i="6" s="1"/>
  <c r="AC92" i="6"/>
  <c r="AD92" i="6" s="1"/>
  <c r="Y92" i="6"/>
  <c r="Z92" i="6" s="1"/>
  <c r="AE91" i="6"/>
  <c r="N91" i="6" s="1"/>
  <c r="H93" i="6"/>
  <c r="AH93" i="6"/>
  <c r="O93" i="6" s="1"/>
  <c r="R93" i="6"/>
  <c r="P93" i="6" s="1"/>
  <c r="AF92" i="6" l="1"/>
  <c r="I93" i="6"/>
  <c r="Y93" i="6"/>
  <c r="Z93" i="6" s="1"/>
  <c r="U93" i="6"/>
  <c r="V93" i="6" s="1"/>
  <c r="AA93" i="6"/>
  <c r="AB93" i="6" s="1"/>
  <c r="W93" i="6"/>
  <c r="X93" i="6" s="1"/>
  <c r="AC93" i="6"/>
  <c r="AD93" i="6" s="1"/>
  <c r="S93" i="6"/>
  <c r="T93" i="6" s="1"/>
  <c r="AE92" i="6"/>
  <c r="N92" i="6" s="1"/>
  <c r="H94" i="6"/>
  <c r="AH94" i="6"/>
  <c r="O94" i="6" s="1"/>
  <c r="R94" i="6"/>
  <c r="P94" i="6" s="1"/>
  <c r="AF93" i="6" l="1"/>
  <c r="I94" i="6"/>
  <c r="U94" i="6"/>
  <c r="V94" i="6" s="1"/>
  <c r="S94" i="6"/>
  <c r="T94" i="6" s="1"/>
  <c r="AA94" i="6"/>
  <c r="AB94" i="6" s="1"/>
  <c r="W94" i="6"/>
  <c r="X94" i="6" s="1"/>
  <c r="AC94" i="6"/>
  <c r="AD94" i="6" s="1"/>
  <c r="Y94" i="6"/>
  <c r="Z94" i="6" s="1"/>
  <c r="AE93" i="6"/>
  <c r="N93" i="6" s="1"/>
  <c r="H95" i="6"/>
  <c r="AH95" i="6"/>
  <c r="O95" i="6" s="1"/>
  <c r="R95" i="6"/>
  <c r="P95" i="6" s="1"/>
  <c r="AF94" i="6" l="1"/>
  <c r="I95" i="6"/>
  <c r="AA95" i="6"/>
  <c r="AB95" i="6" s="1"/>
  <c r="W95" i="6"/>
  <c r="X95" i="6" s="1"/>
  <c r="AC95" i="6"/>
  <c r="AD95" i="6" s="1"/>
  <c r="Y95" i="6"/>
  <c r="Z95" i="6" s="1"/>
  <c r="S95" i="6"/>
  <c r="T95" i="6" s="1"/>
  <c r="U95" i="6"/>
  <c r="V95" i="6" s="1"/>
  <c r="AE94" i="6"/>
  <c r="N94" i="6" s="1"/>
  <c r="H96" i="6"/>
  <c r="AH96" i="6"/>
  <c r="O96" i="6" s="1"/>
  <c r="R96" i="6"/>
  <c r="P96" i="6" s="1"/>
  <c r="AF95" i="6" l="1"/>
  <c r="I96" i="6"/>
  <c r="S96" i="6"/>
  <c r="T96" i="6" s="1"/>
  <c r="AA96" i="6"/>
  <c r="AB96" i="6" s="1"/>
  <c r="U96" i="6"/>
  <c r="V96" i="6" s="1"/>
  <c r="W96" i="6"/>
  <c r="X96" i="6" s="1"/>
  <c r="AC96" i="6"/>
  <c r="AD96" i="6" s="1"/>
  <c r="Y96" i="6"/>
  <c r="Z96" i="6" s="1"/>
  <c r="AE95" i="6"/>
  <c r="N95" i="6" s="1"/>
  <c r="H97" i="6"/>
  <c r="R97" i="6"/>
  <c r="P97" i="6" s="1"/>
  <c r="AH97" i="6"/>
  <c r="O97" i="6" s="1"/>
  <c r="AF96" i="6" l="1"/>
  <c r="I97" i="6"/>
  <c r="W97" i="6"/>
  <c r="X97" i="6" s="1"/>
  <c r="U97" i="6"/>
  <c r="V97" i="6" s="1"/>
  <c r="S97" i="6"/>
  <c r="T97" i="6" s="1"/>
  <c r="AC97" i="6"/>
  <c r="AD97" i="6" s="1"/>
  <c r="Y97" i="6"/>
  <c r="Z97" i="6" s="1"/>
  <c r="AA97" i="6"/>
  <c r="AB97" i="6" s="1"/>
  <c r="AE96" i="6"/>
  <c r="N96" i="6" s="1"/>
  <c r="H98" i="6"/>
  <c r="AH98" i="6"/>
  <c r="O98" i="6" s="1"/>
  <c r="R98" i="6"/>
  <c r="P98" i="6" s="1"/>
  <c r="AF97" i="6" l="1"/>
  <c r="I98" i="6"/>
  <c r="AC98" i="6"/>
  <c r="AD98" i="6" s="1"/>
  <c r="Y98" i="6"/>
  <c r="Z98" i="6" s="1"/>
  <c r="AA98" i="6"/>
  <c r="AB98" i="6" s="1"/>
  <c r="W98" i="6"/>
  <c r="X98" i="6" s="1"/>
  <c r="U98" i="6"/>
  <c r="V98" i="6" s="1"/>
  <c r="S98" i="6"/>
  <c r="T98" i="6" s="1"/>
  <c r="AE97" i="6"/>
  <c r="N97" i="6" s="1"/>
  <c r="H99" i="6"/>
  <c r="AH99" i="6"/>
  <c r="O99" i="6" s="1"/>
  <c r="R99" i="6"/>
  <c r="P99" i="6" s="1"/>
  <c r="AF98" i="6" l="1"/>
  <c r="I99" i="6"/>
  <c r="AC99" i="6"/>
  <c r="AD99" i="6" s="1"/>
  <c r="Y99" i="6"/>
  <c r="Z99" i="6" s="1"/>
  <c r="AA99" i="6"/>
  <c r="AB99" i="6" s="1"/>
  <c r="W99" i="6"/>
  <c r="X99" i="6" s="1"/>
  <c r="S99" i="6"/>
  <c r="T99" i="6" s="1"/>
  <c r="U99" i="6"/>
  <c r="V99" i="6" s="1"/>
  <c r="AE98" i="6"/>
  <c r="N98" i="6" s="1"/>
  <c r="H100" i="6"/>
  <c r="AH100" i="6"/>
  <c r="O100" i="6" s="1"/>
  <c r="R100" i="6"/>
  <c r="P100" i="6" s="1"/>
  <c r="AF99" i="6" l="1"/>
  <c r="I100" i="6"/>
  <c r="AA100" i="6"/>
  <c r="AB100" i="6" s="1"/>
  <c r="W100" i="6"/>
  <c r="X100" i="6" s="1"/>
  <c r="U100" i="6"/>
  <c r="V100" i="6" s="1"/>
  <c r="AC100" i="6"/>
  <c r="AD100" i="6" s="1"/>
  <c r="Y100" i="6"/>
  <c r="Z100" i="6" s="1"/>
  <c r="S100" i="6"/>
  <c r="T100" i="6" s="1"/>
  <c r="AE99" i="6"/>
  <c r="N99" i="6" s="1"/>
  <c r="H101" i="6"/>
  <c r="AH101" i="6"/>
  <c r="O101" i="6" s="1"/>
  <c r="R101" i="6"/>
  <c r="P101" i="6" s="1"/>
  <c r="AF100" i="6" l="1"/>
  <c r="I101" i="6"/>
  <c r="AA101" i="6"/>
  <c r="AB101" i="6" s="1"/>
  <c r="W101" i="6"/>
  <c r="X101" i="6" s="1"/>
  <c r="AC101" i="6"/>
  <c r="AD101" i="6" s="1"/>
  <c r="Y101" i="6"/>
  <c r="Z101" i="6" s="1"/>
  <c r="S101" i="6"/>
  <c r="T101" i="6" s="1"/>
  <c r="U101" i="6"/>
  <c r="V101" i="6" s="1"/>
  <c r="AE100" i="6"/>
  <c r="N100" i="6" s="1"/>
  <c r="H102" i="6"/>
  <c r="R102" i="6"/>
  <c r="P102" i="6" s="1"/>
  <c r="AH102" i="6"/>
  <c r="O102" i="6" s="1"/>
  <c r="AF101" i="6" l="1"/>
  <c r="I102" i="6"/>
  <c r="AA102" i="6"/>
  <c r="AB102" i="6" s="1"/>
  <c r="W102" i="6"/>
  <c r="X102" i="6" s="1"/>
  <c r="AC102" i="6"/>
  <c r="AD102" i="6" s="1"/>
  <c r="Y102" i="6"/>
  <c r="Z102" i="6" s="1"/>
  <c r="S102" i="6"/>
  <c r="T102" i="6" s="1"/>
  <c r="U102" i="6"/>
  <c r="V102" i="6" s="1"/>
  <c r="AE101" i="6"/>
  <c r="N101" i="6" s="1"/>
  <c r="H103" i="6"/>
  <c r="R103" i="6"/>
  <c r="P103" i="6" s="1"/>
  <c r="AH103" i="6"/>
  <c r="O103" i="6" s="1"/>
  <c r="AF102" i="6" l="1"/>
  <c r="I103" i="6"/>
  <c r="S103" i="6"/>
  <c r="T103" i="6" s="1"/>
  <c r="U103" i="6"/>
  <c r="V103" i="6" s="1"/>
  <c r="Y103" i="6"/>
  <c r="Z103" i="6" s="1"/>
  <c r="AC103" i="6"/>
  <c r="AD103" i="6" s="1"/>
  <c r="AA103" i="6"/>
  <c r="AB103" i="6" s="1"/>
  <c r="W103" i="6"/>
  <c r="X103" i="6" s="1"/>
  <c r="AE102" i="6"/>
  <c r="N102" i="6" s="1"/>
  <c r="H104" i="6"/>
  <c r="AH104" i="6"/>
  <c r="O104" i="6" s="1"/>
  <c r="R104" i="6"/>
  <c r="P104" i="6" s="1"/>
  <c r="AF103" i="6" l="1"/>
  <c r="I104" i="6"/>
  <c r="W104" i="6"/>
  <c r="X104" i="6" s="1"/>
  <c r="S104" i="6"/>
  <c r="T104" i="6" s="1"/>
  <c r="U104" i="6"/>
  <c r="V104" i="6" s="1"/>
  <c r="Y104" i="6"/>
  <c r="Z104" i="6" s="1"/>
  <c r="AA104" i="6"/>
  <c r="AB104" i="6" s="1"/>
  <c r="AC104" i="6"/>
  <c r="AD104" i="6" s="1"/>
  <c r="AE103" i="6"/>
  <c r="N103" i="6" s="1"/>
  <c r="H105" i="6"/>
  <c r="R105" i="6"/>
  <c r="P105" i="6" s="1"/>
  <c r="AH105" i="6"/>
  <c r="O105" i="6" s="1"/>
  <c r="AF104" i="6" l="1"/>
  <c r="I105" i="6"/>
  <c r="W105" i="6"/>
  <c r="X105" i="6" s="1"/>
  <c r="S105" i="6"/>
  <c r="T105" i="6" s="1"/>
  <c r="AA105" i="6"/>
  <c r="AB105" i="6" s="1"/>
  <c r="AC105" i="6"/>
  <c r="AD105" i="6" s="1"/>
  <c r="Y105" i="6"/>
  <c r="Z105" i="6" s="1"/>
  <c r="U105" i="6"/>
  <c r="V105" i="6" s="1"/>
  <c r="AE104" i="6"/>
  <c r="N104" i="6" s="1"/>
  <c r="H106" i="6"/>
  <c r="R106" i="6"/>
  <c r="P106" i="6" s="1"/>
  <c r="AH106" i="6"/>
  <c r="O106" i="6" s="1"/>
  <c r="AF105" i="6" l="1"/>
  <c r="I106" i="6"/>
  <c r="Y106" i="6"/>
  <c r="Z106" i="6" s="1"/>
  <c r="AA106" i="6"/>
  <c r="AB106" i="6" s="1"/>
  <c r="AC106" i="6"/>
  <c r="AD106" i="6" s="1"/>
  <c r="W106" i="6"/>
  <c r="X106" i="6" s="1"/>
  <c r="U106" i="6"/>
  <c r="V106" i="6" s="1"/>
  <c r="S106" i="6"/>
  <c r="T106" i="6" s="1"/>
  <c r="AE105" i="6"/>
  <c r="N105" i="6" s="1"/>
  <c r="H107" i="6"/>
  <c r="AH107" i="6"/>
  <c r="O107" i="6" s="1"/>
  <c r="R107" i="6"/>
  <c r="P107" i="6" s="1"/>
  <c r="AF106" i="6" l="1"/>
  <c r="I107" i="6"/>
  <c r="S107" i="6"/>
  <c r="T107" i="6" s="1"/>
  <c r="AA107" i="6"/>
  <c r="AB107" i="6" s="1"/>
  <c r="AC107" i="6"/>
  <c r="AD107" i="6" s="1"/>
  <c r="Y107" i="6"/>
  <c r="Z107" i="6" s="1"/>
  <c r="W107" i="6"/>
  <c r="X107" i="6" s="1"/>
  <c r="U107" i="6"/>
  <c r="V107" i="6" s="1"/>
  <c r="AE106" i="6"/>
  <c r="N106" i="6" s="1"/>
  <c r="H108" i="6"/>
  <c r="AH108" i="6"/>
  <c r="O108" i="6" s="1"/>
  <c r="R108" i="6"/>
  <c r="P108" i="6" s="1"/>
  <c r="AF107" i="6" l="1"/>
  <c r="I108" i="6"/>
  <c r="S108" i="6"/>
  <c r="T108" i="6" s="1"/>
  <c r="AC108" i="6"/>
  <c r="AD108" i="6" s="1"/>
  <c r="AA108" i="6"/>
  <c r="AB108" i="6" s="1"/>
  <c r="Y108" i="6"/>
  <c r="Z108" i="6" s="1"/>
  <c r="W108" i="6"/>
  <c r="X108" i="6" s="1"/>
  <c r="U108" i="6"/>
  <c r="V108" i="6" s="1"/>
  <c r="AE107" i="6"/>
  <c r="N107" i="6" s="1"/>
  <c r="H109" i="6"/>
  <c r="AH109" i="6"/>
  <c r="O109" i="6" s="1"/>
  <c r="R109" i="6"/>
  <c r="P109" i="6" s="1"/>
  <c r="AF108" i="6" l="1"/>
  <c r="I109" i="6"/>
  <c r="W109" i="6"/>
  <c r="X109" i="6" s="1"/>
  <c r="AC109" i="6"/>
  <c r="AD109" i="6" s="1"/>
  <c r="Y109" i="6"/>
  <c r="Z109" i="6" s="1"/>
  <c r="AA109" i="6"/>
  <c r="AB109" i="6" s="1"/>
  <c r="S109" i="6"/>
  <c r="T109" i="6" s="1"/>
  <c r="U109" i="6"/>
  <c r="V109" i="6" s="1"/>
  <c r="AE108" i="6"/>
  <c r="N108" i="6" s="1"/>
  <c r="H110" i="6"/>
  <c r="R110" i="6"/>
  <c r="P110" i="6" s="1"/>
  <c r="AH110" i="6"/>
  <c r="O110" i="6" s="1"/>
  <c r="AF109" i="6" l="1"/>
  <c r="I110" i="6"/>
  <c r="U110" i="6"/>
  <c r="V110" i="6" s="1"/>
  <c r="Y110" i="6"/>
  <c r="Z110" i="6" s="1"/>
  <c r="S110" i="6"/>
  <c r="T110" i="6" s="1"/>
  <c r="AA110" i="6"/>
  <c r="AB110" i="6" s="1"/>
  <c r="AC110" i="6"/>
  <c r="AD110" i="6" s="1"/>
  <c r="W110" i="6"/>
  <c r="X110" i="6" s="1"/>
  <c r="AE109" i="6"/>
  <c r="N109" i="6" s="1"/>
  <c r="H111" i="6"/>
  <c r="R111" i="6"/>
  <c r="P111" i="6" s="1"/>
  <c r="AH111" i="6"/>
  <c r="O111" i="6" s="1"/>
  <c r="AF110" i="6" l="1"/>
  <c r="I111" i="6"/>
  <c r="W111" i="6"/>
  <c r="X111" i="6" s="1"/>
  <c r="AA111" i="6"/>
  <c r="AB111" i="6" s="1"/>
  <c r="AC111" i="6"/>
  <c r="AD111" i="6" s="1"/>
  <c r="Y111" i="6"/>
  <c r="Z111" i="6" s="1"/>
  <c r="S111" i="6"/>
  <c r="T111" i="6" s="1"/>
  <c r="U111" i="6"/>
  <c r="V111" i="6" s="1"/>
  <c r="AE110" i="6"/>
  <c r="N110" i="6" s="1"/>
  <c r="H112" i="6"/>
  <c r="AH112" i="6"/>
  <c r="O112" i="6" s="1"/>
  <c r="R112" i="6"/>
  <c r="P112" i="6" s="1"/>
  <c r="AF111" i="6" l="1"/>
  <c r="I112" i="6"/>
  <c r="AC112" i="6"/>
  <c r="AD112" i="6" s="1"/>
  <c r="Y112" i="6"/>
  <c r="Z112" i="6" s="1"/>
  <c r="S112" i="6"/>
  <c r="T112" i="6" s="1"/>
  <c r="AA112" i="6"/>
  <c r="AB112" i="6" s="1"/>
  <c r="W112" i="6"/>
  <c r="X112" i="6" s="1"/>
  <c r="U112" i="6"/>
  <c r="V112" i="6" s="1"/>
  <c r="AE111" i="6"/>
  <c r="N111" i="6" s="1"/>
  <c r="H113" i="6"/>
  <c r="R113" i="6"/>
  <c r="P113" i="6" s="1"/>
  <c r="AH113" i="6"/>
  <c r="O113" i="6" s="1"/>
  <c r="AF112" i="6" l="1"/>
  <c r="I113" i="6"/>
  <c r="AC113" i="6"/>
  <c r="AD113" i="6" s="1"/>
  <c r="W113" i="6"/>
  <c r="X113" i="6" s="1"/>
  <c r="Y113" i="6"/>
  <c r="Z113" i="6" s="1"/>
  <c r="AA113" i="6"/>
  <c r="AB113" i="6" s="1"/>
  <c r="U113" i="6"/>
  <c r="V113" i="6" s="1"/>
  <c r="S113" i="6"/>
  <c r="T113" i="6" s="1"/>
  <c r="AE112" i="6"/>
  <c r="N112" i="6" s="1"/>
  <c r="H114" i="6"/>
  <c r="AH114" i="6"/>
  <c r="O114" i="6" s="1"/>
  <c r="R114" i="6"/>
  <c r="P114" i="6" s="1"/>
  <c r="AF113" i="6" l="1"/>
  <c r="I114" i="6"/>
  <c r="Y114" i="6"/>
  <c r="Z114" i="6" s="1"/>
  <c r="AC114" i="6"/>
  <c r="AD114" i="6" s="1"/>
  <c r="S114" i="6"/>
  <c r="T114" i="6" s="1"/>
  <c r="AA114" i="6"/>
  <c r="AB114" i="6" s="1"/>
  <c r="W114" i="6"/>
  <c r="X114" i="6" s="1"/>
  <c r="U114" i="6"/>
  <c r="V114" i="6" s="1"/>
  <c r="AE113" i="6"/>
  <c r="N113" i="6" s="1"/>
  <c r="H115" i="6"/>
  <c r="R115" i="6"/>
  <c r="P115" i="6" s="1"/>
  <c r="AH115" i="6"/>
  <c r="O115" i="6" s="1"/>
  <c r="AF114" i="6" l="1"/>
  <c r="I115" i="6"/>
  <c r="AC115" i="6"/>
  <c r="AD115" i="6" s="1"/>
  <c r="Y115" i="6"/>
  <c r="Z115" i="6" s="1"/>
  <c r="S115" i="6"/>
  <c r="T115" i="6" s="1"/>
  <c r="U115" i="6"/>
  <c r="V115" i="6" s="1"/>
  <c r="W115" i="6"/>
  <c r="X115" i="6" s="1"/>
  <c r="AA115" i="6"/>
  <c r="AB115" i="6" s="1"/>
  <c r="AE114" i="6"/>
  <c r="N114" i="6" s="1"/>
  <c r="H116" i="6"/>
  <c r="R116" i="6"/>
  <c r="P116" i="6" s="1"/>
  <c r="AH116" i="6"/>
  <c r="O116" i="6" s="1"/>
  <c r="AF115" i="6" l="1"/>
  <c r="I116" i="6"/>
  <c r="AA116" i="6"/>
  <c r="AB116" i="6" s="1"/>
  <c r="AC116" i="6"/>
  <c r="AD116" i="6" s="1"/>
  <c r="Y116" i="6"/>
  <c r="Z116" i="6" s="1"/>
  <c r="W116" i="6"/>
  <c r="X116" i="6" s="1"/>
  <c r="U116" i="6"/>
  <c r="V116" i="6" s="1"/>
  <c r="S116" i="6"/>
  <c r="T116" i="6" s="1"/>
  <c r="AE115" i="6"/>
  <c r="N115" i="6" s="1"/>
  <c r="H117" i="6"/>
  <c r="AH117" i="6"/>
  <c r="O117" i="6" s="1"/>
  <c r="R117" i="6"/>
  <c r="P117" i="6" s="1"/>
  <c r="AF116" i="6" l="1"/>
  <c r="I117" i="6"/>
  <c r="AA117" i="6"/>
  <c r="AB117" i="6" s="1"/>
  <c r="AC117" i="6"/>
  <c r="AD117" i="6" s="1"/>
  <c r="Y117" i="6"/>
  <c r="Z117" i="6" s="1"/>
  <c r="S117" i="6"/>
  <c r="T117" i="6" s="1"/>
  <c r="W117" i="6"/>
  <c r="X117" i="6" s="1"/>
  <c r="U117" i="6"/>
  <c r="V117" i="6" s="1"/>
  <c r="AE116" i="6"/>
  <c r="N116" i="6" s="1"/>
  <c r="H118" i="6"/>
  <c r="AH118" i="6"/>
  <c r="O118" i="6" s="1"/>
  <c r="R118" i="6"/>
  <c r="P118" i="6" s="1"/>
  <c r="AF117" i="6" l="1"/>
  <c r="I118" i="6"/>
  <c r="AA118" i="6"/>
  <c r="AB118" i="6" s="1"/>
  <c r="AC118" i="6"/>
  <c r="AD118" i="6" s="1"/>
  <c r="Y118" i="6"/>
  <c r="Z118" i="6" s="1"/>
  <c r="S118" i="6"/>
  <c r="T118" i="6" s="1"/>
  <c r="W118" i="6"/>
  <c r="X118" i="6" s="1"/>
  <c r="U118" i="6"/>
  <c r="V118" i="6" s="1"/>
  <c r="AE117" i="6"/>
  <c r="N117" i="6" s="1"/>
  <c r="H119" i="6"/>
  <c r="AH119" i="6"/>
  <c r="O119" i="6" s="1"/>
  <c r="R119" i="6"/>
  <c r="P119" i="6" s="1"/>
  <c r="AF118" i="6" l="1"/>
  <c r="I119" i="6"/>
  <c r="AA119" i="6"/>
  <c r="AB119" i="6" s="1"/>
  <c r="W119" i="6"/>
  <c r="X119" i="6" s="1"/>
  <c r="AC119" i="6"/>
  <c r="AD119" i="6" s="1"/>
  <c r="Y119" i="6"/>
  <c r="Z119" i="6" s="1"/>
  <c r="U119" i="6"/>
  <c r="V119" i="6" s="1"/>
  <c r="S119" i="6"/>
  <c r="T119" i="6" s="1"/>
  <c r="AE118" i="6"/>
  <c r="N118" i="6" s="1"/>
  <c r="H120" i="6"/>
  <c r="AH120" i="6"/>
  <c r="O120" i="6" s="1"/>
  <c r="R120" i="6"/>
  <c r="P120" i="6" s="1"/>
  <c r="AF119" i="6" l="1"/>
  <c r="I120" i="6"/>
  <c r="AC120" i="6"/>
  <c r="AD120" i="6" s="1"/>
  <c r="Y120" i="6"/>
  <c r="Z120" i="6" s="1"/>
  <c r="W120" i="6"/>
  <c r="X120" i="6" s="1"/>
  <c r="S120" i="6"/>
  <c r="T120" i="6" s="1"/>
  <c r="U120" i="6"/>
  <c r="V120" i="6" s="1"/>
  <c r="AA120" i="6"/>
  <c r="AB120" i="6" s="1"/>
  <c r="AE119" i="6"/>
  <c r="N119" i="6" s="1"/>
  <c r="H121" i="6"/>
  <c r="R121" i="6"/>
  <c r="P121" i="6" s="1"/>
  <c r="AH121" i="6"/>
  <c r="O121" i="6" s="1"/>
  <c r="AF120" i="6" l="1"/>
  <c r="I121" i="6"/>
  <c r="Y121" i="6"/>
  <c r="Z121" i="6" s="1"/>
  <c r="AA121" i="6"/>
  <c r="AB121" i="6" s="1"/>
  <c r="AC121" i="6"/>
  <c r="AD121" i="6" s="1"/>
  <c r="U121" i="6"/>
  <c r="V121" i="6" s="1"/>
  <c r="W121" i="6"/>
  <c r="X121" i="6" s="1"/>
  <c r="S121" i="6"/>
  <c r="T121" i="6" s="1"/>
  <c r="AE120" i="6"/>
  <c r="N120" i="6" s="1"/>
  <c r="H122" i="6"/>
  <c r="AH122" i="6"/>
  <c r="O122" i="6" s="1"/>
  <c r="R122" i="6"/>
  <c r="P122" i="6" s="1"/>
  <c r="AF121" i="6" l="1"/>
  <c r="I122" i="6"/>
  <c r="AC122" i="6"/>
  <c r="AD122" i="6" s="1"/>
  <c r="Y122" i="6"/>
  <c r="Z122" i="6" s="1"/>
  <c r="AA122" i="6"/>
  <c r="AB122" i="6" s="1"/>
  <c r="U122" i="6"/>
  <c r="V122" i="6" s="1"/>
  <c r="S122" i="6"/>
  <c r="T122" i="6" s="1"/>
  <c r="W122" i="6"/>
  <c r="X122" i="6" s="1"/>
  <c r="AE121" i="6"/>
  <c r="N121" i="6" s="1"/>
  <c r="H123" i="6"/>
  <c r="AH123" i="6"/>
  <c r="O123" i="6" s="1"/>
  <c r="R123" i="6"/>
  <c r="P123" i="6" s="1"/>
  <c r="AF122" i="6" l="1"/>
  <c r="I123" i="6"/>
  <c r="W123" i="6"/>
  <c r="X123" i="6" s="1"/>
  <c r="S123" i="6"/>
  <c r="T123" i="6" s="1"/>
  <c r="AC123" i="6"/>
  <c r="AD123" i="6" s="1"/>
  <c r="Y123" i="6"/>
  <c r="Z123" i="6" s="1"/>
  <c r="AA123" i="6"/>
  <c r="AB123" i="6" s="1"/>
  <c r="U123" i="6"/>
  <c r="V123" i="6" s="1"/>
  <c r="AE122" i="6"/>
  <c r="N122" i="6" s="1"/>
  <c r="H124" i="6"/>
  <c r="R124" i="6"/>
  <c r="P124" i="6" s="1"/>
  <c r="AH124" i="6"/>
  <c r="O124" i="6" s="1"/>
  <c r="AF123" i="6" l="1"/>
  <c r="I124" i="6"/>
  <c r="W124" i="6"/>
  <c r="X124" i="6" s="1"/>
  <c r="AA124" i="6"/>
  <c r="AB124" i="6" s="1"/>
  <c r="AC124" i="6"/>
  <c r="AD124" i="6" s="1"/>
  <c r="S124" i="6"/>
  <c r="T124" i="6" s="1"/>
  <c r="Y124" i="6"/>
  <c r="Z124" i="6" s="1"/>
  <c r="U124" i="6"/>
  <c r="V124" i="6" s="1"/>
  <c r="AE123" i="6"/>
  <c r="N123" i="6" s="1"/>
  <c r="H125" i="6"/>
  <c r="AH125" i="6"/>
  <c r="O125" i="6" s="1"/>
  <c r="R125" i="6"/>
  <c r="P125" i="6" s="1"/>
  <c r="AF124" i="6" l="1"/>
  <c r="I125" i="6"/>
  <c r="W125" i="6"/>
  <c r="X125" i="6" s="1"/>
  <c r="U125" i="6"/>
  <c r="V125" i="6" s="1"/>
  <c r="AA125" i="6"/>
  <c r="AB125" i="6" s="1"/>
  <c r="AC125" i="6"/>
  <c r="AD125" i="6" s="1"/>
  <c r="Y125" i="6"/>
  <c r="Z125" i="6" s="1"/>
  <c r="S125" i="6"/>
  <c r="T125" i="6" s="1"/>
  <c r="AE124" i="6"/>
  <c r="N124" i="6" s="1"/>
  <c r="H126" i="6"/>
  <c r="AH126" i="6"/>
  <c r="O126" i="6" s="1"/>
  <c r="R126" i="6"/>
  <c r="P126" i="6" s="1"/>
  <c r="AF125" i="6" l="1"/>
  <c r="I126" i="6"/>
  <c r="U126" i="6"/>
  <c r="V126" i="6" s="1"/>
  <c r="AA126" i="6"/>
  <c r="AB126" i="6" s="1"/>
  <c r="AC126" i="6"/>
  <c r="AD126" i="6" s="1"/>
  <c r="S126" i="6"/>
  <c r="T126" i="6" s="1"/>
  <c r="Y126" i="6"/>
  <c r="Z126" i="6" s="1"/>
  <c r="W126" i="6"/>
  <c r="X126" i="6" s="1"/>
  <c r="AE125" i="6"/>
  <c r="N125" i="6" s="1"/>
  <c r="H127" i="6"/>
  <c r="AH127" i="6"/>
  <c r="O127" i="6" s="1"/>
  <c r="R127" i="6"/>
  <c r="P127" i="6" s="1"/>
  <c r="AF126" i="6" l="1"/>
  <c r="I127" i="6"/>
  <c r="Y127" i="6"/>
  <c r="Z127" i="6" s="1"/>
  <c r="S127" i="6"/>
  <c r="T127" i="6" s="1"/>
  <c r="U127" i="6"/>
  <c r="V127" i="6" s="1"/>
  <c r="AA127" i="6"/>
  <c r="AB127" i="6" s="1"/>
  <c r="W127" i="6"/>
  <c r="X127" i="6" s="1"/>
  <c r="AC127" i="6"/>
  <c r="AD127" i="6" s="1"/>
  <c r="AE126" i="6"/>
  <c r="N126" i="6" s="1"/>
  <c r="H128" i="6"/>
  <c r="AH128" i="6"/>
  <c r="O128" i="6" s="1"/>
  <c r="R128" i="6"/>
  <c r="P128" i="6" s="1"/>
  <c r="AF127" i="6" l="1"/>
  <c r="I128" i="6"/>
  <c r="U128" i="6"/>
  <c r="V128" i="6" s="1"/>
  <c r="AA128" i="6"/>
  <c r="AB128" i="6" s="1"/>
  <c r="AC128" i="6"/>
  <c r="AD128" i="6" s="1"/>
  <c r="Y128" i="6"/>
  <c r="Z128" i="6" s="1"/>
  <c r="W128" i="6"/>
  <c r="X128" i="6" s="1"/>
  <c r="S128" i="6"/>
  <c r="T128" i="6" s="1"/>
  <c r="AE127" i="6"/>
  <c r="N127" i="6" s="1"/>
  <c r="H129" i="6"/>
  <c r="R129" i="6"/>
  <c r="P129" i="6" s="1"/>
  <c r="AH129" i="6"/>
  <c r="O129" i="6" s="1"/>
  <c r="AF128" i="6" l="1"/>
  <c r="I129" i="6"/>
  <c r="W129" i="6"/>
  <c r="X129" i="6" s="1"/>
  <c r="S129" i="6"/>
  <c r="T129" i="6" s="1"/>
  <c r="AC129" i="6"/>
  <c r="AD129" i="6" s="1"/>
  <c r="Y129" i="6"/>
  <c r="Z129" i="6" s="1"/>
  <c r="AA129" i="6"/>
  <c r="AB129" i="6" s="1"/>
  <c r="U129" i="6"/>
  <c r="V129" i="6" s="1"/>
  <c r="AE128" i="6"/>
  <c r="N128" i="6" s="1"/>
  <c r="H130" i="6"/>
  <c r="R130" i="6"/>
  <c r="P130" i="6" s="1"/>
  <c r="AH130" i="6"/>
  <c r="O130" i="6" s="1"/>
  <c r="AF129" i="6" l="1"/>
  <c r="I130" i="6"/>
  <c r="W130" i="6"/>
  <c r="X130" i="6" s="1"/>
  <c r="S130" i="6"/>
  <c r="T130" i="6" s="1"/>
  <c r="AC130" i="6"/>
  <c r="AD130" i="6" s="1"/>
  <c r="Y130" i="6"/>
  <c r="Z130" i="6" s="1"/>
  <c r="AA130" i="6"/>
  <c r="AB130" i="6" s="1"/>
  <c r="U130" i="6"/>
  <c r="V130" i="6" s="1"/>
  <c r="AE129" i="6"/>
  <c r="N129" i="6" s="1"/>
  <c r="R131" i="6"/>
  <c r="P131" i="6" s="1"/>
  <c r="AH131" i="6"/>
  <c r="O131" i="6" s="1"/>
  <c r="AF130" i="6" l="1"/>
  <c r="AE130" i="6"/>
  <c r="N130" i="6" s="1"/>
  <c r="T131" i="6"/>
  <c r="AB131" i="6"/>
  <c r="AD131" i="6"/>
  <c r="V131" i="6"/>
  <c r="X131" i="6"/>
  <c r="Z131" i="6"/>
  <c r="AH132" i="6"/>
  <c r="O132" i="6" s="1"/>
  <c r="R132" i="6"/>
  <c r="P132" i="6" s="1"/>
  <c r="AF131" i="6" l="1"/>
  <c r="AE131" i="6"/>
  <c r="N131" i="6" s="1"/>
  <c r="V132" i="6"/>
  <c r="Z132" i="6"/>
  <c r="AD132" i="6"/>
  <c r="AB132" i="6"/>
  <c r="T132" i="6"/>
  <c r="X132" i="6"/>
  <c r="AH133" i="6"/>
  <c r="O133" i="6" s="1"/>
  <c r="R133" i="6"/>
  <c r="P133" i="6" s="1"/>
  <c r="AF132" i="6" l="1"/>
  <c r="AE132" i="6"/>
  <c r="N132" i="6" s="1"/>
  <c r="AD133" i="6"/>
  <c r="X133" i="6"/>
  <c r="T133" i="6"/>
  <c r="Z133" i="6"/>
  <c r="AB133" i="6"/>
  <c r="V133" i="6"/>
  <c r="AH134" i="6"/>
  <c r="O134" i="6" s="1"/>
  <c r="R134" i="6"/>
  <c r="P134" i="6" s="1"/>
  <c r="AF133" i="6" l="1"/>
  <c r="AE133" i="6"/>
  <c r="N133" i="6" s="1"/>
  <c r="X134" i="6"/>
  <c r="AD134" i="6"/>
  <c r="T134" i="6"/>
  <c r="Z134" i="6"/>
  <c r="AB134" i="6"/>
  <c r="V134" i="6"/>
  <c r="AH135" i="6"/>
  <c r="O135" i="6" s="1"/>
  <c r="R135" i="6"/>
  <c r="P135" i="6" s="1"/>
  <c r="AF134" i="6" l="1"/>
  <c r="T135" i="6"/>
  <c r="V135" i="6"/>
  <c r="AD135" i="6"/>
  <c r="AB135" i="6"/>
  <c r="X135" i="6"/>
  <c r="Z135" i="6"/>
  <c r="AE134" i="6"/>
  <c r="N134" i="6" s="1"/>
  <c r="AH136" i="6"/>
  <c r="O136" i="6" s="1"/>
  <c r="R136" i="6"/>
  <c r="P136" i="6" s="1"/>
  <c r="AF135" i="6" l="1"/>
  <c r="AE135" i="6"/>
  <c r="N135" i="6" s="1"/>
  <c r="AB136" i="6"/>
  <c r="T136" i="6"/>
  <c r="Z136" i="6"/>
  <c r="AD136" i="6"/>
  <c r="X136" i="6"/>
  <c r="V136" i="6"/>
  <c r="R137" i="6"/>
  <c r="P137" i="6" s="1"/>
  <c r="AH137" i="6"/>
  <c r="O137" i="6" s="1"/>
  <c r="AF136" i="6" l="1"/>
  <c r="AE136" i="6"/>
  <c r="N136" i="6" s="1"/>
  <c r="AB137" i="6"/>
  <c r="X137" i="6"/>
  <c r="AD137" i="6"/>
  <c r="Z137" i="6"/>
  <c r="V137" i="6"/>
  <c r="T137" i="6"/>
  <c r="R138" i="6"/>
  <c r="P138" i="6" s="1"/>
  <c r="AH138" i="6"/>
  <c r="O138" i="6" s="1"/>
  <c r="AF137" i="6" l="1"/>
  <c r="AE137" i="6"/>
  <c r="N137" i="6" s="1"/>
  <c r="Z138" i="6"/>
  <c r="AB138" i="6"/>
  <c r="X138" i="6"/>
  <c r="V138" i="6"/>
  <c r="T138" i="6"/>
  <c r="AD138" i="6"/>
  <c r="R139" i="6"/>
  <c r="P139" i="6" s="1"/>
  <c r="AH139" i="6"/>
  <c r="O139" i="6" s="1"/>
  <c r="AF138" i="6" l="1"/>
  <c r="AE138" i="6"/>
  <c r="N138" i="6" s="1"/>
  <c r="AB139" i="6"/>
  <c r="T139" i="6"/>
  <c r="V139" i="6"/>
  <c r="AD139" i="6"/>
  <c r="Z139" i="6"/>
  <c r="X139" i="6"/>
  <c r="AH140" i="6"/>
  <c r="O140" i="6" s="1"/>
  <c r="R140" i="6"/>
  <c r="P140" i="6" s="1"/>
  <c r="AF139" i="6" l="1"/>
  <c r="AE139" i="6"/>
  <c r="N139" i="6" s="1"/>
  <c r="V140" i="6"/>
  <c r="X140" i="6"/>
  <c r="AD140" i="6"/>
  <c r="Z140" i="6"/>
  <c r="AB140" i="6"/>
  <c r="T140" i="6"/>
  <c r="AH141" i="6"/>
  <c r="O141" i="6" s="1"/>
  <c r="R141" i="6"/>
  <c r="P141" i="6" s="1"/>
  <c r="AF140" i="6" l="1"/>
  <c r="AE140" i="6"/>
  <c r="N140" i="6" s="1"/>
  <c r="AB141" i="6"/>
  <c r="AD141" i="6"/>
  <c r="X141" i="6"/>
  <c r="T141" i="6"/>
  <c r="V141" i="6"/>
  <c r="Z141" i="6"/>
  <c r="R142" i="6"/>
  <c r="P142" i="6" s="1"/>
  <c r="AH142" i="6"/>
  <c r="O142" i="6" s="1"/>
  <c r="AF141" i="6" l="1"/>
  <c r="AE141" i="6"/>
  <c r="N141" i="6" s="1"/>
  <c r="X142" i="6"/>
  <c r="Z142" i="6"/>
  <c r="AD142" i="6"/>
  <c r="T142" i="6"/>
  <c r="AB142" i="6"/>
  <c r="V142" i="6"/>
  <c r="R143" i="6"/>
  <c r="P143" i="6" s="1"/>
  <c r="AH143" i="6"/>
  <c r="O143" i="6" s="1"/>
  <c r="AF142" i="6" l="1"/>
  <c r="AE142" i="6"/>
  <c r="N142" i="6" s="1"/>
  <c r="Z143" i="6"/>
  <c r="V143" i="6"/>
  <c r="X143" i="6"/>
  <c r="AD143" i="6"/>
  <c r="AB143" i="6"/>
  <c r="T143" i="6"/>
  <c r="AH144" i="6"/>
  <c r="O144" i="6" s="1"/>
  <c r="R144" i="6"/>
  <c r="P144" i="6" s="1"/>
  <c r="AF143" i="6" l="1"/>
  <c r="AE143" i="6"/>
  <c r="N143" i="6" s="1"/>
  <c r="X144" i="6"/>
  <c r="T144" i="6"/>
  <c r="Z144" i="6"/>
  <c r="AB144" i="6"/>
  <c r="V144" i="6"/>
  <c r="AD144" i="6"/>
  <c r="R145" i="6"/>
  <c r="P145" i="6" s="1"/>
  <c r="AH145" i="6"/>
  <c r="O145" i="6" s="1"/>
  <c r="AF144" i="6" l="1"/>
  <c r="AE144" i="6"/>
  <c r="N144" i="6" s="1"/>
  <c r="T145" i="6"/>
  <c r="X145" i="6"/>
  <c r="AB145" i="6"/>
  <c r="AD145" i="6"/>
  <c r="V145" i="6"/>
  <c r="Z145" i="6"/>
  <c r="AH146" i="6"/>
  <c r="O146" i="6" s="1"/>
  <c r="R146" i="6"/>
  <c r="P146" i="6" s="1"/>
  <c r="AF145" i="6" l="1"/>
  <c r="AE145" i="6"/>
  <c r="N145" i="6" s="1"/>
  <c r="AD146" i="6"/>
  <c r="X146" i="6"/>
  <c r="Z146" i="6"/>
  <c r="V146" i="6"/>
  <c r="T146" i="6"/>
  <c r="AB146" i="6"/>
  <c r="R147" i="6"/>
  <c r="P147" i="6" s="1"/>
  <c r="AH147" i="6"/>
  <c r="O147" i="6" s="1"/>
  <c r="AF146" i="6" l="1"/>
  <c r="AE146" i="6"/>
  <c r="N146" i="6" s="1"/>
  <c r="T147" i="6"/>
  <c r="Z147" i="6"/>
  <c r="AD147" i="6"/>
  <c r="AB147" i="6"/>
  <c r="X147" i="6"/>
  <c r="V147" i="6"/>
  <c r="R148" i="6"/>
  <c r="P148" i="6" s="1"/>
  <c r="AH148" i="6"/>
  <c r="O148" i="6" s="1"/>
  <c r="AF147" i="6" l="1"/>
  <c r="AE147" i="6"/>
  <c r="N147" i="6" s="1"/>
  <c r="T148" i="6"/>
  <c r="AB148" i="6"/>
  <c r="V148" i="6"/>
  <c r="AD148" i="6"/>
  <c r="Z148" i="6"/>
  <c r="X148" i="6"/>
  <c r="AH149" i="6"/>
  <c r="O149" i="6" s="1"/>
  <c r="R149" i="6"/>
  <c r="P149" i="6" s="1"/>
  <c r="AF148" i="6" l="1"/>
  <c r="AE148" i="6"/>
  <c r="N148" i="6" s="1"/>
  <c r="AD149" i="6"/>
  <c r="T149" i="6"/>
  <c r="V149" i="6"/>
  <c r="Z149" i="6"/>
  <c r="AB149" i="6"/>
  <c r="X149" i="6"/>
  <c r="AH150" i="6"/>
  <c r="O150" i="6" s="1"/>
  <c r="R150" i="6"/>
  <c r="P150" i="6" s="1"/>
  <c r="AF149" i="6" l="1"/>
  <c r="AE149" i="6"/>
  <c r="N149" i="6" s="1"/>
  <c r="AB150" i="6"/>
  <c r="Z150" i="6"/>
  <c r="V150" i="6"/>
  <c r="AD150" i="6"/>
  <c r="X150" i="6"/>
  <c r="T150" i="6"/>
  <c r="R151" i="6"/>
  <c r="P151" i="6" s="1"/>
  <c r="AH151" i="6"/>
  <c r="O151" i="6" s="1"/>
  <c r="AF150" i="6" l="1"/>
  <c r="AE150" i="6"/>
  <c r="N150" i="6" s="1"/>
  <c r="V151" i="6"/>
  <c r="X151" i="6"/>
  <c r="AB151" i="6"/>
  <c r="T151" i="6"/>
  <c r="AD151" i="6"/>
  <c r="Z151" i="6"/>
  <c r="AH152" i="6"/>
  <c r="O152" i="6" s="1"/>
  <c r="R152" i="6"/>
  <c r="P152" i="6" s="1"/>
  <c r="AF151" i="6" l="1"/>
  <c r="AE151" i="6"/>
  <c r="N151" i="6" s="1"/>
  <c r="X152" i="6"/>
  <c r="T152" i="6"/>
  <c r="AD152" i="6"/>
  <c r="Z152" i="6"/>
  <c r="AB152" i="6"/>
  <c r="V152" i="6"/>
  <c r="R153" i="6"/>
  <c r="P153" i="6" s="1"/>
  <c r="AH153" i="6"/>
  <c r="O153" i="6" s="1"/>
  <c r="AF152" i="6" l="1"/>
  <c r="AE152" i="6"/>
  <c r="N152" i="6" s="1"/>
  <c r="X153" i="6"/>
  <c r="Z153" i="6"/>
  <c r="V153" i="6"/>
  <c r="T153" i="6"/>
  <c r="AB153" i="6"/>
  <c r="AD153" i="6"/>
  <c r="AH154" i="6"/>
  <c r="O154" i="6" s="1"/>
  <c r="R154" i="6"/>
  <c r="P154" i="6" s="1"/>
  <c r="AF153" i="6" l="1"/>
  <c r="AE153" i="6"/>
  <c r="N153" i="6" s="1"/>
  <c r="T154" i="6"/>
  <c r="AB154" i="6"/>
  <c r="AD154" i="6"/>
  <c r="X154" i="6"/>
  <c r="Z154" i="6"/>
  <c r="V154" i="6"/>
  <c r="AH155" i="6"/>
  <c r="O155" i="6" s="1"/>
  <c r="R155" i="6"/>
  <c r="P155" i="6" s="1"/>
  <c r="AF154" i="6" l="1"/>
  <c r="AE154" i="6"/>
  <c r="N154" i="6" s="1"/>
  <c r="AD155" i="6"/>
  <c r="T155" i="6"/>
  <c r="AB155" i="6"/>
  <c r="X155" i="6"/>
  <c r="Z155" i="6"/>
  <c r="V155" i="6"/>
  <c r="R156" i="6"/>
  <c r="P156" i="6" s="1"/>
  <c r="AH156" i="6"/>
  <c r="O156" i="6" s="1"/>
  <c r="AF155" i="6" l="1"/>
  <c r="AE155" i="6"/>
  <c r="N155" i="6" s="1"/>
  <c r="X156" i="6"/>
  <c r="T156" i="6"/>
  <c r="Z156" i="6"/>
  <c r="V156" i="6"/>
  <c r="AB156" i="6"/>
  <c r="AD156" i="6"/>
  <c r="AH157" i="6"/>
  <c r="O157" i="6" s="1"/>
  <c r="R157" i="6"/>
  <c r="P157" i="6" s="1"/>
  <c r="AF156" i="6" l="1"/>
  <c r="AE156" i="6"/>
  <c r="N156" i="6" s="1"/>
  <c r="AD157" i="6"/>
  <c r="Z157" i="6"/>
  <c r="AB157" i="6"/>
  <c r="V157" i="6"/>
  <c r="T157" i="6"/>
  <c r="X157" i="6"/>
  <c r="AH158" i="6"/>
  <c r="O158" i="6" s="1"/>
  <c r="R158" i="6"/>
  <c r="P158" i="6" s="1"/>
  <c r="AF157" i="6" l="1"/>
  <c r="AE157" i="6"/>
  <c r="N157" i="6" s="1"/>
  <c r="X158" i="6"/>
  <c r="T158" i="6"/>
  <c r="AD158" i="6"/>
  <c r="Z158" i="6"/>
  <c r="AB158" i="6"/>
  <c r="V158" i="6"/>
  <c r="AH159" i="6"/>
  <c r="O159" i="6" s="1"/>
  <c r="R159" i="6"/>
  <c r="P159" i="6" s="1"/>
  <c r="AF158" i="6" l="1"/>
  <c r="AE158" i="6"/>
  <c r="N158" i="6" s="1"/>
  <c r="X159" i="6"/>
  <c r="V159" i="6"/>
  <c r="T159" i="6"/>
  <c r="AD159" i="6"/>
  <c r="Z159" i="6"/>
  <c r="AB159" i="6"/>
  <c r="AH160" i="6"/>
  <c r="O160" i="6" s="1"/>
  <c r="R160" i="6"/>
  <c r="P160" i="6" s="1"/>
  <c r="AF159" i="6" l="1"/>
  <c r="AE159" i="6"/>
  <c r="N159" i="6" s="1"/>
  <c r="Z160" i="6"/>
  <c r="AB160" i="6"/>
  <c r="V160" i="6"/>
  <c r="X160" i="6"/>
  <c r="T160" i="6"/>
  <c r="AD160" i="6"/>
  <c r="R161" i="6"/>
  <c r="P161" i="6" s="1"/>
  <c r="AH161" i="6"/>
  <c r="O161" i="6" s="1"/>
  <c r="AF160" i="6" l="1"/>
  <c r="AE160" i="6"/>
  <c r="N160" i="6" s="1"/>
  <c r="AD161" i="6"/>
  <c r="T161" i="6"/>
  <c r="Z161" i="6"/>
  <c r="V161" i="6"/>
  <c r="X161" i="6"/>
  <c r="AB161" i="6"/>
  <c r="AH162" i="6"/>
  <c r="O162" i="6" s="1"/>
  <c r="R162" i="6"/>
  <c r="P162" i="6" s="1"/>
  <c r="AF161" i="6" l="1"/>
  <c r="AE161" i="6"/>
  <c r="N161" i="6" s="1"/>
  <c r="V162" i="6"/>
  <c r="X162" i="6"/>
  <c r="AB162" i="6"/>
  <c r="AD162" i="6"/>
  <c r="Z162" i="6"/>
  <c r="T162" i="6"/>
  <c r="AH163" i="6"/>
  <c r="O163" i="6" s="1"/>
  <c r="R163" i="6"/>
  <c r="P163" i="6" s="1"/>
  <c r="AF162" i="6" l="1"/>
  <c r="AE162" i="6"/>
  <c r="N162" i="6" s="1"/>
  <c r="Z163" i="6"/>
  <c r="V163" i="6"/>
  <c r="T163" i="6"/>
  <c r="AB163" i="6"/>
  <c r="X163" i="6"/>
  <c r="AD163" i="6"/>
  <c r="AH164" i="6"/>
  <c r="O164" i="6" s="1"/>
  <c r="R164" i="6"/>
  <c r="P164" i="6" s="1"/>
  <c r="AF163" i="6" l="1"/>
  <c r="X164" i="6"/>
  <c r="T164" i="6"/>
  <c r="Z164" i="6"/>
  <c r="AD164" i="6"/>
  <c r="V164" i="6"/>
  <c r="AB164" i="6"/>
  <c r="AE163" i="6"/>
  <c r="N163" i="6" s="1"/>
  <c r="AH165" i="6"/>
  <c r="O165" i="6" s="1"/>
  <c r="R165" i="6"/>
  <c r="P165" i="6" s="1"/>
  <c r="AF164" i="6" l="1"/>
  <c r="AE164" i="6"/>
  <c r="N164" i="6" s="1"/>
  <c r="AD165" i="6"/>
  <c r="Z165" i="6"/>
  <c r="AB165" i="6"/>
  <c r="X165" i="6"/>
  <c r="T165" i="6"/>
  <c r="V165" i="6"/>
  <c r="R166" i="6"/>
  <c r="P166" i="6" s="1"/>
  <c r="AH166" i="6"/>
  <c r="O166" i="6" s="1"/>
  <c r="AF165" i="6" l="1"/>
  <c r="AE165" i="6"/>
  <c r="N165" i="6" s="1"/>
  <c r="Z166" i="6"/>
  <c r="X166" i="6"/>
  <c r="T166" i="6"/>
  <c r="V166" i="6"/>
  <c r="AB166" i="6"/>
  <c r="AD166" i="6"/>
  <c r="R167" i="6"/>
  <c r="P167" i="6" s="1"/>
  <c r="AH167" i="6"/>
  <c r="O167" i="6" s="1"/>
  <c r="AF166" i="6" l="1"/>
  <c r="AE166" i="6"/>
  <c r="N166" i="6" s="1"/>
  <c r="Z167" i="6"/>
  <c r="X167" i="6"/>
  <c r="T167" i="6"/>
  <c r="V167" i="6"/>
  <c r="AB167" i="6"/>
  <c r="AD167" i="6"/>
  <c r="AH168" i="6"/>
  <c r="O168" i="6" s="1"/>
  <c r="R168" i="6"/>
  <c r="P168" i="6" s="1"/>
  <c r="AF167" i="6" l="1"/>
  <c r="AE167" i="6"/>
  <c r="N167" i="6" s="1"/>
  <c r="V168" i="6"/>
  <c r="Z168" i="6"/>
  <c r="AD168" i="6"/>
  <c r="AB168" i="6"/>
  <c r="X168" i="6"/>
  <c r="T168" i="6"/>
  <c r="R169" i="6"/>
  <c r="P169" i="6" s="1"/>
  <c r="AH169" i="6"/>
  <c r="O169" i="6" s="1"/>
  <c r="AF168" i="6" l="1"/>
  <c r="AE168" i="6"/>
  <c r="N168" i="6" s="1"/>
  <c r="AD169" i="6"/>
  <c r="Z169" i="6"/>
  <c r="V169" i="6"/>
  <c r="AB169" i="6"/>
  <c r="T169" i="6"/>
  <c r="X169" i="6"/>
  <c r="R170" i="6"/>
  <c r="P170" i="6" s="1"/>
  <c r="AH170" i="6"/>
  <c r="O170" i="6" s="1"/>
  <c r="AF169" i="6" l="1"/>
  <c r="AE169" i="6"/>
  <c r="N169" i="6" s="1"/>
  <c r="X170" i="6"/>
  <c r="AB170" i="6"/>
  <c r="AD170" i="6"/>
  <c r="T170" i="6"/>
  <c r="Z170" i="6"/>
  <c r="V170" i="6"/>
  <c r="AH171" i="6"/>
  <c r="O171" i="6" s="1"/>
  <c r="R171" i="6"/>
  <c r="P171" i="6" s="1"/>
  <c r="AF170" i="6" l="1"/>
  <c r="AE170" i="6"/>
  <c r="N170" i="6" s="1"/>
  <c r="AD171" i="6"/>
  <c r="AB171" i="6"/>
  <c r="X171" i="6"/>
  <c r="T171" i="6"/>
  <c r="Z171" i="6"/>
  <c r="V171" i="6"/>
  <c r="AH172" i="6"/>
  <c r="O172" i="6" s="1"/>
  <c r="R172" i="6"/>
  <c r="P172" i="6" s="1"/>
  <c r="AF171" i="6" l="1"/>
  <c r="AE171" i="6"/>
  <c r="N171" i="6" s="1"/>
  <c r="AD172" i="6"/>
  <c r="AB172" i="6"/>
  <c r="X172" i="6"/>
  <c r="V172" i="6"/>
  <c r="T172" i="6"/>
  <c r="Z172" i="6"/>
  <c r="AH173" i="6"/>
  <c r="O173" i="6" s="1"/>
  <c r="R173" i="6"/>
  <c r="P173" i="6" s="1"/>
  <c r="AF172" i="6" l="1"/>
  <c r="AE172" i="6"/>
  <c r="N172" i="6" s="1"/>
  <c r="AD173" i="6"/>
  <c r="Z173" i="6"/>
  <c r="X173" i="6"/>
  <c r="AB173" i="6"/>
  <c r="T173" i="6"/>
  <c r="V173" i="6"/>
  <c r="R174" i="6"/>
  <c r="P174" i="6" s="1"/>
  <c r="AH174" i="6"/>
  <c r="O174" i="6" s="1"/>
  <c r="AF173" i="6" l="1"/>
  <c r="AE173" i="6"/>
  <c r="N173" i="6" s="1"/>
  <c r="AB174" i="6"/>
  <c r="X174" i="6"/>
  <c r="AD174" i="6"/>
  <c r="T174" i="6"/>
  <c r="V174" i="6"/>
  <c r="Z174" i="6"/>
  <c r="R175" i="6"/>
  <c r="P175" i="6" s="1"/>
  <c r="AH175" i="6"/>
  <c r="O175" i="6" s="1"/>
  <c r="AF174" i="6" l="1"/>
  <c r="AE174" i="6"/>
  <c r="N174" i="6" s="1"/>
  <c r="Z175" i="6"/>
  <c r="X175" i="6"/>
  <c r="T175" i="6"/>
  <c r="V175" i="6"/>
  <c r="AB175" i="6"/>
  <c r="AD175" i="6"/>
  <c r="AH176" i="6"/>
  <c r="O176" i="6" s="1"/>
  <c r="R176" i="6"/>
  <c r="P176" i="6" s="1"/>
  <c r="AF175" i="6" l="1"/>
  <c r="AE175" i="6"/>
  <c r="N175" i="6" s="1"/>
  <c r="AD176" i="6"/>
  <c r="T176" i="6"/>
  <c r="Z176" i="6"/>
  <c r="V176" i="6"/>
  <c r="AB176" i="6"/>
  <c r="X176" i="6"/>
  <c r="R177" i="6"/>
  <c r="P177" i="6" s="1"/>
  <c r="AH177" i="6"/>
  <c r="O177" i="6" s="1"/>
  <c r="AF176" i="6" l="1"/>
  <c r="AE176" i="6"/>
  <c r="N176" i="6" s="1"/>
  <c r="AB177" i="6"/>
  <c r="AD177" i="6"/>
  <c r="T177" i="6"/>
  <c r="Z177" i="6"/>
  <c r="V177" i="6"/>
  <c r="X177" i="6"/>
  <c r="R178" i="6"/>
  <c r="P178" i="6" s="1"/>
  <c r="AH178" i="6"/>
  <c r="O178" i="6" s="1"/>
  <c r="AF177" i="6" l="1"/>
  <c r="AD178" i="6"/>
  <c r="V178" i="6"/>
  <c r="Z178" i="6"/>
  <c r="AB178" i="6"/>
  <c r="T178" i="6"/>
  <c r="X178" i="6"/>
  <c r="AE177" i="6"/>
  <c r="N177" i="6" s="1"/>
  <c r="R179" i="6"/>
  <c r="P179" i="6" s="1"/>
  <c r="AH179" i="6"/>
  <c r="O179" i="6" s="1"/>
  <c r="AF178" i="6" l="1"/>
  <c r="AE178" i="6"/>
  <c r="N178" i="6" s="1"/>
  <c r="AB179" i="6"/>
  <c r="AD179" i="6"/>
  <c r="X179" i="6"/>
  <c r="Z179" i="6"/>
  <c r="T179" i="6"/>
  <c r="V179" i="6"/>
  <c r="R180" i="6"/>
  <c r="P180" i="6" s="1"/>
  <c r="AH180" i="6"/>
  <c r="O180" i="6" s="1"/>
  <c r="AF179" i="6" l="1"/>
  <c r="AE179" i="6"/>
  <c r="N179" i="6" s="1"/>
  <c r="AD180" i="6"/>
  <c r="X180" i="6"/>
  <c r="T180" i="6"/>
  <c r="AB180" i="6"/>
  <c r="V180" i="6"/>
  <c r="Z180" i="6"/>
  <c r="AH181" i="6"/>
  <c r="O181" i="6" s="1"/>
  <c r="R181" i="6"/>
  <c r="P181" i="6" s="1"/>
  <c r="AF180" i="6" l="1"/>
  <c r="AE180" i="6"/>
  <c r="N180" i="6" s="1"/>
  <c r="AB181" i="6"/>
  <c r="X181" i="6"/>
  <c r="V181" i="6"/>
  <c r="AD181" i="6"/>
  <c r="T181" i="6"/>
  <c r="Z181" i="6"/>
  <c r="R182" i="6"/>
  <c r="AJ5" i="2" s="1" a="1"/>
  <c r="AJ5" i="2" s="1"/>
  <c r="AH182" i="6"/>
  <c r="AF181" i="6" l="1"/>
  <c r="AE181" i="6"/>
  <c r="N181" i="6" s="1"/>
  <c r="Z182" i="6"/>
  <c r="AB182" i="6"/>
  <c r="X182" i="6"/>
  <c r="V182" i="6"/>
  <c r="AD182" i="6"/>
  <c r="T182" i="6"/>
  <c r="AM5" i="2" a="1"/>
  <c r="AM5" i="2" s="1"/>
  <c r="AN5" i="2" a="1"/>
  <c r="AN5" i="2" s="1"/>
  <c r="AK5" i="2" a="1"/>
  <c r="AK5" i="2" s="1"/>
  <c r="P182" i="6"/>
  <c r="O182" i="6"/>
  <c r="AF182" i="6" l="1"/>
  <c r="AE182" i="6"/>
  <c r="N182" i="6" s="1"/>
  <c r="AG5" i="2" l="1" a="1"/>
  <c r="AG5" i="2" s="1"/>
  <c r="AH5" i="2" a="1"/>
  <c r="AH5" i="2" s="1"/>
  <c r="AF5" i="2" a="1"/>
  <c r="AF5" i="2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<sst xmlns="http://schemas.openxmlformats.org/spreadsheetml/2006/main" count="337" uniqueCount="148">
  <si>
    <t>Unit</t>
  </si>
  <si>
    <t>VisualId</t>
  </si>
  <si>
    <t>Lot</t>
  </si>
  <si>
    <t>LatoStartWW</t>
  </si>
  <si>
    <t>LotsSeqKey</t>
  </si>
  <si>
    <t>UnitTestingSeqKey</t>
  </si>
  <si>
    <t>TestName</t>
  </si>
  <si>
    <t>TestValue</t>
  </si>
  <si>
    <t>Operation</t>
  </si>
  <si>
    <t>TestNameNumber</t>
  </si>
  <si>
    <t>TestNameWithoutNumeric</t>
  </si>
  <si>
    <t>Units</t>
  </si>
  <si>
    <t>Failing_LLC</t>
  </si>
  <si>
    <t>Failing_Core</t>
  </si>
  <si>
    <t>Compute</t>
  </si>
  <si>
    <t>location</t>
  </si>
  <si>
    <t>corefail</t>
  </si>
  <si>
    <t>llcfail</t>
  </si>
  <si>
    <t>R/C</t>
  </si>
  <si>
    <t>PPV</t>
  </si>
  <si>
    <t>Comments</t>
  </si>
  <si>
    <t>Next Steps</t>
  </si>
  <si>
    <t>SubBucket</t>
  </si>
  <si>
    <t>DpmBucket</t>
  </si>
  <si>
    <t>DecimaSite</t>
  </si>
  <si>
    <t>DecimaWW</t>
  </si>
  <si>
    <t>DecimaBucket</t>
  </si>
  <si>
    <t>DpmBucketAccuracy</t>
  </si>
  <si>
    <t>ProductConfigurationName</t>
  </si>
  <si>
    <t>Final Bucket Data</t>
  </si>
  <si>
    <t>Failing_CHA</t>
  </si>
  <si>
    <t>chafail</t>
  </si>
  <si>
    <t>CHA_Hitter_Count</t>
  </si>
  <si>
    <t>Core_Hitter_Count</t>
  </si>
  <si>
    <t>LLC_Hitter_Count</t>
  </si>
  <si>
    <t>This Sheet is for miscelanous calculations, avoid modifying it unless necessary as it might end up giving wrong data analysis if not managed carefully.</t>
  </si>
  <si>
    <t>Top Failing Core(s)</t>
  </si>
  <si>
    <t>TopFailing LLC</t>
  </si>
  <si>
    <t>BinDesc</t>
  </si>
  <si>
    <t>FAILS</t>
  </si>
  <si>
    <t>LLC</t>
  </si>
  <si>
    <t>CHA</t>
  </si>
  <si>
    <t>Accuracy</t>
  </si>
  <si>
    <t>WW</t>
  </si>
  <si>
    <t>NextSteps</t>
  </si>
  <si>
    <t>PPVRun_MC</t>
  </si>
  <si>
    <t>Bin</t>
  </si>
  <si>
    <t>Bucket</t>
  </si>
  <si>
    <t>All</t>
  </si>
  <si>
    <t>Postcodes</t>
  </si>
  <si>
    <t>Core_FAILS</t>
  </si>
  <si>
    <t>Name</t>
  </si>
  <si>
    <t>fail</t>
  </si>
  <si>
    <t>MEMMS_MCA_String</t>
  </si>
  <si>
    <t>MEMSS_Hitter_Count</t>
  </si>
  <si>
    <t>MEM</t>
  </si>
  <si>
    <t>S3M</t>
  </si>
  <si>
    <t>PUNIT</t>
  </si>
  <si>
    <t>type</t>
  </si>
  <si>
    <t>MCA_String</t>
  </si>
  <si>
    <t>Counter</t>
  </si>
  <si>
    <t>io0</t>
  </si>
  <si>
    <t>io1</t>
  </si>
  <si>
    <t>cdie0</t>
  </si>
  <si>
    <t>cdie1</t>
  </si>
  <si>
    <t>cdie2</t>
  </si>
  <si>
    <t>Punit</t>
  </si>
  <si>
    <t>Other</t>
  </si>
  <si>
    <t>MEMORY</t>
  </si>
  <si>
    <t>Fail(s)</t>
  </si>
  <si>
    <t>Type(s)</t>
  </si>
  <si>
    <t>char</t>
  </si>
  <si>
    <t>Data Format</t>
  </si>
  <si>
    <t>DPMB</t>
  </si>
  <si>
    <t>Formats</t>
  </si>
  <si>
    <t>REGISTERS</t>
  </si>
  <si>
    <t>Show Top</t>
  </si>
  <si>
    <t>ShowTop</t>
  </si>
  <si>
    <t>MODULE</t>
  </si>
  <si>
    <t>Module</t>
  </si>
  <si>
    <t>Module Format</t>
  </si>
  <si>
    <t>PHY</t>
  </si>
  <si>
    <t>LOG</t>
  </si>
  <si>
    <t>Module_log</t>
  </si>
  <si>
    <t>D2D</t>
  </si>
  <si>
    <t>XB</t>
  </si>
  <si>
    <t>TOP</t>
  </si>
  <si>
    <t>BASE</t>
  </si>
  <si>
    <t>CLUSTER (CBO)</t>
  </si>
  <si>
    <t>CBB</t>
  </si>
  <si>
    <t>COMPUTE</t>
  </si>
  <si>
    <t>CBO</t>
  </si>
  <si>
    <t>Top Failing CBO(s)</t>
  </si>
  <si>
    <t>LLC (N/A)</t>
  </si>
  <si>
    <t>LOG = PHY</t>
  </si>
  <si>
    <t>ENV</t>
  </si>
  <si>
    <t>CBO_MCA_String</t>
  </si>
  <si>
    <t>IFU_MCA_String</t>
  </si>
  <si>
    <t>Core_IFU_Count</t>
  </si>
  <si>
    <t>ROB_MCA_String</t>
  </si>
  <si>
    <t>DCU_MCA_String</t>
  </si>
  <si>
    <t>Core_ROB_Count</t>
  </si>
  <si>
    <t>Core_DCU_Count</t>
  </si>
  <si>
    <t>CORE_DTLB_String</t>
  </si>
  <si>
    <t>Core_DTLB_Count</t>
  </si>
  <si>
    <t>Core_ML2_String</t>
  </si>
  <si>
    <t>Core_ML2_Count</t>
  </si>
  <si>
    <t>Core_L2_String - SPARE</t>
  </si>
  <si>
    <t>Core_L2_Count - SPARE</t>
  </si>
  <si>
    <t>LLC_MCA_String - Not Used</t>
  </si>
  <si>
    <t>WIP</t>
  </si>
  <si>
    <t>D5R858J700147</t>
  </si>
  <si>
    <t>ROW</t>
  </si>
  <si>
    <t>XB:</t>
  </si>
  <si>
    <t>CrossBar</t>
  </si>
  <si>
    <t>CBB:</t>
  </si>
  <si>
    <t>Core Building Block</t>
  </si>
  <si>
    <t>D2D:</t>
  </si>
  <si>
    <t>Die-to-Die Interconnect</t>
  </si>
  <si>
    <t>DCM (CORE)</t>
  </si>
  <si>
    <t>Cluster/Module for TOP and Base DIE</t>
  </si>
  <si>
    <t>UXI</t>
  </si>
  <si>
    <t>UXI SWITCH</t>
  </si>
  <si>
    <t>IMH0</t>
  </si>
  <si>
    <t>D2D0</t>
  </si>
  <si>
    <t>D2D2</t>
  </si>
  <si>
    <t>SCA</t>
  </si>
  <si>
    <t>UBOX</t>
  </si>
  <si>
    <t>HIO</t>
  </si>
  <si>
    <t>D2D1</t>
  </si>
  <si>
    <t>D2D3</t>
  </si>
  <si>
    <t>IMH1</t>
  </si>
  <si>
    <t>CH0</t>
  </si>
  <si>
    <t>CH2</t>
  </si>
  <si>
    <t>CH6</t>
  </si>
  <si>
    <t>CH4</t>
  </si>
  <si>
    <t>CH12</t>
  </si>
  <si>
    <t>CH14</t>
  </si>
  <si>
    <t>CH10</t>
  </si>
  <si>
    <t>CH8</t>
  </si>
  <si>
    <t>CH1</t>
  </si>
  <si>
    <t>CH3</t>
  </si>
  <si>
    <t>CH5</t>
  </si>
  <si>
    <t>CH7</t>
  </si>
  <si>
    <t>CH9</t>
  </si>
  <si>
    <t>CH11</t>
  </si>
  <si>
    <t>CH13</t>
  </si>
  <si>
    <t>CH15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</si>
</sst>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sz val="8"/>
      <name val="Aptos Narrow"/>
      <family val="2"/>
      <scheme val="minor"/>
    </font>
    <font>
      <b/>
      <sz val="22"/>
      <color rgb="FFFF0000"/>
      <name val="Aptos Narrow"/>
      <family val="2"/>
      <scheme val="minor"/>
    </font>
    <font>
      <b/>
      <sz val="11"/>
      <color theme="8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i/>
      <sz val="11"/>
      <color rgb="FFFFC0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1"/>
      <color rgb="FF9C0006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sz val="9"/>
      <color theme="0"/>
      <name val="Aptos Narrow"/>
      <family val="2"/>
      <scheme val="minor"/>
    </font>
    <font>
      <sz val="9"/>
      <color theme="1"/>
      <name val="Aptos Narrow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rgb="FF9CC3E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2"/>
        <bgColor indexed="64"/>
      </patternFill>
    </fill>
    <fill>
      <patternFill patternType="solid">
        <fgColor rgb="FFFFC7CE"/>
      </patternFill>
    </fill>
    <fill>
      <patternFill patternType="solid">
        <fgColor theme="2" tint="-0.749992370372631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theme="5"/>
        <bgColor indexed="64"/>
      </patternFill>
    </fill>
  </fills>
  <borders count="3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A3A3A3"/>
      </left>
      <right style="medium">
        <color rgb="FFA3A3A3"/>
      </right>
      <top style="medium">
        <color rgb="FFA3A3A3"/>
      </top>
      <bottom style="medium">
        <color rgb="FFA3A3A3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/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rgb="FFFFFF00"/>
      </top>
      <bottom style="medium">
        <color rgb="FFFFFF00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0" fillId="11" borderId="0" applyNumberFormat="0" applyBorder="0" applyAlignment="0" applyProtection="0"/>
  </cellStyleXfs>
  <cellXfs count="131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1" fontId="0" fillId="0" borderId="0" xfId="0" applyNumberFormat="1"/>
    <xf numFmtId="0" fontId="1" fillId="3" borderId="6" xfId="0" applyFont="1" applyFill="1" applyBorder="1" applyAlignment="1">
      <alignment vertical="center" wrapText="1"/>
    </xf>
    <xf numFmtId="0" fontId="0" fillId="4" borderId="1" xfId="0" applyFill="1" applyBorder="1"/>
    <xf numFmtId="0" fontId="0" fillId="0" borderId="8" xfId="0" applyBorder="1"/>
    <xf numFmtId="0" fontId="0" fillId="0" borderId="18" xfId="0" applyBorder="1"/>
    <xf numFmtId="0" fontId="0" fillId="0" borderId="19" xfId="0" applyBorder="1"/>
    <xf numFmtId="0" fontId="1" fillId="0" borderId="20" xfId="0" applyFont="1" applyBorder="1" applyAlignment="1">
      <alignment vertical="center" wrapText="1"/>
    </xf>
    <xf numFmtId="0" fontId="6" fillId="0" borderId="21" xfId="0" applyFont="1" applyBorder="1" applyAlignment="1">
      <alignment horizontal="center" vertical="center"/>
    </xf>
    <xf numFmtId="0" fontId="5" fillId="7" borderId="15" xfId="0" applyFont="1" applyFill="1" applyBorder="1" applyAlignment="1">
      <alignment horizontal="center" vertical="center"/>
    </xf>
    <xf numFmtId="0" fontId="0" fillId="0" borderId="21" xfId="0" applyBorder="1"/>
    <xf numFmtId="0" fontId="0" fillId="5" borderId="21" xfId="0" applyFill="1" applyBorder="1"/>
    <xf numFmtId="0" fontId="0" fillId="0" borderId="14" xfId="0" applyBorder="1"/>
    <xf numFmtId="0" fontId="7" fillId="0" borderId="22" xfId="0" applyFont="1" applyBorder="1"/>
    <xf numFmtId="0" fontId="0" fillId="0" borderId="23" xfId="0" applyBorder="1"/>
    <xf numFmtId="0" fontId="1" fillId="0" borderId="1" xfId="0" applyFont="1" applyBorder="1" applyAlignment="1">
      <alignment vertical="center" wrapText="1"/>
    </xf>
    <xf numFmtId="0" fontId="0" fillId="0" borderId="20" xfId="0" applyBorder="1"/>
    <xf numFmtId="0" fontId="0" fillId="0" borderId="5" xfId="0" applyBorder="1" applyAlignment="1">
      <alignment horizontal="center" vertical="center"/>
    </xf>
    <xf numFmtId="0" fontId="8" fillId="5" borderId="1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/>
    </xf>
    <xf numFmtId="0" fontId="0" fillId="0" borderId="24" xfId="0" applyBorder="1"/>
    <xf numFmtId="0" fontId="0" fillId="5" borderId="9" xfId="0" applyFill="1" applyBorder="1"/>
    <xf numFmtId="0" fontId="7" fillId="8" borderId="25" xfId="0" applyFont="1" applyFill="1" applyBorder="1"/>
    <xf numFmtId="0" fontId="7" fillId="8" borderId="26" xfId="0" applyFont="1" applyFill="1" applyBorder="1"/>
    <xf numFmtId="0" fontId="7" fillId="8" borderId="16" xfId="0" applyFont="1" applyFill="1" applyBorder="1"/>
    <xf numFmtId="0" fontId="7" fillId="8" borderId="17" xfId="0" applyFont="1" applyFill="1" applyBorder="1"/>
    <xf numFmtId="0" fontId="7" fillId="8" borderId="18" xfId="0" applyFont="1" applyFill="1" applyBorder="1"/>
    <xf numFmtId="0" fontId="7" fillId="8" borderId="19" xfId="0" applyFont="1" applyFill="1" applyBorder="1"/>
    <xf numFmtId="0" fontId="0" fillId="0" borderId="21" xfId="0" applyBorder="1" applyAlignment="1">
      <alignment horizontal="center"/>
    </xf>
    <xf numFmtId="0" fontId="6" fillId="0" borderId="27" xfId="0" applyFont="1" applyBorder="1" applyAlignment="1">
      <alignment horizontal="center" vertical="center"/>
    </xf>
    <xf numFmtId="0" fontId="4" fillId="6" borderId="28" xfId="0" applyFont="1" applyFill="1" applyBorder="1" applyAlignment="1">
      <alignment horizontal="center" vertical="center"/>
    </xf>
    <xf numFmtId="0" fontId="7" fillId="9" borderId="22" xfId="0" applyFont="1" applyFill="1" applyBorder="1"/>
    <xf numFmtId="0" fontId="0" fillId="0" borderId="29" xfId="0" applyBorder="1"/>
    <xf numFmtId="0" fontId="0" fillId="0" borderId="22" xfId="0" applyBorder="1"/>
    <xf numFmtId="0" fontId="0" fillId="5" borderId="5" xfId="0" applyFill="1" applyBorder="1" applyAlignment="1">
      <alignment horizontal="center"/>
    </xf>
    <xf numFmtId="0" fontId="0" fillId="8" borderId="0" xfId="0" applyFill="1"/>
    <xf numFmtId="0" fontId="7" fillId="8" borderId="14" xfId="0" applyFont="1" applyFill="1" applyBorder="1" applyAlignment="1">
      <alignment horizontal="center"/>
    </xf>
    <xf numFmtId="0" fontId="7" fillId="8" borderId="0" xfId="0" applyFont="1" applyFill="1" applyAlignment="1">
      <alignment horizontal="center"/>
    </xf>
    <xf numFmtId="0" fontId="7" fillId="8" borderId="8" xfId="0" applyFont="1" applyFill="1" applyBorder="1" applyAlignment="1">
      <alignment horizontal="center"/>
    </xf>
    <xf numFmtId="0" fontId="7" fillId="8" borderId="5" xfId="0" applyFont="1" applyFill="1" applyBorder="1" applyAlignment="1">
      <alignment horizontal="center"/>
    </xf>
    <xf numFmtId="0" fontId="7" fillId="8" borderId="7" xfId="0" applyFont="1" applyFill="1" applyBorder="1" applyAlignment="1">
      <alignment horizontal="center"/>
    </xf>
    <xf numFmtId="0" fontId="0" fillId="8" borderId="16" xfId="0" applyFill="1" applyBorder="1" applyAlignment="1">
      <alignment horizontal="center"/>
    </xf>
    <xf numFmtId="0" fontId="0" fillId="8" borderId="18" xfId="0" applyFill="1" applyBorder="1" applyAlignment="1">
      <alignment horizontal="center"/>
    </xf>
    <xf numFmtId="0" fontId="0" fillId="4" borderId="16" xfId="0" applyFill="1" applyBorder="1" applyAlignment="1">
      <alignment horizontal="center"/>
    </xf>
    <xf numFmtId="0" fontId="0" fillId="4" borderId="18" xfId="0" applyFill="1" applyBorder="1" applyAlignment="1">
      <alignment horizontal="center"/>
    </xf>
    <xf numFmtId="0" fontId="0" fillId="4" borderId="21" xfId="0" applyFill="1" applyBorder="1" applyAlignment="1">
      <alignment horizontal="center"/>
    </xf>
    <xf numFmtId="0" fontId="0" fillId="4" borderId="27" xfId="0" applyFill="1" applyBorder="1" applyAlignment="1">
      <alignment horizontal="center"/>
    </xf>
    <xf numFmtId="0" fontId="0" fillId="4" borderId="15" xfId="0" applyFill="1" applyBorder="1" applyAlignment="1">
      <alignment horizontal="center"/>
    </xf>
    <xf numFmtId="0" fontId="0" fillId="10" borderId="16" xfId="0" applyFill="1" applyBorder="1"/>
    <xf numFmtId="0" fontId="0" fillId="10" borderId="18" xfId="0" applyFill="1" applyBorder="1"/>
    <xf numFmtId="0" fontId="0" fillId="10" borderId="21" xfId="0" applyFill="1" applyBorder="1" applyAlignment="1">
      <alignment horizontal="center"/>
    </xf>
    <xf numFmtId="0" fontId="0" fillId="10" borderId="27" xfId="0" applyFill="1" applyBorder="1" applyAlignment="1">
      <alignment horizontal="center"/>
    </xf>
    <xf numFmtId="0" fontId="0" fillId="10" borderId="15" xfId="0" applyFill="1" applyBorder="1" applyAlignment="1">
      <alignment horizontal="center"/>
    </xf>
    <xf numFmtId="0" fontId="0" fillId="6" borderId="0" xfId="0" applyFill="1"/>
    <xf numFmtId="0" fontId="0" fillId="10" borderId="16" xfId="0" applyFill="1" applyBorder="1" applyAlignment="1">
      <alignment horizontal="left"/>
    </xf>
    <xf numFmtId="0" fontId="7" fillId="8" borderId="27" xfId="0" applyFont="1" applyFill="1" applyBorder="1" applyAlignment="1">
      <alignment horizontal="center"/>
    </xf>
    <xf numFmtId="0" fontId="7" fillId="8" borderId="15" xfId="0" applyFont="1" applyFill="1" applyBorder="1" applyAlignment="1">
      <alignment horizontal="center"/>
    </xf>
    <xf numFmtId="0" fontId="0" fillId="0" borderId="0" xfId="0" quotePrefix="1"/>
    <xf numFmtId="0" fontId="1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6" borderId="5" xfId="0" applyFill="1" applyBorder="1"/>
    <xf numFmtId="0" fontId="10" fillId="11" borderId="0" xfId="1"/>
    <xf numFmtId="0" fontId="12" fillId="0" borderId="0" xfId="0" applyFont="1"/>
    <xf numFmtId="0" fontId="5" fillId="13" borderId="31" xfId="0" applyFont="1" applyFill="1" applyBorder="1" applyAlignment="1">
      <alignment horizontal="center"/>
    </xf>
    <xf numFmtId="0" fontId="5" fillId="13" borderId="12" xfId="0" applyFont="1" applyFill="1" applyBorder="1" applyAlignment="1">
      <alignment horizontal="center"/>
    </xf>
    <xf numFmtId="0" fontId="5" fillId="13" borderId="13" xfId="0" applyFont="1" applyFill="1" applyBorder="1" applyAlignment="1">
      <alignment horizontal="center"/>
    </xf>
    <xf numFmtId="0" fontId="5" fillId="14" borderId="31" xfId="0" applyFont="1" applyFill="1" applyBorder="1" applyAlignment="1">
      <alignment horizontal="center"/>
    </xf>
    <xf numFmtId="0" fontId="5" fillId="14" borderId="12" xfId="0" applyFont="1" applyFill="1" applyBorder="1" applyAlignment="1">
      <alignment horizontal="center"/>
    </xf>
    <xf numFmtId="0" fontId="5" fillId="14" borderId="13" xfId="0" applyFont="1" applyFill="1" applyBorder="1" applyAlignment="1">
      <alignment horizontal="center"/>
    </xf>
    <xf numFmtId="0" fontId="5" fillId="13" borderId="32" xfId="0" applyFont="1" applyFill="1" applyBorder="1" applyAlignment="1">
      <alignment vertical="center"/>
    </xf>
    <xf numFmtId="0" fontId="5" fillId="14" borderId="33" xfId="0" applyFont="1" applyFill="1" applyBorder="1" applyAlignment="1">
      <alignment vertical="center"/>
    </xf>
    <xf numFmtId="0" fontId="5" fillId="14" borderId="21" xfId="0" applyFont="1" applyFill="1" applyBorder="1" applyAlignment="1">
      <alignment vertical="center"/>
    </xf>
    <xf numFmtId="0" fontId="5" fillId="14" borderId="5" xfId="0" applyFont="1" applyFill="1" applyBorder="1" applyAlignment="1">
      <alignment horizontal="center"/>
    </xf>
    <xf numFmtId="0" fontId="5" fillId="14" borderId="10" xfId="0" applyFont="1" applyFill="1" applyBorder="1"/>
    <xf numFmtId="0" fontId="5" fillId="14" borderId="35" xfId="0" applyFont="1" applyFill="1" applyBorder="1"/>
    <xf numFmtId="0" fontId="5" fillId="14" borderId="11" xfId="0" applyFont="1" applyFill="1" applyBorder="1"/>
    <xf numFmtId="0" fontId="5" fillId="13" borderId="34" xfId="0" applyFont="1" applyFill="1" applyBorder="1"/>
    <xf numFmtId="0" fontId="5" fillId="13" borderId="26" xfId="0" applyFont="1" applyFill="1" applyBorder="1"/>
    <xf numFmtId="0" fontId="5" fillId="13" borderId="30" xfId="0" applyFont="1" applyFill="1" applyBorder="1"/>
    <xf numFmtId="0" fontId="5" fillId="13" borderId="19" xfId="0" applyFont="1" applyFill="1" applyBorder="1"/>
    <xf numFmtId="0" fontId="0" fillId="14" borderId="25" xfId="0" applyFill="1" applyBorder="1"/>
    <xf numFmtId="0" fontId="0" fillId="14" borderId="26" xfId="0" applyFill="1" applyBorder="1"/>
    <xf numFmtId="0" fontId="0" fillId="14" borderId="18" xfId="0" applyFill="1" applyBorder="1"/>
    <xf numFmtId="0" fontId="0" fillId="14" borderId="19" xfId="0" applyFill="1" applyBorder="1"/>
    <xf numFmtId="0" fontId="5" fillId="13" borderId="26" xfId="0" applyFont="1" applyFill="1" applyBorder="1" applyAlignment="1">
      <alignment vertical="center"/>
    </xf>
    <xf numFmtId="0" fontId="5" fillId="13" borderId="8" xfId="0" applyFont="1" applyFill="1" applyBorder="1" applyAlignment="1">
      <alignment horizontal="center"/>
    </xf>
    <xf numFmtId="0" fontId="13" fillId="16" borderId="5" xfId="0" applyFont="1" applyFill="1" applyBorder="1" applyAlignment="1">
      <alignment horizontal="center"/>
    </xf>
    <xf numFmtId="0" fontId="14" fillId="2" borderId="1" xfId="0" applyFont="1" applyFill="1" applyBorder="1" applyAlignment="1">
      <alignment horizontal="center" vertical="center"/>
    </xf>
    <xf numFmtId="0" fontId="14" fillId="16" borderId="1" xfId="0" applyFont="1" applyFill="1" applyBorder="1" applyAlignment="1">
      <alignment horizontal="center" vertical="center"/>
    </xf>
    <xf numFmtId="0" fontId="5" fillId="12" borderId="0" xfId="0" applyFont="1" applyFill="1" applyAlignment="1">
      <alignment horizontal="center" vertical="center" textRotation="180"/>
    </xf>
    <xf numFmtId="0" fontId="5" fillId="12" borderId="30" xfId="0" applyFont="1" applyFill="1" applyBorder="1" applyAlignment="1">
      <alignment horizontal="center" vertical="center" textRotation="180"/>
    </xf>
    <xf numFmtId="0" fontId="5" fillId="13" borderId="0" xfId="0" applyFont="1" applyFill="1"/>
    <xf numFmtId="0" fontId="5" fillId="13" borderId="17" xfId="0" applyFont="1" applyFill="1" applyBorder="1"/>
    <xf numFmtId="0" fontId="0" fillId="14" borderId="16" xfId="0" applyFill="1" applyBorder="1"/>
    <xf numFmtId="0" fontId="0" fillId="14" borderId="17" xfId="0" applyFill="1" applyBorder="1"/>
    <xf numFmtId="0" fontId="0" fillId="0" borderId="14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0" borderId="8" xfId="0" applyBorder="1" applyAlignment="1">
      <alignment horizontal="left" vertical="center" wrapText="1"/>
    </xf>
    <xf numFmtId="0" fontId="9" fillId="8" borderId="14" xfId="0" applyFont="1" applyFill="1" applyBorder="1" applyAlignment="1">
      <alignment horizontal="center"/>
    </xf>
    <xf numFmtId="0" fontId="9" fillId="8" borderId="7" xfId="0" applyFont="1" applyFill="1" applyBorder="1" applyAlignment="1">
      <alignment horizontal="center"/>
    </xf>
    <xf numFmtId="0" fontId="9" fillId="8" borderId="8" xfId="0" applyFont="1" applyFill="1" applyBorder="1" applyAlignment="1">
      <alignment horizontal="center"/>
    </xf>
    <xf numFmtId="0" fontId="0" fillId="5" borderId="14" xfId="0" applyFill="1" applyBorder="1" applyAlignment="1">
      <alignment horizontal="center"/>
    </xf>
    <xf numFmtId="0" fontId="0" fillId="5" borderId="8" xfId="0" applyFill="1" applyBorder="1" applyAlignment="1">
      <alignment horizontal="center"/>
    </xf>
    <xf numFmtId="0" fontId="7" fillId="8" borderId="10" xfId="0" applyFont="1" applyFill="1" applyBorder="1" applyAlignment="1">
      <alignment horizontal="center"/>
    </xf>
    <xf numFmtId="0" fontId="7" fillId="8" borderId="11" xfId="0" applyFont="1" applyFill="1" applyBorder="1" applyAlignment="1">
      <alignment horizontal="center"/>
    </xf>
    <xf numFmtId="0" fontId="0" fillId="4" borderId="14" xfId="0" applyFill="1" applyBorder="1" applyAlignment="1">
      <alignment horizontal="center"/>
    </xf>
    <xf numFmtId="0" fontId="0" fillId="4" borderId="8" xfId="0" applyFill="1" applyBorder="1" applyAlignment="1">
      <alignment horizontal="center"/>
    </xf>
    <xf numFmtId="0" fontId="7" fillId="8" borderId="30" xfId="0" applyFont="1" applyFill="1" applyBorder="1" applyAlignment="1">
      <alignment horizontal="center"/>
    </xf>
    <xf numFmtId="0" fontId="12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5" fillId="14" borderId="30" xfId="0" applyFont="1" applyFill="1" applyBorder="1" applyAlignment="1">
      <alignment horizontal="center"/>
    </xf>
    <xf numFmtId="0" fontId="5" fillId="12" borderId="21" xfId="0" applyFont="1" applyFill="1" applyBorder="1" applyAlignment="1">
      <alignment horizontal="center" vertical="center" textRotation="180"/>
    </xf>
    <xf numFmtId="0" fontId="5" fillId="12" borderId="27" xfId="0" applyFont="1" applyFill="1" applyBorder="1" applyAlignment="1">
      <alignment horizontal="center" vertical="center" textRotation="180"/>
    </xf>
    <xf numFmtId="0" fontId="5" fillId="12" borderId="15" xfId="0" applyFont="1" applyFill="1" applyBorder="1" applyAlignment="1">
      <alignment horizontal="center" vertical="center" textRotation="180"/>
    </xf>
    <xf numFmtId="0" fontId="5" fillId="13" borderId="30" xfId="0" applyFont="1" applyFill="1" applyBorder="1" applyAlignment="1">
      <alignment horizontal="center"/>
    </xf>
    <xf numFmtId="0" fontId="5" fillId="14" borderId="14" xfId="0" applyFont="1" applyFill="1" applyBorder="1" applyAlignment="1">
      <alignment horizontal="center"/>
    </xf>
    <xf numFmtId="0" fontId="5" fillId="14" borderId="7" xfId="0" applyFont="1" applyFill="1" applyBorder="1" applyAlignment="1">
      <alignment horizontal="center"/>
    </xf>
    <xf numFmtId="0" fontId="5" fillId="14" borderId="8" xfId="0" applyFont="1" applyFill="1" applyBorder="1" applyAlignment="1">
      <alignment horizontal="center"/>
    </xf>
    <xf numFmtId="0" fontId="7" fillId="15" borderId="18" xfId="0" applyFont="1" applyFill="1" applyBorder="1" applyAlignment="1">
      <alignment horizontal="center"/>
    </xf>
    <xf numFmtId="0" fontId="7" fillId="15" borderId="30" xfId="0" applyFont="1" applyFill="1" applyBorder="1" applyAlignment="1">
      <alignment horizontal="center"/>
    </xf>
    <xf numFmtId="0" fontId="7" fillId="15" borderId="14" xfId="0" applyFont="1" applyFill="1" applyBorder="1" applyAlignment="1">
      <alignment horizontal="center"/>
    </xf>
    <xf numFmtId="0" fontId="7" fillId="15" borderId="8" xfId="0" applyFont="1" applyFill="1" applyBorder="1" applyAlignment="1">
      <alignment horizontal="center"/>
    </xf>
    <xf numFmtId="0" fontId="5" fillId="14" borderId="18" xfId="0" applyFont="1" applyFill="1" applyBorder="1" applyAlignment="1">
      <alignment horizontal="center"/>
    </xf>
    <xf numFmtId="0" fontId="5" fillId="14" borderId="19" xfId="0" applyFont="1" applyFill="1" applyBorder="1" applyAlignment="1">
      <alignment horizontal="center"/>
    </xf>
    <xf numFmtId="0" fontId="3" fillId="5" borderId="14" xfId="0" applyFont="1" applyFill="1" applyBorder="1" applyAlignment="1">
      <alignment horizontal="center" vertical="center" wrapText="1"/>
    </xf>
    <xf numFmtId="0" fontId="3" fillId="5" borderId="7" xfId="0" applyFont="1" applyFill="1" applyBorder="1" applyAlignment="1">
      <alignment horizontal="center" vertical="center" wrapText="1"/>
    </xf>
    <xf numFmtId="0" fontId="3" fillId="5" borderId="8" xfId="0" applyFont="1" applyFill="1" applyBorder="1" applyAlignment="1">
      <alignment horizontal="center" vertical="center" wrapText="1"/>
    </xf>
  </cellXfs>
  <cellStyles count="2">
    <cellStyle name="Bad" xfId="1" builtinId="27"/>
    <cellStyle name="Normal" xfId="0" builtinId="0"/>
  </cellStyles>
  <dxfs count="101">
    <dxf>
      <font>
        <b/>
        <i val="0"/>
        <color rgb="FFFF0000"/>
      </font>
    </dxf>
    <dxf>
      <font>
        <b/>
        <i val="0"/>
        <color rgb="FFFF0000"/>
      </font>
    </dxf>
    <dxf>
      <font>
        <color theme="0"/>
      </font>
      <fill>
        <patternFill>
          <bgColor rgb="FFFF0000"/>
        </patternFill>
      </fill>
    </dxf>
    <dxf>
      <font>
        <b/>
        <i/>
        <strike val="0"/>
        <color rgb="FFFFC000"/>
      </font>
    </dxf>
    <dxf>
      <font>
        <color theme="0"/>
      </font>
      <fill>
        <patternFill>
          <bgColor rgb="FFFF0000"/>
        </patternFill>
      </fill>
    </dxf>
    <dxf>
      <font>
        <b/>
        <i/>
        <strike val="0"/>
        <color rgb="FFFFC000"/>
      </font>
    </dxf>
    <dxf>
      <font>
        <color theme="0"/>
      </font>
      <fill>
        <patternFill>
          <bgColor rgb="FFFF0000"/>
        </patternFill>
      </fill>
    </dxf>
    <dxf>
      <font>
        <b/>
        <i/>
        <strike val="0"/>
        <color rgb="FFFFC000"/>
      </font>
    </dxf>
    <dxf>
      <font>
        <color theme="0"/>
      </font>
      <fill>
        <patternFill>
          <bgColor rgb="FFFF0000"/>
        </patternFill>
      </fill>
    </dxf>
    <dxf>
      <font>
        <b/>
        <i/>
        <strike val="0"/>
        <color rgb="FFFFC000"/>
      </font>
    </dxf>
    <dxf>
      <font>
        <color theme="0"/>
      </font>
      <fill>
        <patternFill>
          <bgColor rgb="FFFF0000"/>
        </patternFill>
      </fill>
    </dxf>
    <dxf>
      <font>
        <b/>
        <i val="0"/>
        <strike val="0"/>
        <u val="double"/>
        <color theme="8"/>
      </font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strike val="0"/>
        <color rgb="FFFFC000"/>
      </font>
    </dxf>
    <dxf>
      <font>
        <color theme="0"/>
      </font>
      <fill>
        <patternFill>
          <bgColor rgb="FFFF0000"/>
        </patternFill>
      </fill>
    </dxf>
    <dxf>
      <font>
        <b/>
        <i val="0"/>
        <strike val="0"/>
        <u val="double"/>
        <color theme="8"/>
      </font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strike val="0"/>
        <color rgb="FFFFC000"/>
      </font>
    </dxf>
    <dxf>
      <font>
        <color theme="0"/>
      </font>
      <fill>
        <patternFill>
          <bgColor rgb="FFFF0000"/>
        </patternFill>
      </fill>
    </dxf>
    <dxf>
      <font>
        <b/>
        <i val="0"/>
        <strike val="0"/>
        <u val="double"/>
        <color theme="8"/>
      </font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strike val="0"/>
        <color rgb="FFFFC000"/>
      </font>
    </dxf>
    <dxf>
      <font>
        <color theme="0"/>
      </font>
      <fill>
        <patternFill>
          <bgColor rgb="FFFF0000"/>
        </patternFill>
      </fill>
    </dxf>
    <dxf>
      <font>
        <b/>
        <i val="0"/>
        <strike val="0"/>
        <u val="double"/>
        <color theme="8"/>
      </font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strike val="0"/>
        <color rgb="FFFFC000"/>
      </font>
    </dxf>
    <dxf>
      <fill>
        <patternFill>
          <bgColor theme="6"/>
        </patternFill>
      </fill>
    </dxf>
    <dxf>
      <fill>
        <patternFill>
          <bgColor theme="6"/>
        </patternFill>
      </fill>
    </dxf>
    <dxf>
      <font>
        <b/>
        <i val="0"/>
        <strike val="0"/>
        <u val="double"/>
        <color theme="8"/>
      </font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strike val="0"/>
        <u val="double"/>
        <color theme="8"/>
      </font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strike val="0"/>
        <u val="double"/>
        <color theme="8"/>
      </font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strike val="0"/>
        <u val="double"/>
        <color theme="8"/>
      </font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strike val="0"/>
        <u val="double"/>
        <color theme="8"/>
      </font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strike val="0"/>
        <u val="double"/>
        <color theme="8"/>
      </font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strike val="0"/>
        <u val="double"/>
        <color theme="8"/>
      </font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strike val="0"/>
        <u val="double"/>
        <color theme="8"/>
      </font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strike val="0"/>
        <u val="double"/>
        <color theme="8"/>
      </font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strike val="0"/>
        <u val="double"/>
        <color theme="8"/>
      </font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strike val="0"/>
        <u val="double"/>
        <color theme="8"/>
      </font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strike val="0"/>
        <u val="double"/>
        <color theme="8"/>
      </font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strike val="0"/>
        <u val="double"/>
        <color theme="8"/>
      </font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strike val="0"/>
        <u val="double"/>
        <color theme="8"/>
      </font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strike val="0"/>
        <u val="double"/>
        <color theme="8"/>
      </font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strike val="0"/>
        <u val="double"/>
        <color theme="8"/>
      </font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strike val="0"/>
        <u val="double"/>
        <color theme="8"/>
      </font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strike val="0"/>
        <u val="double"/>
        <color theme="8"/>
      </font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strike val="0"/>
        <u val="double"/>
        <color theme="8"/>
      </font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strike val="0"/>
        <u val="double"/>
        <color theme="8"/>
      </font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strike val="0"/>
        <u val="double"/>
        <color theme="8"/>
      </font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strike val="0"/>
        <u val="double"/>
        <color theme="8"/>
      </font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strike val="0"/>
        <u val="double"/>
        <color theme="8"/>
      </font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/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/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left style="thin">
          <color theme="4" tint="0.39997558519241921"/>
        </left>
        <top style="thin">
          <color theme="4" tint="0.39997558519241921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</dxf>
    <dxf>
      <numFmt numFmtId="1" formatCode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medium">
          <color rgb="FFA3A3A3"/>
        </left>
        <right style="medium">
          <color rgb="FFA3A3A3"/>
        </right>
        <top style="medium">
          <color rgb="FFA3A3A3"/>
        </top>
        <bottom style="medium">
          <color rgb="FFA3A3A3"/>
        </bottom>
      </border>
    </dxf>
    <dxf>
      <border outline="0">
        <bottom style="medium">
          <color rgb="FFA3A3A3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E1EAC81-0FF8-490C-8193-822DBD64ADC3}" name="cha_mc" displayName="cha_mc" ref="A1:K2" totalsRowShown="0" headerRowDxfId="100" headerRowBorderDxfId="99" tableBorderDxfId="98" totalsRowBorderDxfId="97">
  <autoFilter ref="A1:K2" xr:uid="{7E1EAC81-0FF8-490C-8193-822DBD64ADC3}"/>
  <tableColumns count="11">
    <tableColumn id="1" xr3:uid="{28C4B108-0BFE-413F-8A58-1741F675CD5C}" name="VisualId" dataDxfId="96"/>
    <tableColumn id="2" xr3:uid="{5D377E3C-57C9-4ACB-9B41-9981F4F982C1}" name="Lot" dataDxfId="95"/>
    <tableColumn id="3" xr3:uid="{DCF5D075-63EF-432C-8903-EA76E8345A76}" name="LatoStartWW" dataDxfId="94"/>
    <tableColumn id="4" xr3:uid="{0BD6014E-BF2C-4616-80E1-65C4B3F03FBB}" name="LotsSeqKey" dataDxfId="93"/>
    <tableColumn id="5" xr3:uid="{1E660505-BF2D-4DB6-A286-E1B8FAE750DF}" name="UnitTestingSeqKey" dataDxfId="92"/>
    <tableColumn id="6" xr3:uid="{2FDC632D-EE8B-47F5-9EBB-203557368CE7}" name="TestName" dataDxfId="91"/>
    <tableColumn id="7" xr3:uid="{59BA9A85-48BF-4750-AB28-082E407BB24B}" name="TestValue" dataDxfId="90"/>
    <tableColumn id="8" xr3:uid="{0956E0A5-0E70-4FBA-AF04-012227E25D64}" name="Operation" dataDxfId="89"/>
    <tableColumn id="9" xr3:uid="{0E45915B-A434-4223-A6AF-675F8DD83ACA}" name="TestNameNumber" dataDxfId="88"/>
    <tableColumn id="10" xr3:uid="{4D7C1141-96E0-4C41-A9A6-56E9E63899D2}" name="TestNameWithoutNumeric" dataDxfId="87"/>
    <tableColumn id="11" xr3:uid="{2782ECAE-4454-4F31-83B1-52598929721B}" name="PPVRun_MC" dataDxfId="86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F222D9A-BA3A-4333-B2D3-122EF1A98439}" name="core_mc" displayName="core_mc" ref="A1:K2" totalsRowShown="0" headerRowDxfId="85" headerRowBorderDxfId="84" tableBorderDxfId="83" totalsRowBorderDxfId="82">
  <autoFilter ref="A1:K2" xr:uid="{7E1EAC81-0FF8-490C-8193-822DBD64ADC3}"/>
  <tableColumns count="11">
    <tableColumn id="1" xr3:uid="{822C2F82-A759-42BF-9C89-EFF5C0315F95}" name="VisualId" dataDxfId="81"/>
    <tableColumn id="2" xr3:uid="{878EA638-15F7-42E4-B7EB-704E0E629289}" name="Lot" dataDxfId="80"/>
    <tableColumn id="3" xr3:uid="{FC49C909-A397-421D-A541-9A1D33B33976}" name="LatoStartWW" dataDxfId="79"/>
    <tableColumn id="4" xr3:uid="{59575D17-FDCD-45CA-B8F3-123C8DD743CB}" name="LotsSeqKey" dataDxfId="78"/>
    <tableColumn id="5" xr3:uid="{5CFF0F88-4B16-4493-98F1-8E8017766660}" name="UnitTestingSeqKey" dataDxfId="77"/>
    <tableColumn id="6" xr3:uid="{65FCA8DB-5961-4050-8B60-E7F2070C38FD}" name="TestName" dataDxfId="76"/>
    <tableColumn id="7" xr3:uid="{378D8FC5-1D04-402B-830E-A0756E1E8DBB}" name="TestValue" dataDxfId="75"/>
    <tableColumn id="8" xr3:uid="{5650C48F-AD76-4A22-93E2-48B386BDF36A}" name="Operation" dataDxfId="74"/>
    <tableColumn id="9" xr3:uid="{B5D5CF95-6897-4D44-9242-AE03C5925141}" name="TestNameNumber" dataDxfId="73"/>
    <tableColumn id="10" xr3:uid="{86864FB0-D4B6-42B5-963A-AFDB6F4B6140}" name="TestNameWithoutNumeric" dataDxfId="72"/>
    <tableColumn id="11" xr3:uid="{CDB116B9-3A31-474D-9190-3F4178C201B9}" name="PPVRun_MC" dataDxfId="71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BF2A000-5605-43D4-925F-0D4AD40ACB56}" name="ppv" displayName="ppv" ref="B4:L5" totalsRowShown="0" headerRowBorderDxfId="70" tableBorderDxfId="69">
  <autoFilter ref="B4:L5" xr:uid="{9BF2A000-5605-43D4-925F-0D4AD40ACB56}"/>
  <tableColumns count="11">
    <tableColumn id="1" xr3:uid="{0EE13F9E-B2A6-42D3-A9BD-50EF0EAE1FFF}" name="VisualId" dataDxfId="68"/>
    <tableColumn id="2" xr3:uid="{AD718673-AE79-4C2E-A98B-CDB3EDF8BC90}" name="DpmBucket" dataDxfId="67"/>
    <tableColumn id="5" xr3:uid="{F18167B8-6212-41CA-B6AD-C01D48C5D1ED}" name="DecimaSite" dataDxfId="66"/>
    <tableColumn id="9" xr3:uid="{52CF8CFF-4458-40D2-852D-91A25881EF7F}" name="DecimaWW" dataDxfId="65"/>
    <tableColumn id="7" xr3:uid="{94681A06-84D6-4847-9FC2-7734E637A8E3}" name="DecimaBucket" dataDxfId="64"/>
    <tableColumn id="3" xr3:uid="{5269D438-483D-44B8-92CA-E8D3A2C655CF}" name="DpmBucketAccuracy" dataDxfId="63"/>
    <tableColumn id="4" xr3:uid="{F657F3B5-B832-4954-BC15-31E9875B0BD6}" name="ProductConfigurationName" dataDxfId="62"/>
    <tableColumn id="11" xr3:uid="{E660A892-0D22-4109-856E-17114850B278}" name="BinDesc" dataDxfId="61"/>
    <tableColumn id="6" xr3:uid="{B3875F7B-B83B-48CF-9766-20B9C614D1B1}" name="SubBucket" dataDxfId="60"/>
    <tableColumn id="10" xr3:uid="{84E7DDA2-1D1B-49FA-AC5D-F02A3E77A963}" name="Comments" dataDxfId="59"/>
    <tableColumn id="8" xr3:uid="{44BA4F48-CD8D-42FF-AA6A-3B81301E92B4}" name="NextSteps" dataDxfId="58"/>
  </tableColumns>
  <tableStyleInfo name="TableStyleMedium2" showFirstColumn="0" showLastColumn="0" showRowStripes="0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988AD4C-70ED-43F0-8EA5-4C296BCC82BE}" name="misc" displayName="misc" ref="F2:AH182" totalsRowShown="0">
  <autoFilter ref="F2:AH182" xr:uid="{0988AD4C-70ED-43F0-8EA5-4C296BCC82BE}"/>
  <tableColumns count="29">
    <tableColumn id="1" xr3:uid="{B07FC9B8-3227-45C9-97BF-326FD8D7C92A}" name="CBB"/>
    <tableColumn id="2" xr3:uid="{A6B4B5A2-081D-4122-A19F-EB24AED4A7FA}" name="location">
      <calculatedColumnFormula>G2+1</calculatedColumnFormula>
    </tableColumn>
    <tableColumn id="12" xr3:uid="{CFF3571B-B608-4F9E-833F-377EAB263297}" name="Module">
      <calculatedColumnFormula>IF(MC_Check!$AN$2="PHY",misc[[#This Row],[location]],misc[[#This Row],[Module_log]])</calculatedColumnFormula>
    </tableColumn>
    <tableColumn id="25" xr3:uid="{933E83CE-3435-4602-946E-1999092C5050}" name="Module_log">
      <calculatedColumnFormula>misc[[#This Row],[Module]]</calculatedColumnFormula>
    </tableColumn>
    <tableColumn id="27" xr3:uid="{0950461F-74B1-4A32-A81B-BA231FBBA89C}" name="Compute"/>
    <tableColumn id="26" xr3:uid="{F8346A52-6D1E-40F0-9DF1-5453718027FF}" name="ROW"/>
    <tableColumn id="29" xr3:uid="{36C23829-DD40-4D51-8C73-C63433FE1CC0}" name="ENV"/>
    <tableColumn id="28" xr3:uid="{CBDD81A4-8100-465B-8FE6-DE8A759B54C3}" name="CBO">
      <calculatedColumnFormula>_xlfn.TEXTJOIN("",,misc[[#This Row],[ROW]],misc[[#This Row],[ROW]])</calculatedColumnFormula>
    </tableColumn>
    <tableColumn id="3" xr3:uid="{050B1142-C8B9-4C0F-AD41-639CA2730863}" name="corefail" dataDxfId="57">
      <calculatedColumnFormula>misc[[#This Row],[Core_Hitter_Count]]&gt;0</calculatedColumnFormula>
    </tableColumn>
    <tableColumn id="4" xr3:uid="{A60BF178-AFEE-448B-89E8-E7E6B6E892F7}" name="llcfail">
      <calculatedColumnFormula>misc[[#This Row],[LLC_Hitter_Count]]&gt;0</calculatedColumnFormula>
    </tableColumn>
    <tableColumn id="5" xr3:uid="{729C42B8-5BDF-4C3D-BAF9-42B44E1772B5}" name="chafail">
      <calculatedColumnFormula>misc[[#This Row],[CHA_Hitter_Count]]&gt;0</calculatedColumnFormula>
    </tableColumn>
    <tableColumn id="6" xr3:uid="{C1CDBF1E-AB9B-4BAA-8551-D64E30237571}" name="CBO_MCA_String">
      <calculatedColumnFormula>_xlfn.TEXTJOIN("",,"*SOCKET0**CBB",misc[[#This Row],[CBB]],"**BASE**I_CCF_ENV",misc[[#This Row],[ENV]],splitchar,"CBREGS_ALL",misc[[#This Row],[CBO]],splitchar,"MC_STATUS*")</calculatedColumnFormula>
    </tableColumn>
    <tableColumn id="7" xr3:uid="{36E527F8-D449-4EBE-8B40-22D57CAEC096}" name="CHA_Hitter_Count">
      <calculatedColumnFormula>COUNTIFS(cha_mc[TestName],misc[[#This Row],[CBO_MCA_String]],cha_mc[VisualId],MC_Check!$H$2)</calculatedColumnFormula>
    </tableColumn>
    <tableColumn id="20" xr3:uid="{F2AB8E3B-1959-4705-89D2-20F0A5C7BA1F}" name="IFU_MCA_String">
      <calculatedColumnFormula>_xlfn.TEXTJOIN("",,"*SOCKET0**CBB",misc[[#This Row],[CBB]],"**COMPUTE",misc[[#This Row],[Compute]],"**MODULE",misc[[#This Row],[Module]],splitchar,"**CORE**IFU*CR*MC0*STATUS**")</calculatedColumnFormula>
    </tableColumn>
    <tableColumn id="21" xr3:uid="{C1C02498-120A-42F7-A16F-B025655F4CF4}" name="Core_IFU_Count">
      <calculatedColumnFormula>COUNTIFS(core_mc[TestName],misc[[#This Row],[IFU_MCA_String]],core_mc[VisualId],MC_Check!$H$2)</calculatedColumnFormula>
    </tableColumn>
    <tableColumn id="18" xr3:uid="{F59AF204-0AF6-4528-AF69-F077B5B62AA6}" name="ROB_MCA_String">
      <calculatedColumnFormula>_xlfn.TEXTJOIN("",,"*SOCKET0**CBB",misc[[#This Row],[CBB]],"**COMPUTE",misc[[#This Row],[Compute]],"**MODULE",misc[[#This Row],[Module]],splitchar,"**CORE**ROB1*CR*MC*STATUS**")</calculatedColumnFormula>
    </tableColumn>
    <tableColumn id="19" xr3:uid="{3D9BA89D-B5D0-4E51-96F7-943795CA2CFE}" name="Core_ROB_Count">
      <calculatedColumnFormula>COUNTIFS(core_mc[TestName],misc[[#This Row],[ROB_MCA_String]],core_mc[VisualId],MC_Check!$H$2)</calculatedColumnFormula>
    </tableColumn>
    <tableColumn id="17" xr3:uid="{111A7453-EA2A-4848-9C1B-1ABA274B0C33}" name="DCU_MCA_String">
      <calculatedColumnFormula>_xlfn.TEXTJOIN("",,"*SOCKET0**CBB",misc[[#This Row],[CBB]],"**COMPUTE",misc[[#This Row],[Compute]],"**MODULE",misc[[#This Row],[Module]],splitchar,"**CORE**DCU*CR*MC1*STATUS**")</calculatedColumnFormula>
    </tableColumn>
    <tableColumn id="14" xr3:uid="{71D9413B-8A95-4117-8486-36A3917BC9AF}" name="Core_DCU_Count">
      <calculatedColumnFormula>COUNTIFS(core_mc[TestName],misc[[#This Row],[DCU_MCA_String]],core_mc[VisualId],MC_Check!$H$2)</calculatedColumnFormula>
    </tableColumn>
    <tableColumn id="8" xr3:uid="{AA28E8C7-87BD-4623-9BB5-61596850795E}" name="CORE_DTLB_String">
      <calculatedColumnFormula>_xlfn.TEXTJOIN("",,"*SOCKET0**CBB",misc[[#This Row],[CBB]],"**COMPUTE",misc[[#This Row],[Compute]],"**MODULE",misc[[#This Row],[Module]],splitchar,"**CORE**DTLB*CR*MC2*STATUS**")</calculatedColumnFormula>
    </tableColumn>
    <tableColumn id="16" xr3:uid="{8121E332-BEB1-4F54-871A-43B9D4087A92}" name="Core_DTLB_Count">
      <calculatedColumnFormula>COUNTIFS(core_mc[TestName],misc[[#This Row],[CORE_DTLB_String]],core_mc[VisualId],MC_Check!$H$2)</calculatedColumnFormula>
    </tableColumn>
    <tableColumn id="24" xr3:uid="{A1AC9A1A-6684-464D-B850-94D9B22577F1}" name="Core_ML2_String">
      <calculatedColumnFormula>_xlfn.TEXTJOIN("",,"*SOCKET0**CBB",misc[[#This Row],[CBB]],"**COMPUTE",misc[[#This Row],[Compute]],"**MODULE",misc[[#This Row],[Module]],splitchar,"**ML2*CR*MC3*STATUS**")</calculatedColumnFormula>
    </tableColumn>
    <tableColumn id="13" xr3:uid="{AD7F48A9-63FF-4627-8562-CAACDA42D8C3}" name="Core_ML2_Count">
      <calculatedColumnFormula>COUNTIFS(core_mc[TestName],misc[[#This Row],[Core_ML2_String]],core_mc[VisualId],MC_Check!$H$2)</calculatedColumnFormula>
    </tableColumn>
    <tableColumn id="23" xr3:uid="{4A9D31F0-7E58-4684-AC78-79341B6849AB}" name="Core_L2_String - SPARE">
      <calculatedColumnFormula>_xlfn.TEXTJOIN("",,"*SOCKET0**CBB",misc[[#This Row],[CBB]],"**COMPUTE",misc[[#This Row],[Compute]],"**MODULE",misc[[#This Row],[Module]],splitchar,"SPARE")</calculatedColumnFormula>
    </tableColumn>
    <tableColumn id="22" xr3:uid="{04A0A6AF-6B38-44D2-AAEF-6D3077CA645B}" name="Core_L2_Count - SPARE">
      <calculatedColumnFormula>COUNTIFS(core_mc[TestName],misc[[#This Row],[Core_L2_String - SPARE]],core_mc[VisualId],MC_Check!$H$2)</calculatedColumnFormula>
    </tableColumn>
    <tableColumn id="9" xr3:uid="{E02F1336-746E-402A-B4A5-33009C3099CC}" name="Core_Hitter_Count">
      <calculatedColumnFormula>misc[[#This Row],[Core_DTLB_Count]]+misc[[#This Row],[Core_DCU_Count]]+misc[[#This Row],[Core_IFU_Count]]+misc[[#This Row],[Core_ROB_Count]]+misc[[#This Row],[Core_L2_Count - SPARE]]+misc[[#This Row],[Core_ML2_Count]]</calculatedColumnFormula>
    </tableColumn>
    <tableColumn id="15" xr3:uid="{2E589E68-0752-4755-81DF-3A29F3FB7589}" name="Core_FAILS">
      <calculatedColumnFormula>_xlfn.TEXTJOIN(", ",,IF(misc[[#This Row],[Core_IFU_Count]]&gt;0,"IFU",""),IF(misc[[#This Row],[Core_DCU_Count]]&gt;0,"DCU",""),IF(misc[[#This Row],[Core_DTLB_Count]]&gt;0,"DTLB",""),IF(misc[[#This Row],[Core_ROB_Count]]&gt;0,"ROB",""),IF(misc[[#This Row],[Core_ML2_Count]]&gt;0,"ML2",""),IF(misc[[#This Row],[Core_L2_Count - SPARE]]&gt;0,"L2",""))</calculatedColumnFormula>
    </tableColumn>
    <tableColumn id="10" xr3:uid="{DDF3B889-8662-4F72-B3AF-FEB082901753}" name="LLC_MCA_String - Not Used">
      <calculatedColumnFormula>_xlfn.TEXTJOIN("",,"*SOCKET0**CBB",misc[[#This Row],[CBB]],"**BASE**I_CCF**ENV",misc[[#This Row],[ENV]],splitchar,"CBREGS_ALL",misc[[#This Row],[CBO]],splitchar,"SPARE")</calculatedColumnFormula>
    </tableColumn>
    <tableColumn id="11" xr3:uid="{CD001455-29BE-4424-9842-1C3B0D71F3E1}" name="LLC_Hitter_Count">
      <calculatedColumnFormula>COUNTIFS(cha_mc[TestName],misc[[#This Row],[LLC_MCA_String - Not Used]],cha_mc[VisualId],MC_Check!$H$2)</calculatedColumnFormula>
    </tableColumn>
  </tableColumns>
  <tableStyleInfo name="TableStyleMedium2" showFirstColumn="0" showLastColumn="0" showRowStripes="0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16868AC2-402C-4ADC-8BC6-86A9E207E810}" name="memss" displayName="memss" ref="AK2:AP15" totalsRowShown="0" headerRowDxfId="56" dataDxfId="54" headerRowBorderDxfId="55" tableBorderDxfId="53">
  <autoFilter ref="AK2:AP15" xr:uid="{16868AC2-402C-4ADC-8BC6-86A9E207E810}"/>
  <tableColumns count="6">
    <tableColumn id="1" xr3:uid="{B4620545-9E8A-4683-A096-3DAA9D395254}" name="Compute" dataDxfId="52"/>
    <tableColumn id="2" xr3:uid="{8A9B6049-4FD5-43C8-89CF-B71FD0CC2334}" name="location" dataDxfId="51"/>
    <tableColumn id="5" xr3:uid="{BF2E8256-CD5E-4B83-BF0B-4ACEF13EEF6C}" name="Name" dataDxfId="50">
      <calculatedColumnFormula>"MC"&amp;memss[[#This Row],[location]]</calculatedColumnFormula>
    </tableColumn>
    <tableColumn id="6" xr3:uid="{D68596F9-5EED-4C02-9FBE-76BE090FCD23}" name="fail" dataDxfId="49">
      <calculatedColumnFormula>memss[[#This Row],[MEMSS_Hitter_Count]]&gt;0</calculatedColumnFormula>
    </tableColumn>
    <tableColumn id="3" xr3:uid="{B82C86D3-7F36-4FA2-8304-F3D277150CA6}" name="MEMMS_MCA_String" dataDxfId="48">
      <calculatedColumnFormula>_xlfn.TEXTJOIN("",,"DPMB_SOCKET0__SOC__MEMSS__B2CMI",memss[[#This Row],[location]],"__MCI_STATUS_SHADOW*")</calculatedColumnFormula>
    </tableColumn>
    <tableColumn id="4" xr3:uid="{D939AE90-A649-4D85-9CB0-E8DBBC786D45}" name="MEMSS_Hitter_Count" dataDxfId="47"/>
  </tableColumns>
  <tableStyleInfo name="TableStyleMedium2" showFirstColumn="0" showLastColumn="0" showRowStripes="0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2BB306A-8587-4C6C-9282-DC46D2E11594}" name="s3errors" displayName="s3errors" ref="AT2:AV7" totalsRowShown="0">
  <autoFilter ref="AT2:AV7" xr:uid="{02BB306A-8587-4C6C-9282-DC46D2E11594}"/>
  <tableColumns count="3">
    <tableColumn id="1" xr3:uid="{E2FE57F4-DA9E-415B-8378-337DE2D164B9}" name="type"/>
    <tableColumn id="2" xr3:uid="{4FD552F7-D4C7-452A-BBFE-A61128D9E022}" name="MCA_String"/>
    <tableColumn id="3" xr3:uid="{5681CF90-88CA-4AF4-BEBB-EFF1E22E4483}" name="Counter">
      <calculatedColumnFormula>COUNTIFS(cha_mc[TestName],s3errors[[#This Row],[MCA_String]],cha_mc[VisualId],MC_Check!$H$2)</calculatedColumnFormula>
    </tableColumn>
  </tableColumns>
  <tableStyleInfo name="TableStyleMedium2" showFirstColumn="0" showLastColumn="0" showRowStripes="0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E15C8676-FE76-4E42-B2E4-636C135697BB}" name="punitmcas" displayName="punitmcas" ref="AX2:AZ7" totalsRowShown="0">
  <autoFilter ref="AX2:AZ7" xr:uid="{E15C8676-FE76-4E42-B2E4-636C135697BB}"/>
  <tableColumns count="3">
    <tableColumn id="1" xr3:uid="{E86D88BF-1257-4B8A-A421-4C84815397A4}" name="type"/>
    <tableColumn id="2" xr3:uid="{8AD383AA-91AF-442C-B64B-F61CDD902D4A}" name="MCA_String"/>
    <tableColumn id="3" xr3:uid="{63C6CCC9-B553-416B-97B7-0C4E687E5BC5}" name="Counter">
      <calculatedColumnFormula>COUNTIFS(cha_mc[TestName],punitmcas[[#This Row],[MCA_String]],cha_mc[VisualId],MC_Check!$H$2)</calculatedColumnFormula>
    </tableColumn>
  </tableColumns>
  <tableStyleInfo name="TableStyleMedium2" showFirstColumn="0" showLastColumn="0" showRowStripes="0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B5590787-715B-48E2-97B7-78AF10ED3BC0}" name="formats" displayName="formats" ref="D2:D4" totalsRowShown="0">
  <autoFilter ref="D2:D4" xr:uid="{B5590787-715B-48E2-97B7-78AF10ED3BC0}"/>
  <tableColumns count="1">
    <tableColumn id="1" xr3:uid="{D9DD6042-8142-4D1B-B997-BC06BC4C7DA2}" name="Formats"/>
  </tableColumns>
  <tableStyleInfo name="TableStyleMedium2" showFirstColumn="0" showLastColumn="0" showRowStripes="0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FB1EAA75-A4FE-4344-86D9-B9C04E12A825}" name="showtop" displayName="showtop" ref="D7:D11" totalsRowShown="0">
  <autoFilter ref="D7:D11" xr:uid="{FB1EAA75-A4FE-4344-86D9-B9C04E12A825}"/>
  <tableColumns count="1">
    <tableColumn id="1" xr3:uid="{349EF60A-141C-4C7E-825C-1F1F5680C9A6}" name="ShowTop"/>
  </tableColumns>
  <tableStyleInfo name="TableStyleMedium2" showFirstColumn="0" showLastColumn="0" showRowStripes="0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B2F02309-80D5-4A13-AB0B-72DFB76CBD40}" name="LOGPHY" displayName="LOGPHY" ref="D13:D15" totalsRowShown="0">
  <autoFilter ref="D13:D15" xr:uid="{B2F02309-80D5-4A13-AB0B-72DFB76CBD40}"/>
  <tableColumns count="1">
    <tableColumn id="1" xr3:uid="{9E28DC29-6170-41EA-B5DC-5C4EC6DF1975}" name="MODULE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7" Type="http://schemas.openxmlformats.org/officeDocument/2006/relationships/table" Target="../tables/table10.xml"/><Relationship Id="rId2" Type="http://schemas.openxmlformats.org/officeDocument/2006/relationships/table" Target="../tables/table5.xml"/><Relationship Id="rId1" Type="http://schemas.openxmlformats.org/officeDocument/2006/relationships/table" Target="../tables/table4.xml"/><Relationship Id="rId6" Type="http://schemas.openxmlformats.org/officeDocument/2006/relationships/table" Target="../tables/table9.xml"/><Relationship Id="rId5" Type="http://schemas.openxmlformats.org/officeDocument/2006/relationships/table" Target="../tables/table8.xml"/><Relationship Id="rId4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8760CB-4D2B-484F-9E23-CB923BB589FC}">
  <sheetPr codeName="Sheet1"/>
  <dimension ref="A1:K2"/>
  <sheetViews>
    <sheetView topLeftCell="K1" workbookViewId="0">
      <selection activeCell="K2" sqref="A2:K2"/>
    </sheetView>
  </sheetViews>
  <sheetFormatPr defaultRowHeight="14.4" x14ac:dyDescent="0.3"/>
  <cols>
    <col min="1" max="1" width="14.77734375" bestFit="1" customWidth="1"/>
    <col min="2" max="2" width="11.109375" bestFit="1" customWidth="1"/>
    <col min="3" max="3" width="14.44140625" customWidth="1"/>
    <col min="4" max="4" width="13.21875" customWidth="1"/>
    <col min="5" max="5" width="19.44140625" customWidth="1"/>
    <col min="6" max="6" width="105.109375" bestFit="1" customWidth="1"/>
    <col min="7" max="7" width="19.6640625" bestFit="1" customWidth="1"/>
    <col min="8" max="8" width="11.6640625" customWidth="1"/>
    <col min="9" max="9" width="18.88671875" customWidth="1"/>
    <col min="10" max="10" width="105.109375" bestFit="1" customWidth="1"/>
  </cols>
  <sheetData>
    <row r="1" spans="1:11" x14ac:dyDescent="0.3">
      <c r="A1" s="2" t="s">
        <v>1</v>
      </c>
      <c r="B1" s="3" t="s">
        <v>2</v>
      </c>
      <c r="C1" s="3" t="s">
        <v>3</v>
      </c>
      <c r="D1" s="3" t="s">
        <v>4</v>
      </c>
      <c r="E1" s="3" t="s">
        <v>5</v>
      </c>
      <c r="F1" s="3" t="s">
        <v>6</v>
      </c>
      <c r="G1" s="3" t="s">
        <v>7</v>
      </c>
      <c r="H1" s="3" t="s">
        <v>8</v>
      </c>
      <c r="I1" s="3" t="s">
        <v>9</v>
      </c>
      <c r="J1" s="4" t="s">
        <v>10</v>
      </c>
      <c r="K1" s="3" t="s">
        <v>45</v>
      </c>
    </row>
    <row r="2" spans="1:11" x14ac:dyDescent="0.3">
      <c r="K2" s="3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F520DF-0825-4FCE-A83E-12FEDDBF62E6}">
  <dimension ref="A1:K2"/>
  <sheetViews>
    <sheetView workbookViewId="0">
      <selection activeCell="A2" sqref="A2:K2"/>
    </sheetView>
  </sheetViews>
  <sheetFormatPr defaultRowHeight="14.4" x14ac:dyDescent="0.3"/>
  <cols>
    <col min="1" max="1" width="14.77734375" bestFit="1" customWidth="1"/>
    <col min="2" max="2" width="11.109375" bestFit="1" customWidth="1"/>
    <col min="3" max="3" width="14.44140625" customWidth="1"/>
    <col min="4" max="4" width="13.21875" customWidth="1"/>
    <col min="5" max="5" width="19.44140625" customWidth="1"/>
    <col min="6" max="6" width="105.109375" bestFit="1" customWidth="1"/>
    <col min="7" max="7" width="19.6640625" bestFit="1" customWidth="1"/>
    <col min="8" max="8" width="11.6640625" customWidth="1"/>
    <col min="9" max="9" width="18.88671875" customWidth="1"/>
    <col min="10" max="10" width="105.109375" bestFit="1" customWidth="1"/>
  </cols>
  <sheetData>
    <row r="1" spans="1:11" x14ac:dyDescent="0.3">
      <c r="A1" s="2" t="s">
        <v>1</v>
      </c>
      <c r="B1" s="3" t="s">
        <v>2</v>
      </c>
      <c r="C1" s="3" t="s">
        <v>3</v>
      </c>
      <c r="D1" s="3" t="s">
        <v>4</v>
      </c>
      <c r="E1" s="3" t="s">
        <v>5</v>
      </c>
      <c r="F1" s="3" t="s">
        <v>6</v>
      </c>
      <c r="G1" s="3" t="s">
        <v>7</v>
      </c>
      <c r="H1" s="3" t="s">
        <v>8</v>
      </c>
      <c r="I1" s="3" t="s">
        <v>9</v>
      </c>
      <c r="J1" s="4" t="s">
        <v>10</v>
      </c>
      <c r="K1" s="18" t="s">
        <v>45</v>
      </c>
    </row>
    <row r="2" spans="1:11" x14ac:dyDescent="0.3">
      <c r="K2" s="3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A383C8-ADF8-4721-81F9-BB387AC8CD13}">
  <sheetPr codeName="Sheet3"/>
  <dimension ref="B2:L5"/>
  <sheetViews>
    <sheetView workbookViewId="0">
      <selection activeCell="B5" sqref="B5:K5"/>
    </sheetView>
  </sheetViews>
  <sheetFormatPr defaultRowHeight="14.4" outlineLevelCol="1" x14ac:dyDescent="0.3"/>
  <cols>
    <col min="2" max="2" width="18.77734375" bestFit="1" customWidth="1"/>
    <col min="3" max="3" width="52.44140625" customWidth="1"/>
    <col min="4" max="4" width="5.33203125" hidden="1" customWidth="1" outlineLevel="1"/>
    <col min="5" max="5" width="13.44140625" hidden="1" customWidth="1" outlineLevel="1"/>
    <col min="6" max="6" width="5.88671875" hidden="1" customWidth="1" outlineLevel="1"/>
    <col min="7" max="7" width="8.109375" hidden="1" customWidth="1" outlineLevel="1"/>
    <col min="8" max="8" width="7.5546875" hidden="1" customWidth="1" outlineLevel="1"/>
    <col min="9" max="9" width="86.21875" customWidth="1" collapsed="1"/>
    <col min="10" max="10" width="13.33203125" bestFit="1" customWidth="1"/>
    <col min="11" max="11" width="35.5546875" customWidth="1"/>
    <col min="12" max="12" width="26.6640625" customWidth="1"/>
    <col min="13" max="15" width="19.33203125" customWidth="1"/>
  </cols>
  <sheetData>
    <row r="2" spans="2:12" ht="15" thickBot="1" x14ac:dyDescent="0.35"/>
    <row r="3" spans="2:12" ht="15" thickBot="1" x14ac:dyDescent="0.35">
      <c r="B3" s="6" t="s">
        <v>29</v>
      </c>
    </row>
    <row r="4" spans="2:12" x14ac:dyDescent="0.3">
      <c r="B4" s="17" t="s">
        <v>1</v>
      </c>
      <c r="C4" s="17" t="s">
        <v>23</v>
      </c>
      <c r="D4" s="17" t="s">
        <v>24</v>
      </c>
      <c r="E4" s="17" t="s">
        <v>25</v>
      </c>
      <c r="F4" s="17" t="s">
        <v>26</v>
      </c>
      <c r="G4" s="17" t="s">
        <v>27</v>
      </c>
      <c r="H4" s="17" t="s">
        <v>28</v>
      </c>
      <c r="I4" s="17" t="s">
        <v>38</v>
      </c>
      <c r="J4" t="s">
        <v>22</v>
      </c>
      <c r="K4" t="s">
        <v>20</v>
      </c>
      <c r="L4" t="s">
        <v>44</v>
      </c>
    </row>
    <row r="5" spans="2:12" x14ac:dyDescent="0.3">
      <c r="B5" s="19"/>
      <c r="C5" s="19"/>
      <c r="D5" s="11"/>
      <c r="E5" s="20"/>
      <c r="F5" s="20"/>
      <c r="G5" s="11"/>
      <c r="H5" s="11"/>
      <c r="I5" s="11"/>
      <c r="J5" s="1"/>
      <c r="K5" s="1"/>
      <c r="L5" s="1"/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72BDA0-2A20-44D1-98C4-C6B207A7FF80}">
  <sheetPr codeName="Sheet2"/>
  <dimension ref="A1:AP72"/>
  <sheetViews>
    <sheetView topLeftCell="E1" zoomScale="130" zoomScaleNormal="130" workbookViewId="0">
      <selection activeCell="M2" sqref="M2"/>
    </sheetView>
  </sheetViews>
  <sheetFormatPr defaultRowHeight="14.4" x14ac:dyDescent="0.3"/>
  <cols>
    <col min="1" max="1" width="1.6640625" customWidth="1"/>
    <col min="2" max="2" width="15.109375" bestFit="1" customWidth="1"/>
    <col min="3" max="3" width="41.109375" customWidth="1"/>
    <col min="4" max="4" width="46.88671875" customWidth="1"/>
    <col min="5" max="5" width="33.77734375" customWidth="1"/>
    <col min="6" max="6" width="5.33203125" customWidth="1"/>
    <col min="7" max="7" width="8.5546875" bestFit="1" customWidth="1"/>
    <col min="8" max="8" width="19.33203125" bestFit="1" customWidth="1"/>
    <col min="9" max="9" width="2.88671875" customWidth="1"/>
    <col min="10" max="10" width="8.44140625" bestFit="1" customWidth="1"/>
    <col min="11" max="11" width="5.109375" bestFit="1" customWidth="1"/>
    <col min="12" max="12" width="3.6640625" customWidth="1"/>
    <col min="13" max="13" width="3.5546875" bestFit="1" customWidth="1"/>
    <col min="14" max="14" width="4" bestFit="1" customWidth="1"/>
    <col min="15" max="17" width="4.6640625" bestFit="1" customWidth="1"/>
    <col min="18" max="18" width="4.33203125" bestFit="1" customWidth="1"/>
    <col min="19" max="19" width="5.21875" bestFit="1" customWidth="1"/>
    <col min="20" max="23" width="4.6640625" bestFit="1" customWidth="1"/>
    <col min="24" max="24" width="4.44140625" bestFit="1" customWidth="1"/>
    <col min="25" max="25" width="4" bestFit="1" customWidth="1"/>
    <col min="26" max="26" width="5.6640625" customWidth="1"/>
    <col min="27" max="27" width="6.77734375" customWidth="1"/>
    <col min="28" max="28" width="0.5546875" customWidth="1"/>
    <col min="29" max="29" width="6.77734375" customWidth="1"/>
    <col min="30" max="30" width="6.33203125" bestFit="1" customWidth="1"/>
    <col min="31" max="31" width="0.5546875" customWidth="1"/>
    <col min="32" max="32" width="16.6640625" bestFit="1" customWidth="1"/>
    <col min="33" max="33" width="6.33203125" bestFit="1" customWidth="1"/>
    <col min="34" max="34" width="8.33203125" bestFit="1" customWidth="1"/>
    <col min="35" max="35" width="0.5546875" customWidth="1"/>
    <col min="36" max="36" width="16.109375" bestFit="1" customWidth="1"/>
    <col min="37" max="37" width="6.33203125" bestFit="1" customWidth="1"/>
    <col min="38" max="38" width="0.5546875" customWidth="1"/>
    <col min="39" max="39" width="12.88671875" bestFit="1" customWidth="1"/>
    <col min="40" max="40" width="6.33203125" bestFit="1" customWidth="1"/>
    <col min="41" max="42" width="8.88671875" customWidth="1"/>
  </cols>
  <sheetData>
    <row r="1" spans="1:42" ht="93" customHeight="1" thickBot="1" x14ac:dyDescent="0.35">
      <c r="A1" s="57"/>
      <c r="B1" s="22" t="s">
        <v>47</v>
      </c>
      <c r="C1" s="22" t="s">
        <v>48</v>
      </c>
      <c r="D1" s="23"/>
      <c r="E1" s="57"/>
      <c r="F1" s="57"/>
      <c r="G1" s="57"/>
      <c r="H1" s="57"/>
      <c r="I1" s="57"/>
      <c r="J1" s="57"/>
      <c r="K1" s="21" t="s">
        <v>46</v>
      </c>
      <c r="L1" s="99" t="str">
        <f>_xlfn.XLOOKUP(H2,ppv[VisualId],ppv[BinDesc],"")</f>
        <v/>
      </c>
      <c r="M1" s="100"/>
      <c r="N1" s="100"/>
      <c r="O1" s="100"/>
      <c r="P1" s="100"/>
      <c r="Q1" s="100"/>
      <c r="R1" s="100"/>
      <c r="S1" s="100"/>
      <c r="T1" s="100"/>
      <c r="U1" s="100"/>
      <c r="V1" s="100"/>
      <c r="W1" s="100"/>
      <c r="X1" s="100"/>
      <c r="Y1" s="100"/>
      <c r="Z1" s="100"/>
      <c r="AA1" s="100"/>
      <c r="AB1" s="100"/>
      <c r="AC1" s="100"/>
      <c r="AD1" s="100"/>
      <c r="AE1" s="100"/>
      <c r="AF1" s="100"/>
      <c r="AG1" s="100"/>
      <c r="AH1" s="100"/>
      <c r="AI1" s="100"/>
      <c r="AJ1" s="100"/>
      <c r="AK1" s="100"/>
      <c r="AL1" s="100"/>
      <c r="AM1" s="100"/>
      <c r="AN1" s="101"/>
      <c r="AO1" s="57"/>
      <c r="AP1" s="57"/>
    </row>
    <row r="2" spans="1:42" ht="16.2" thickBot="1" x14ac:dyDescent="0.35">
      <c r="A2" s="57"/>
      <c r="B2" s="7" t="s">
        <v>11</v>
      </c>
      <c r="C2" s="7" t="s">
        <v>19</v>
      </c>
      <c r="D2" s="7" t="s">
        <v>20</v>
      </c>
      <c r="E2" s="7" t="s">
        <v>21</v>
      </c>
      <c r="F2" s="57"/>
      <c r="G2" s="14" t="s">
        <v>0</v>
      </c>
      <c r="H2" s="15" t="s">
        <v>111</v>
      </c>
      <c r="I2" s="57"/>
      <c r="J2" s="57"/>
      <c r="K2" s="57"/>
      <c r="L2" s="57"/>
      <c r="M2" s="57"/>
      <c r="N2" s="57"/>
      <c r="O2" s="57"/>
      <c r="P2" s="57"/>
      <c r="Q2" s="57"/>
      <c r="R2" s="57"/>
      <c r="S2" s="57"/>
      <c r="T2" s="57"/>
      <c r="U2" s="57"/>
      <c r="V2" s="57"/>
      <c r="W2" s="57"/>
      <c r="X2" s="57"/>
      <c r="Y2" s="57"/>
      <c r="Z2" s="57"/>
      <c r="AA2" s="102" t="s">
        <v>72</v>
      </c>
      <c r="AB2" s="103"/>
      <c r="AC2" s="103"/>
      <c r="AD2" s="104"/>
      <c r="AE2" s="105" t="s">
        <v>73</v>
      </c>
      <c r="AF2" s="106"/>
      <c r="AG2" s="102" t="s">
        <v>76</v>
      </c>
      <c r="AH2" s="103"/>
      <c r="AI2" s="103"/>
      <c r="AJ2" s="38">
        <v>10</v>
      </c>
      <c r="AK2" s="102" t="s">
        <v>80</v>
      </c>
      <c r="AL2" s="103"/>
      <c r="AM2" s="103"/>
      <c r="AN2" s="38" t="s">
        <v>81</v>
      </c>
      <c r="AO2" s="57"/>
      <c r="AP2" s="57"/>
    </row>
    <row r="3" spans="1:42" ht="15" thickBot="1" x14ac:dyDescent="0.35">
      <c r="A3" s="57"/>
      <c r="B3" s="1" cm="1">
        <f t="array" ref="B3">IF(C1="All",_xlfn.UNIQUE(ppv[VisualId]),_xlfn._xlws.FILTER(ppv[VisualId],(ppv[SubBucket]=C1)*(IF(D1&lt;&gt;"",ISNUMBER(SEARCH(D1, ppv[Comments])),TRUE))))</f>
        <v>0</v>
      </c>
      <c r="C3" s="1" t="str">
        <f>_xlfn.XLOOKUP(B3,ppv[VisualId],ppv[DpmBucket],"")</f>
        <v/>
      </c>
      <c r="D3" s="1"/>
      <c r="E3" s="1"/>
      <c r="F3" s="57"/>
      <c r="G3" s="16" t="s">
        <v>42</v>
      </c>
      <c r="H3" s="8" t="str">
        <f>_xlfn.XLOOKUP(H2,ppv[VisualId],ppv[DpmBucketAccuracy],"")</f>
        <v/>
      </c>
      <c r="I3" s="57"/>
      <c r="J3" s="57"/>
      <c r="Y3" s="62"/>
      <c r="AA3" s="41" t="s">
        <v>67</v>
      </c>
      <c r="AB3" s="41"/>
      <c r="AC3" s="111" t="s">
        <v>68</v>
      </c>
      <c r="AD3" s="111"/>
      <c r="AE3" s="41"/>
      <c r="AF3" s="111" t="s">
        <v>78</v>
      </c>
      <c r="AG3" s="111"/>
      <c r="AH3" s="111"/>
      <c r="AI3" s="41"/>
      <c r="AJ3" s="111" t="s">
        <v>91</v>
      </c>
      <c r="AK3" s="111"/>
      <c r="AL3" s="41"/>
      <c r="AM3" s="111" t="s">
        <v>93</v>
      </c>
      <c r="AN3" s="111"/>
      <c r="AO3" s="57"/>
      <c r="AP3" s="57"/>
    </row>
    <row r="4" spans="1:42" ht="15" thickBot="1" x14ac:dyDescent="0.35">
      <c r="A4" s="57"/>
      <c r="B4" s="1"/>
      <c r="C4" s="1">
        <f>_xlfn.XLOOKUP(B4,ppv[VisualId],ppv[DpmBucket],"")</f>
        <v>0</v>
      </c>
      <c r="D4" s="1"/>
      <c r="E4" s="1"/>
      <c r="F4" s="57"/>
      <c r="G4" s="9" t="s">
        <v>43</v>
      </c>
      <c r="H4" s="10" t="str">
        <f>_xlfn.XLOOKUP(H2,ppv[VisualId],ppv[DecimaWW],"")</f>
        <v/>
      </c>
      <c r="I4" s="57"/>
      <c r="J4" s="57"/>
      <c r="L4" s="112" t="s">
        <v>113</v>
      </c>
      <c r="M4" s="112"/>
      <c r="N4" s="66" t="s">
        <v>114</v>
      </c>
      <c r="Y4" s="63"/>
      <c r="AA4" s="40" t="s">
        <v>66</v>
      </c>
      <c r="AB4" s="40"/>
      <c r="AC4" s="40" t="s">
        <v>55</v>
      </c>
      <c r="AD4" s="42" t="s">
        <v>69</v>
      </c>
      <c r="AE4" s="40"/>
      <c r="AF4" s="40" t="s">
        <v>36</v>
      </c>
      <c r="AG4" s="42" t="s">
        <v>69</v>
      </c>
      <c r="AH4" s="43" t="s">
        <v>70</v>
      </c>
      <c r="AI4" s="44"/>
      <c r="AJ4" s="40" t="s">
        <v>92</v>
      </c>
      <c r="AK4" s="42" t="s">
        <v>69</v>
      </c>
      <c r="AL4" s="44"/>
      <c r="AM4" s="40" t="s">
        <v>37</v>
      </c>
      <c r="AN4" s="42" t="s">
        <v>69</v>
      </c>
      <c r="AO4" s="57"/>
      <c r="AP4" s="57"/>
    </row>
    <row r="5" spans="1:42" x14ac:dyDescent="0.3">
      <c r="A5" s="57"/>
      <c r="B5" s="1"/>
      <c r="C5" s="1">
        <f>_xlfn.XLOOKUP(B5,ppv[VisualId],ppv[DpmBucket],"")</f>
        <v>0</v>
      </c>
      <c r="D5" s="1"/>
      <c r="E5" s="1"/>
      <c r="F5" s="57"/>
      <c r="G5" s="24" t="s">
        <v>47</v>
      </c>
      <c r="H5" s="25" t="e">
        <f>_xlfn.XLOOKUP(H2,ppv[VisualId],ppv[DpmBucket])</f>
        <v>#N/A</v>
      </c>
      <c r="I5" s="57"/>
      <c r="J5" s="57"/>
      <c r="L5" s="112" t="s">
        <v>115</v>
      </c>
      <c r="M5" s="112"/>
      <c r="N5" s="66" t="s">
        <v>116</v>
      </c>
      <c r="AA5" s="49" t="str" cm="1">
        <f t="array" ref="AA5">IFERROR(_xlfn._xlws.FILTER(punitmcas[type],punitmcas[Counter]&gt;0),"")</f>
        <v/>
      </c>
      <c r="AB5" s="45"/>
      <c r="AC5" s="54" t="str" cm="1">
        <f t="array" ref="AC5">IFERROR(_xlfn._xlws.FILTER(memss[Name],memss[MEMSS_Hitter_Count]&gt;0),"")</f>
        <v/>
      </c>
      <c r="AD5" s="47" t="str" cm="1">
        <f t="array" ref="AD5">IFERROR(_xlfn._xlws.FILTER(memss[MEMSS_Hitter_Count],memss[MEMSS_Hitter_Count]&gt;0),"")</f>
        <v/>
      </c>
      <c r="AE5" s="45"/>
      <c r="AF5" s="52" t="str" cm="1">
        <f t="array" ref="AF5">IFERROR("PHY"&amp;_xlfn._xlws.FILTER(misc[location],misc[Core_Hitter_Count]&gt;=MAX(misc[Core_Hitter_Count]-$AJ$2,1)),"")&amp;":"&amp;IFERROR("MODULE"&amp;_xlfn._xlws.FILTER(misc[Module],misc[Core_Hitter_Count]&gt;=MAX(misc[Core_Hitter_Count]-$AJ$2,1)),"")</f>
        <v>:</v>
      </c>
      <c r="AG5" s="49" t="str" cm="1">
        <f t="array" ref="AG5">IFERROR(_xlfn._xlws.FILTER(misc[Core_Hitter_Count],misc[Core_Hitter_Count]&gt;=MAX(misc[Core_Hitter_Count]-$AJ$2,1)),"")</f>
        <v/>
      </c>
      <c r="AH5" s="59" t="str" cm="1">
        <f t="array" ref="AH5">IFERROR(_xlfn._xlws.FILTER(misc[Core_FAILS],misc[Core_Hitter_Count]&gt;=MAX(misc[Core_Hitter_Count]-$AJ$2,1)),"")</f>
        <v/>
      </c>
      <c r="AI5" s="39"/>
      <c r="AJ5" s="58" t="str" cm="1">
        <f t="array" ref="AJ5">IFERROR("CBO"&amp;_xlfn._xlws.FILTER(misc[location],misc[CHA_Hitter_Count]&gt;=MAX(misc[CHA_Hitter_Count]-$AJ$2,1)),"")</f>
        <v/>
      </c>
      <c r="AK5" s="49" t="str" cm="1">
        <f t="array" ref="AK5">IFERROR(_xlfn._xlws.FILTER(misc[CHA_Hitter_Count],misc[CHA_Hitter_Count]&gt;=MAX(misc[CHA_Hitter_Count]-$AJ$2,1)),"")</f>
        <v/>
      </c>
      <c r="AL5" s="39"/>
      <c r="AM5" s="58" t="str" cm="1">
        <f t="array" ref="AM5">IFERROR("LLC"&amp;_xlfn._xlws.FILTER(misc[location],misc[LLC_Hitter_Count]&gt;=MAX(misc[LLC_Hitter_Count]-$AJ$2,1)),"")</f>
        <v/>
      </c>
      <c r="AN5" s="49" t="str" cm="1">
        <f t="array" ref="AN5">IFERROR(_xlfn._xlws.FILTER(misc[LLC_Hitter_Count],misc[LLC_Hitter_Count]&gt;=MAX(misc[LLC_Hitter_Count]-$AJ$2,1)),"")</f>
        <v/>
      </c>
      <c r="AO5" s="57"/>
      <c r="AP5" s="57"/>
    </row>
    <row r="6" spans="1:42" ht="15" thickBot="1" x14ac:dyDescent="0.35">
      <c r="A6" s="57"/>
      <c r="B6" s="1"/>
      <c r="C6" s="1">
        <f>_xlfn.XLOOKUP(B6,ppv[VisualId],ppv[DpmBucket],"")</f>
        <v>0</v>
      </c>
      <c r="D6" s="1"/>
      <c r="E6" s="1"/>
      <c r="F6" s="57"/>
      <c r="G6" s="107" t="e">
        <f>_xlfn.XLOOKUP(H2,ppv[VisualId],ppv[Comments])</f>
        <v>#N/A</v>
      </c>
      <c r="H6" s="108"/>
      <c r="I6" s="57"/>
      <c r="J6" s="57"/>
      <c r="L6" s="112" t="s">
        <v>117</v>
      </c>
      <c r="M6" s="112"/>
      <c r="N6" s="66" t="s">
        <v>118</v>
      </c>
      <c r="Y6" s="63"/>
      <c r="AA6" s="50"/>
      <c r="AB6" s="45"/>
      <c r="AC6" s="55"/>
      <c r="AD6" s="47"/>
      <c r="AE6" s="45"/>
      <c r="AF6" s="52"/>
      <c r="AG6" s="50"/>
      <c r="AH6" s="59"/>
      <c r="AI6" s="39"/>
      <c r="AJ6" s="52"/>
      <c r="AK6" s="50"/>
      <c r="AL6" s="39"/>
      <c r="AM6" s="52"/>
      <c r="AN6" s="50"/>
      <c r="AO6" s="57"/>
      <c r="AP6" s="57"/>
    </row>
    <row r="7" spans="1:42" ht="15" thickBot="1" x14ac:dyDescent="0.35">
      <c r="A7" s="57"/>
      <c r="B7" s="1"/>
      <c r="C7" s="1">
        <f>_xlfn.XLOOKUP(B7,ppv[VisualId],ppv[DpmBucket],"")</f>
        <v>0</v>
      </c>
      <c r="D7" s="1"/>
      <c r="E7" s="1"/>
      <c r="F7" s="57"/>
      <c r="G7" s="109" t="s">
        <v>49</v>
      </c>
      <c r="H7" s="110"/>
      <c r="I7" s="57"/>
      <c r="L7" s="113" t="s">
        <v>120</v>
      </c>
      <c r="M7" s="113"/>
      <c r="N7" s="113"/>
      <c r="O7" s="113"/>
      <c r="P7" s="113"/>
      <c r="Q7" s="113"/>
      <c r="R7" s="113"/>
      <c r="S7" s="113"/>
      <c r="T7" s="113"/>
      <c r="U7" s="113"/>
      <c r="V7" s="113"/>
      <c r="W7" s="113"/>
      <c r="X7" s="113"/>
      <c r="AA7" s="50"/>
      <c r="AB7" s="45"/>
      <c r="AC7" s="55"/>
      <c r="AD7" s="47"/>
      <c r="AE7" s="45"/>
      <c r="AF7" s="52"/>
      <c r="AG7" s="50"/>
      <c r="AH7" s="59"/>
      <c r="AI7" s="39"/>
      <c r="AJ7" s="52"/>
      <c r="AK7" s="50"/>
      <c r="AL7" s="39"/>
      <c r="AM7" s="52"/>
      <c r="AN7" s="50"/>
      <c r="AO7" s="57"/>
      <c r="AP7" s="57"/>
    </row>
    <row r="8" spans="1:42" ht="15" thickBot="1" x14ac:dyDescent="0.35">
      <c r="A8" s="57"/>
      <c r="B8" s="1"/>
      <c r="C8" s="1">
        <f>_xlfn.XLOOKUP(B8,ppv[VisualId],ppv[DpmBucket],"")</f>
        <v>0</v>
      </c>
      <c r="D8" s="1"/>
      <c r="E8" s="1"/>
      <c r="F8" s="57"/>
      <c r="G8" s="26" t="str" cm="1">
        <f t="array" ref="G8">_xlfn._xlws.FILTER(cha_mc[PPVRun_MC],((cha_mc[VisualId]=H2)*(ISNUMBER(SEARCH("BIOSNONSTICKYSCRATCHPAD",cha_mc[TestName])))),"")</f>
        <v/>
      </c>
      <c r="H8" s="27" t="str" cm="1">
        <f t="array" ref="H8">_xlfn._xlws.FILTER(cha_mc[TestValue],((cha_mc[VisualId]=H2)*(ISNUMBER(SEARCH("BIOSNONSTICKYSCRATCHPAD",cha_mc[TestName])))),"")</f>
        <v/>
      </c>
      <c r="I8" s="57"/>
      <c r="J8" s="32" t="s">
        <v>39</v>
      </c>
      <c r="L8" s="122" t="s">
        <v>89</v>
      </c>
      <c r="M8" s="123"/>
      <c r="N8" s="118" t="s">
        <v>119</v>
      </c>
      <c r="O8" s="118"/>
      <c r="P8" s="118"/>
      <c r="Q8" s="118"/>
      <c r="R8" s="118"/>
      <c r="S8" s="118"/>
      <c r="T8" s="114" t="s">
        <v>88</v>
      </c>
      <c r="U8" s="114"/>
      <c r="V8" s="114"/>
      <c r="W8" s="114"/>
      <c r="X8" s="114"/>
      <c r="Y8" s="114"/>
      <c r="AA8" s="50"/>
      <c r="AB8" s="45"/>
      <c r="AC8" s="55"/>
      <c r="AD8" s="47"/>
      <c r="AE8" s="45"/>
      <c r="AF8" s="52"/>
      <c r="AG8" s="50"/>
      <c r="AH8" s="59"/>
      <c r="AI8" s="39"/>
      <c r="AJ8" s="52"/>
      <c r="AK8" s="50"/>
      <c r="AL8" s="39"/>
      <c r="AM8" s="52"/>
      <c r="AN8" s="50"/>
      <c r="AO8" s="57"/>
      <c r="AP8" s="57"/>
    </row>
    <row r="9" spans="1:42" ht="15" thickBot="1" x14ac:dyDescent="0.35">
      <c r="A9" s="57"/>
      <c r="B9" s="1"/>
      <c r="C9" s="1">
        <f>_xlfn.XLOOKUP(B9,ppv[VisualId],ppv[DpmBucket],"")</f>
        <v>0</v>
      </c>
      <c r="D9" s="1"/>
      <c r="E9" s="1"/>
      <c r="F9" s="57"/>
      <c r="G9" s="28"/>
      <c r="H9" s="29"/>
      <c r="I9" s="57"/>
      <c r="J9" s="33" t="s">
        <v>40</v>
      </c>
      <c r="L9" s="124">
        <v>0</v>
      </c>
      <c r="M9" s="125"/>
      <c r="N9" s="88" t="s">
        <v>18</v>
      </c>
      <c r="O9" s="67">
        <v>0</v>
      </c>
      <c r="P9" s="68">
        <v>1</v>
      </c>
      <c r="Q9" s="68">
        <v>2</v>
      </c>
      <c r="R9" s="68">
        <v>3</v>
      </c>
      <c r="S9" s="73" t="s">
        <v>86</v>
      </c>
      <c r="T9" s="74" t="s">
        <v>87</v>
      </c>
      <c r="U9" s="71">
        <v>0</v>
      </c>
      <c r="V9" s="71">
        <v>1</v>
      </c>
      <c r="W9" s="71">
        <v>2</v>
      </c>
      <c r="X9" s="72">
        <v>3</v>
      </c>
      <c r="Y9" s="75" t="s">
        <v>18</v>
      </c>
      <c r="AA9" s="50"/>
      <c r="AB9" s="45"/>
      <c r="AC9" s="55"/>
      <c r="AD9" s="47"/>
      <c r="AE9" s="45"/>
      <c r="AF9" s="52"/>
      <c r="AG9" s="50"/>
      <c r="AH9" s="59"/>
      <c r="AI9" s="39"/>
      <c r="AJ9" s="52"/>
      <c r="AK9" s="50"/>
      <c r="AL9" s="39"/>
      <c r="AM9" s="52"/>
      <c r="AN9" s="50"/>
      <c r="AO9" s="57"/>
      <c r="AP9" s="57"/>
    </row>
    <row r="10" spans="1:42" ht="15" customHeight="1" thickBot="1" x14ac:dyDescent="0.35">
      <c r="A10" s="57"/>
      <c r="B10" s="1"/>
      <c r="C10" s="1">
        <f>_xlfn.XLOOKUP(B10,ppv[VisualId],ppv[DpmBucket],"")</f>
        <v>0</v>
      </c>
      <c r="D10" s="1"/>
      <c r="E10" s="1"/>
      <c r="F10" s="57"/>
      <c r="G10" s="28"/>
      <c r="H10" s="29"/>
      <c r="I10" s="57"/>
      <c r="J10" s="34" t="s">
        <v>78</v>
      </c>
      <c r="L10" s="115" t="s">
        <v>90</v>
      </c>
      <c r="M10" s="115">
        <v>0</v>
      </c>
      <c r="N10" s="89">
        <v>0</v>
      </c>
      <c r="O10" s="64">
        <f>L9*(32)+O9</f>
        <v>0</v>
      </c>
      <c r="P10" s="64">
        <f>L9*(32)+P9</f>
        <v>1</v>
      </c>
      <c r="Q10" s="64">
        <f>L9*(32)+Q9</f>
        <v>2</v>
      </c>
      <c r="R10" s="64">
        <f>L9*(32)+R9</f>
        <v>3</v>
      </c>
      <c r="S10" s="69" t="s">
        <v>85</v>
      </c>
      <c r="T10" s="70" t="s">
        <v>85</v>
      </c>
      <c r="U10" s="64">
        <f>L9*(32)+U9</f>
        <v>0</v>
      </c>
      <c r="V10" s="64">
        <f>L9*(32)+V9</f>
        <v>1</v>
      </c>
      <c r="W10" s="64">
        <f>L9*(32)+W9</f>
        <v>2</v>
      </c>
      <c r="X10" s="64">
        <f>L9*(32)+X9</f>
        <v>3</v>
      </c>
      <c r="Y10" s="76">
        <v>0</v>
      </c>
      <c r="AA10" s="50"/>
      <c r="AB10" s="45"/>
      <c r="AC10" s="55"/>
      <c r="AD10" s="47"/>
      <c r="AE10" s="45"/>
      <c r="AF10" s="52"/>
      <c r="AG10" s="50"/>
      <c r="AH10" s="59"/>
      <c r="AI10" s="39"/>
      <c r="AJ10" s="52"/>
      <c r="AK10" s="50"/>
      <c r="AL10" s="39"/>
      <c r="AM10" s="52"/>
      <c r="AN10" s="50"/>
      <c r="AO10" s="57"/>
      <c r="AP10" s="57"/>
    </row>
    <row r="11" spans="1:42" ht="15" thickBot="1" x14ac:dyDescent="0.35">
      <c r="A11" s="57"/>
      <c r="B11" s="1"/>
      <c r="C11" s="1">
        <f>_xlfn.XLOOKUP(B11,ppv[VisualId],ppv[DpmBucket],"")</f>
        <v>0</v>
      </c>
      <c r="D11" s="1"/>
      <c r="E11" s="1"/>
      <c r="F11" s="57"/>
      <c r="G11" s="28"/>
      <c r="H11" s="29"/>
      <c r="I11" s="57"/>
      <c r="J11" s="13" t="s">
        <v>41</v>
      </c>
      <c r="L11" s="116"/>
      <c r="M11" s="117"/>
      <c r="N11" s="89">
        <v>1</v>
      </c>
      <c r="O11" s="64">
        <f t="shared" ref="O11:R17" si="0">O10+4</f>
        <v>4</v>
      </c>
      <c r="P11" s="64">
        <f t="shared" si="0"/>
        <v>5</v>
      </c>
      <c r="Q11" s="64">
        <f t="shared" si="0"/>
        <v>6</v>
      </c>
      <c r="R11" s="64">
        <f t="shared" si="0"/>
        <v>7</v>
      </c>
      <c r="S11" s="69" t="s">
        <v>85</v>
      </c>
      <c r="T11" s="70" t="s">
        <v>85</v>
      </c>
      <c r="U11" s="64">
        <f t="shared" ref="U11:X17" si="1">U10+4</f>
        <v>4</v>
      </c>
      <c r="V11" s="64">
        <f t="shared" si="1"/>
        <v>5</v>
      </c>
      <c r="W11" s="64">
        <f t="shared" si="1"/>
        <v>6</v>
      </c>
      <c r="X11" s="64">
        <f t="shared" si="1"/>
        <v>7</v>
      </c>
      <c r="Y11" s="76">
        <v>1</v>
      </c>
      <c r="AA11" s="40" t="s">
        <v>56</v>
      </c>
      <c r="AB11" s="45"/>
      <c r="AC11" s="55"/>
      <c r="AD11" s="47"/>
      <c r="AE11" s="45"/>
      <c r="AF11" s="52"/>
      <c r="AG11" s="50"/>
      <c r="AH11" s="59"/>
      <c r="AI11" s="39"/>
      <c r="AJ11" s="52"/>
      <c r="AK11" s="50"/>
      <c r="AL11" s="39"/>
      <c r="AM11" s="52"/>
      <c r="AN11" s="50"/>
      <c r="AO11" s="57"/>
      <c r="AP11" s="57"/>
    </row>
    <row r="12" spans="1:42" ht="15" thickBot="1" x14ac:dyDescent="0.35">
      <c r="A12" s="57"/>
      <c r="B12" s="1"/>
      <c r="C12" s="1">
        <f>_xlfn.XLOOKUP(B12,ppv[VisualId],ppv[DpmBucket],"")</f>
        <v>0</v>
      </c>
      <c r="D12" s="1"/>
      <c r="E12" s="1"/>
      <c r="F12" s="57"/>
      <c r="G12" s="28"/>
      <c r="H12" s="29"/>
      <c r="I12" s="57"/>
      <c r="J12" s="38" t="s">
        <v>55</v>
      </c>
      <c r="L12" s="116"/>
      <c r="M12" s="115">
        <v>1</v>
      </c>
      <c r="N12" s="89">
        <v>2</v>
      </c>
      <c r="O12" s="64">
        <f t="shared" si="0"/>
        <v>8</v>
      </c>
      <c r="P12" s="64">
        <f t="shared" si="0"/>
        <v>9</v>
      </c>
      <c r="Q12" s="64">
        <f t="shared" si="0"/>
        <v>10</v>
      </c>
      <c r="R12" s="64">
        <f t="shared" si="0"/>
        <v>11</v>
      </c>
      <c r="S12" s="69" t="s">
        <v>85</v>
      </c>
      <c r="T12" s="70" t="s">
        <v>85</v>
      </c>
      <c r="U12" s="64">
        <f t="shared" si="1"/>
        <v>8</v>
      </c>
      <c r="V12" s="64">
        <f t="shared" si="1"/>
        <v>9</v>
      </c>
      <c r="W12" s="64">
        <f t="shared" si="1"/>
        <v>10</v>
      </c>
      <c r="X12" s="64">
        <f t="shared" si="1"/>
        <v>11</v>
      </c>
      <c r="Y12" s="76">
        <v>2</v>
      </c>
      <c r="AA12" s="50"/>
      <c r="AB12" s="45"/>
      <c r="AC12" s="55"/>
      <c r="AD12" s="47"/>
      <c r="AE12" s="45"/>
      <c r="AF12" s="52"/>
      <c r="AG12" s="50"/>
      <c r="AH12" s="59"/>
      <c r="AI12" s="39"/>
      <c r="AJ12" s="52"/>
      <c r="AK12" s="50"/>
      <c r="AL12" s="39"/>
      <c r="AM12" s="52"/>
      <c r="AN12" s="50"/>
      <c r="AO12" s="57"/>
      <c r="AP12" s="57"/>
    </row>
    <row r="13" spans="1:42" ht="15" thickBot="1" x14ac:dyDescent="0.35">
      <c r="A13" s="57"/>
      <c r="B13" s="1"/>
      <c r="C13" s="1">
        <f>_xlfn.XLOOKUP(B13,ppv[VisualId],ppv[DpmBucket],"")</f>
        <v>0</v>
      </c>
      <c r="D13" s="1"/>
      <c r="E13" s="1"/>
      <c r="F13" s="57"/>
      <c r="G13" s="28"/>
      <c r="H13" s="29"/>
      <c r="I13" s="57"/>
      <c r="L13" s="116"/>
      <c r="M13" s="117"/>
      <c r="N13" s="89">
        <v>3</v>
      </c>
      <c r="O13" s="64">
        <f t="shared" si="0"/>
        <v>12</v>
      </c>
      <c r="P13" s="64">
        <f t="shared" si="0"/>
        <v>13</v>
      </c>
      <c r="Q13" s="64">
        <f t="shared" si="0"/>
        <v>14</v>
      </c>
      <c r="R13" s="64">
        <f t="shared" si="0"/>
        <v>15</v>
      </c>
      <c r="S13" s="69" t="s">
        <v>85</v>
      </c>
      <c r="T13" s="70" t="s">
        <v>85</v>
      </c>
      <c r="U13" s="64">
        <f t="shared" si="1"/>
        <v>12</v>
      </c>
      <c r="V13" s="64">
        <f t="shared" si="1"/>
        <v>13</v>
      </c>
      <c r="W13" s="64">
        <f t="shared" si="1"/>
        <v>14</v>
      </c>
      <c r="X13" s="64">
        <f t="shared" si="1"/>
        <v>15</v>
      </c>
      <c r="Y13" s="76">
        <v>3</v>
      </c>
      <c r="AA13" s="50"/>
      <c r="AB13" s="45"/>
      <c r="AC13" s="55"/>
      <c r="AD13" s="47"/>
      <c r="AE13" s="45"/>
      <c r="AF13" s="52"/>
      <c r="AG13" s="50"/>
      <c r="AH13" s="59"/>
      <c r="AI13" s="39"/>
      <c r="AJ13" s="52"/>
      <c r="AK13" s="50"/>
      <c r="AL13" s="39"/>
      <c r="AM13" s="52"/>
      <c r="AN13" s="50"/>
      <c r="AO13" s="57"/>
      <c r="AP13" s="57"/>
    </row>
    <row r="14" spans="1:42" ht="15" thickBot="1" x14ac:dyDescent="0.35">
      <c r="A14" s="57"/>
      <c r="B14" s="1"/>
      <c r="C14" s="1">
        <f>_xlfn.XLOOKUP(B14,ppv[VisualId],ppv[DpmBucket],"")</f>
        <v>0</v>
      </c>
      <c r="D14" s="1"/>
      <c r="E14" s="1"/>
      <c r="F14" s="57"/>
      <c r="G14" s="28"/>
      <c r="H14" s="29"/>
      <c r="I14" s="57"/>
      <c r="L14" s="116"/>
      <c r="M14" s="115">
        <v>2</v>
      </c>
      <c r="N14" s="89">
        <v>4</v>
      </c>
      <c r="O14" s="64">
        <f t="shared" si="0"/>
        <v>16</v>
      </c>
      <c r="P14" s="64">
        <f t="shared" si="0"/>
        <v>17</v>
      </c>
      <c r="Q14" s="64">
        <f t="shared" si="0"/>
        <v>18</v>
      </c>
      <c r="R14" s="64">
        <f t="shared" si="0"/>
        <v>19</v>
      </c>
      <c r="S14" s="69" t="s">
        <v>85</v>
      </c>
      <c r="T14" s="70" t="s">
        <v>85</v>
      </c>
      <c r="U14" s="64">
        <f t="shared" si="1"/>
        <v>16</v>
      </c>
      <c r="V14" s="64">
        <f t="shared" si="1"/>
        <v>17</v>
      </c>
      <c r="W14" s="64">
        <f t="shared" si="1"/>
        <v>18</v>
      </c>
      <c r="X14" s="64">
        <f t="shared" si="1"/>
        <v>19</v>
      </c>
      <c r="Y14" s="76">
        <v>4</v>
      </c>
      <c r="AA14" s="50"/>
      <c r="AB14" s="45"/>
      <c r="AC14" s="55"/>
      <c r="AD14" s="47"/>
      <c r="AE14" s="45"/>
      <c r="AF14" s="52"/>
      <c r="AG14" s="50"/>
      <c r="AH14" s="59"/>
      <c r="AI14" s="39"/>
      <c r="AJ14" s="52"/>
      <c r="AK14" s="50"/>
      <c r="AL14" s="39"/>
      <c r="AM14" s="52"/>
      <c r="AN14" s="50"/>
      <c r="AO14" s="57"/>
      <c r="AP14" s="57"/>
    </row>
    <row r="15" spans="1:42" ht="15" thickBot="1" x14ac:dyDescent="0.35">
      <c r="A15" s="57"/>
      <c r="B15" s="1"/>
      <c r="C15" s="1">
        <f>_xlfn.XLOOKUP(B15,ppv[VisualId],ppv[DpmBucket],"")</f>
        <v>0</v>
      </c>
      <c r="D15" s="1"/>
      <c r="E15" s="1"/>
      <c r="F15" s="57"/>
      <c r="G15" s="28"/>
      <c r="H15" s="29"/>
      <c r="I15" s="57"/>
      <c r="L15" s="116"/>
      <c r="M15" s="117"/>
      <c r="N15" s="89">
        <v>5</v>
      </c>
      <c r="O15" s="64">
        <f t="shared" si="0"/>
        <v>20</v>
      </c>
      <c r="P15" s="64">
        <f t="shared" si="0"/>
        <v>21</v>
      </c>
      <c r="Q15" s="64">
        <f t="shared" si="0"/>
        <v>22</v>
      </c>
      <c r="R15" s="64">
        <f t="shared" si="0"/>
        <v>23</v>
      </c>
      <c r="S15" s="69" t="s">
        <v>85</v>
      </c>
      <c r="T15" s="70" t="s">
        <v>85</v>
      </c>
      <c r="U15" s="64">
        <f t="shared" si="1"/>
        <v>20</v>
      </c>
      <c r="V15" s="64">
        <f t="shared" si="1"/>
        <v>21</v>
      </c>
      <c r="W15" s="64">
        <f t="shared" si="1"/>
        <v>22</v>
      </c>
      <c r="X15" s="64">
        <f t="shared" si="1"/>
        <v>23</v>
      </c>
      <c r="Y15" s="76">
        <v>5</v>
      </c>
      <c r="AA15" s="50"/>
      <c r="AB15" s="45"/>
      <c r="AC15" s="55"/>
      <c r="AD15" s="47"/>
      <c r="AE15" s="45"/>
      <c r="AF15" s="52"/>
      <c r="AG15" s="50"/>
      <c r="AH15" s="59"/>
      <c r="AI15" s="39"/>
      <c r="AJ15" s="52"/>
      <c r="AK15" s="50"/>
      <c r="AL15" s="39"/>
      <c r="AM15" s="52"/>
      <c r="AN15" s="50"/>
      <c r="AO15" s="57"/>
      <c r="AP15" s="57"/>
    </row>
    <row r="16" spans="1:42" ht="15" thickBot="1" x14ac:dyDescent="0.35">
      <c r="A16" s="57"/>
      <c r="B16" s="1"/>
      <c r="C16" s="1">
        <f>_xlfn.XLOOKUP(B16,ppv[VisualId],ppv[DpmBucket],"")</f>
        <v>0</v>
      </c>
      <c r="D16" s="1"/>
      <c r="E16" s="1"/>
      <c r="F16" s="57"/>
      <c r="G16" s="28"/>
      <c r="H16" s="29"/>
      <c r="I16" s="57"/>
      <c r="L16" s="116"/>
      <c r="M16" s="115">
        <v>3</v>
      </c>
      <c r="N16" s="89">
        <v>6</v>
      </c>
      <c r="O16" s="64">
        <f t="shared" si="0"/>
        <v>24</v>
      </c>
      <c r="P16" s="64">
        <f t="shared" si="0"/>
        <v>25</v>
      </c>
      <c r="Q16" s="64">
        <f t="shared" si="0"/>
        <v>26</v>
      </c>
      <c r="R16" s="64">
        <f t="shared" si="0"/>
        <v>27</v>
      </c>
      <c r="S16" s="69" t="s">
        <v>85</v>
      </c>
      <c r="T16" s="70" t="s">
        <v>85</v>
      </c>
      <c r="U16" s="64">
        <f t="shared" si="1"/>
        <v>24</v>
      </c>
      <c r="V16" s="64">
        <f t="shared" si="1"/>
        <v>25</v>
      </c>
      <c r="W16" s="64">
        <f t="shared" si="1"/>
        <v>26</v>
      </c>
      <c r="X16" s="64">
        <f t="shared" si="1"/>
        <v>27</v>
      </c>
      <c r="Y16" s="76">
        <v>6</v>
      </c>
      <c r="AA16" s="50"/>
      <c r="AB16" s="45"/>
      <c r="AC16" s="55"/>
      <c r="AD16" s="47"/>
      <c r="AE16" s="45"/>
      <c r="AF16" s="52"/>
      <c r="AG16" s="50"/>
      <c r="AH16" s="59"/>
      <c r="AI16" s="39"/>
      <c r="AJ16" s="52"/>
      <c r="AK16" s="50"/>
      <c r="AL16" s="39"/>
      <c r="AM16" s="52"/>
      <c r="AN16" s="50"/>
      <c r="AO16" s="57"/>
      <c r="AP16" s="57"/>
    </row>
    <row r="17" spans="1:42" ht="15" thickBot="1" x14ac:dyDescent="0.35">
      <c r="A17" s="57"/>
      <c r="B17" s="1"/>
      <c r="C17" s="1">
        <f>_xlfn.XLOOKUP(B17,ppv[VisualId],ppv[DpmBucket],"")</f>
        <v>0</v>
      </c>
      <c r="D17" s="1"/>
      <c r="E17" s="1"/>
      <c r="F17" s="57"/>
      <c r="G17" s="28"/>
      <c r="H17" s="29"/>
      <c r="I17" s="57"/>
      <c r="L17" s="116"/>
      <c r="M17" s="117"/>
      <c r="N17" s="89">
        <v>7</v>
      </c>
      <c r="O17" s="64">
        <f t="shared" si="0"/>
        <v>28</v>
      </c>
      <c r="P17" s="64">
        <f t="shared" si="0"/>
        <v>29</v>
      </c>
      <c r="Q17" s="64">
        <f t="shared" si="0"/>
        <v>30</v>
      </c>
      <c r="R17" s="64">
        <f t="shared" si="0"/>
        <v>31</v>
      </c>
      <c r="S17" s="69" t="s">
        <v>85</v>
      </c>
      <c r="T17" s="70" t="s">
        <v>85</v>
      </c>
      <c r="U17" s="64">
        <f t="shared" si="1"/>
        <v>28</v>
      </c>
      <c r="V17" s="64">
        <f t="shared" si="1"/>
        <v>29</v>
      </c>
      <c r="W17" s="64">
        <f t="shared" si="1"/>
        <v>30</v>
      </c>
      <c r="X17" s="64">
        <f t="shared" si="1"/>
        <v>31</v>
      </c>
      <c r="Y17" s="76">
        <v>7</v>
      </c>
      <c r="AA17" s="50"/>
      <c r="AB17" s="45"/>
      <c r="AC17" s="55"/>
      <c r="AD17" s="47"/>
      <c r="AE17" s="45"/>
      <c r="AF17" s="52"/>
      <c r="AG17" s="50"/>
      <c r="AH17" s="59"/>
      <c r="AI17" s="39"/>
      <c r="AJ17" s="52"/>
      <c r="AK17" s="50"/>
      <c r="AL17" s="39"/>
      <c r="AM17" s="52"/>
      <c r="AN17" s="50"/>
      <c r="AO17" s="57"/>
      <c r="AP17" s="57"/>
    </row>
    <row r="18" spans="1:42" ht="15" thickBot="1" x14ac:dyDescent="0.35">
      <c r="A18" s="57"/>
      <c r="B18" s="1"/>
      <c r="C18" s="1">
        <f>_xlfn.XLOOKUP(B18,ppv[VisualId],ppv[DpmBucket],"")</f>
        <v>0</v>
      </c>
      <c r="D18" s="1"/>
      <c r="E18" s="1"/>
      <c r="F18" s="57"/>
      <c r="G18" s="30"/>
      <c r="H18" s="31"/>
      <c r="I18" s="57"/>
      <c r="L18" s="116"/>
      <c r="M18" s="93"/>
      <c r="N18" s="95"/>
      <c r="O18" s="95"/>
      <c r="P18" s="95"/>
      <c r="Q18" s="95"/>
      <c r="R18" s="95"/>
      <c r="S18" s="96"/>
      <c r="T18" s="97"/>
      <c r="U18" s="126" t="s">
        <v>122</v>
      </c>
      <c r="V18" s="114"/>
      <c r="W18" s="114"/>
      <c r="X18" s="127"/>
      <c r="Y18" s="98"/>
      <c r="AA18" s="50"/>
      <c r="AB18" s="45"/>
      <c r="AC18" s="55"/>
      <c r="AD18" s="47"/>
      <c r="AE18" s="45"/>
      <c r="AF18" s="52"/>
      <c r="AG18" s="50"/>
      <c r="AH18" s="59"/>
      <c r="AI18" s="39"/>
      <c r="AJ18" s="52"/>
      <c r="AK18" s="50"/>
      <c r="AL18" s="39"/>
      <c r="AM18" s="52"/>
      <c r="AN18" s="50"/>
      <c r="AO18" s="57"/>
      <c r="AP18" s="57"/>
    </row>
    <row r="19" spans="1:42" ht="15" thickBot="1" x14ac:dyDescent="0.35">
      <c r="A19" s="57"/>
      <c r="B19" s="1"/>
      <c r="C19" s="1">
        <f>_xlfn.XLOOKUP(B19,ppv[VisualId],ppv[DpmBucket],"")</f>
        <v>0</v>
      </c>
      <c r="D19" s="1"/>
      <c r="E19" s="1"/>
      <c r="F19" s="57"/>
      <c r="G19" s="57"/>
      <c r="H19" s="57"/>
      <c r="I19" s="57"/>
      <c r="L19" s="117"/>
      <c r="M19" s="94"/>
      <c r="N19" s="82"/>
      <c r="O19" s="82"/>
      <c r="P19" s="82"/>
      <c r="Q19" s="82"/>
      <c r="R19" s="82"/>
      <c r="S19" s="83"/>
      <c r="T19" s="86"/>
      <c r="U19" s="77" t="s">
        <v>84</v>
      </c>
      <c r="V19" s="78" t="s">
        <v>84</v>
      </c>
      <c r="W19" s="78" t="s">
        <v>84</v>
      </c>
      <c r="X19" s="79" t="s">
        <v>84</v>
      </c>
      <c r="Y19" s="87"/>
      <c r="AA19" s="50"/>
      <c r="AB19" s="45"/>
      <c r="AC19" s="55"/>
      <c r="AD19" s="47"/>
      <c r="AE19" s="45"/>
      <c r="AF19" s="52"/>
      <c r="AG19" s="50"/>
      <c r="AH19" s="59"/>
      <c r="AI19" s="39"/>
      <c r="AJ19" s="52"/>
      <c r="AK19" s="50"/>
      <c r="AL19" s="39"/>
      <c r="AM19" s="52"/>
      <c r="AN19" s="50"/>
      <c r="AO19" s="57"/>
      <c r="AP19" s="57"/>
    </row>
    <row r="20" spans="1:42" ht="15" thickBot="1" x14ac:dyDescent="0.35">
      <c r="A20" s="57"/>
      <c r="B20" s="1"/>
      <c r="C20" s="1">
        <f>_xlfn.XLOOKUP(B20,ppv[VisualId],ppv[DpmBucket],"")</f>
        <v>0</v>
      </c>
      <c r="D20" s="1"/>
      <c r="E20" s="1"/>
      <c r="F20" s="57"/>
      <c r="G20" s="57"/>
      <c r="H20" s="57"/>
      <c r="I20" s="57"/>
      <c r="AA20" s="50"/>
      <c r="AB20" s="45"/>
      <c r="AC20" s="55"/>
      <c r="AD20" s="47"/>
      <c r="AE20" s="45"/>
      <c r="AF20" s="52"/>
      <c r="AG20" s="50"/>
      <c r="AH20" s="59"/>
      <c r="AI20" s="39"/>
      <c r="AJ20" s="52"/>
      <c r="AK20" s="50"/>
      <c r="AL20" s="39"/>
      <c r="AM20" s="52"/>
      <c r="AN20" s="50"/>
      <c r="AO20" s="57"/>
      <c r="AP20" s="57"/>
    </row>
    <row r="21" spans="1:42" ht="15" thickBot="1" x14ac:dyDescent="0.35">
      <c r="A21" s="57"/>
      <c r="B21" s="1"/>
      <c r="C21" s="1">
        <f>_xlfn.XLOOKUP(B21,ppv[VisualId],ppv[DpmBucket],"")</f>
        <v>0</v>
      </c>
      <c r="D21" s="1"/>
      <c r="E21" s="1"/>
      <c r="F21" s="57"/>
      <c r="G21" s="57"/>
      <c r="H21" s="57"/>
      <c r="I21" s="57"/>
      <c r="J21" s="32" t="s">
        <v>39</v>
      </c>
      <c r="L21" s="122" t="s">
        <v>89</v>
      </c>
      <c r="M21" s="123"/>
      <c r="N21" s="118" t="s">
        <v>119</v>
      </c>
      <c r="O21" s="118"/>
      <c r="P21" s="118"/>
      <c r="Q21" s="118"/>
      <c r="R21" s="118"/>
      <c r="S21" s="118"/>
      <c r="T21" s="114" t="s">
        <v>88</v>
      </c>
      <c r="U21" s="114"/>
      <c r="V21" s="114"/>
      <c r="W21" s="114"/>
      <c r="X21" s="114"/>
      <c r="Y21" s="114"/>
      <c r="AA21" s="50"/>
      <c r="AB21" s="45"/>
      <c r="AC21" s="55"/>
      <c r="AD21" s="47"/>
      <c r="AE21" s="45"/>
      <c r="AF21" s="52"/>
      <c r="AG21" s="50"/>
      <c r="AH21" s="59"/>
      <c r="AI21" s="39"/>
      <c r="AJ21" s="52"/>
      <c r="AK21" s="50"/>
      <c r="AL21" s="39"/>
      <c r="AM21" s="52"/>
      <c r="AN21" s="50"/>
      <c r="AO21" s="57"/>
      <c r="AP21" s="57"/>
    </row>
    <row r="22" spans="1:42" ht="15" thickBot="1" x14ac:dyDescent="0.35">
      <c r="A22" s="57"/>
      <c r="B22" s="1"/>
      <c r="C22" s="1">
        <f>_xlfn.XLOOKUP(B22,ppv[VisualId],ppv[DpmBucket],"")</f>
        <v>0</v>
      </c>
      <c r="D22" s="1"/>
      <c r="E22" s="1"/>
      <c r="F22" s="57"/>
      <c r="G22" s="57"/>
      <c r="H22" s="57"/>
      <c r="I22" s="57"/>
      <c r="J22" s="12" t="s">
        <v>40</v>
      </c>
      <c r="L22" s="124">
        <v>1</v>
      </c>
      <c r="M22" s="125"/>
      <c r="N22" s="88" t="s">
        <v>18</v>
      </c>
      <c r="O22" s="67">
        <v>0</v>
      </c>
      <c r="P22" s="68">
        <v>1</v>
      </c>
      <c r="Q22" s="68">
        <v>2</v>
      </c>
      <c r="R22" s="68">
        <v>3</v>
      </c>
      <c r="S22" s="73" t="s">
        <v>86</v>
      </c>
      <c r="T22" s="74" t="s">
        <v>87</v>
      </c>
      <c r="U22" s="71">
        <v>0</v>
      </c>
      <c r="V22" s="71">
        <v>1</v>
      </c>
      <c r="W22" s="71">
        <v>2</v>
      </c>
      <c r="X22" s="72">
        <v>3</v>
      </c>
      <c r="Y22" s="75" t="s">
        <v>18</v>
      </c>
      <c r="AA22" s="50"/>
      <c r="AB22" s="45"/>
      <c r="AC22" s="55"/>
      <c r="AD22" s="47"/>
      <c r="AE22" s="45"/>
      <c r="AF22" s="52"/>
      <c r="AG22" s="50"/>
      <c r="AH22" s="59"/>
      <c r="AI22" s="39"/>
      <c r="AJ22" s="52"/>
      <c r="AK22" s="50"/>
      <c r="AL22" s="39"/>
      <c r="AM22" s="52"/>
      <c r="AN22" s="50"/>
      <c r="AO22" s="57"/>
      <c r="AP22" s="57"/>
    </row>
    <row r="23" spans="1:42" ht="15" customHeight="1" thickBot="1" x14ac:dyDescent="0.35">
      <c r="A23" s="57"/>
      <c r="B23" s="1"/>
      <c r="C23" s="1">
        <f>_xlfn.XLOOKUP(B23,ppv[VisualId],ppv[DpmBucket],"")</f>
        <v>0</v>
      </c>
      <c r="D23" s="1"/>
      <c r="E23" s="1"/>
      <c r="F23" s="57"/>
      <c r="G23" s="57"/>
      <c r="H23" s="57"/>
      <c r="I23" s="57"/>
      <c r="J23" s="34" t="s">
        <v>78</v>
      </c>
      <c r="L23" s="115" t="s">
        <v>90</v>
      </c>
      <c r="M23" s="115">
        <v>0</v>
      </c>
      <c r="N23" s="89">
        <v>0</v>
      </c>
      <c r="O23" s="64">
        <f>L22*(32)+O22</f>
        <v>32</v>
      </c>
      <c r="P23" s="64">
        <f>L22*(32)+P22</f>
        <v>33</v>
      </c>
      <c r="Q23" s="64">
        <f>L22*(32)+Q22</f>
        <v>34</v>
      </c>
      <c r="R23" s="64">
        <f>L22*(32)+R22</f>
        <v>35</v>
      </c>
      <c r="S23" s="69" t="s">
        <v>85</v>
      </c>
      <c r="T23" s="70" t="s">
        <v>85</v>
      </c>
      <c r="U23" s="64">
        <f>L22*(32)+U22</f>
        <v>32</v>
      </c>
      <c r="V23" s="64">
        <f>L22*(32)+V22</f>
        <v>33</v>
      </c>
      <c r="W23" s="64">
        <f>L22*(32)+W22</f>
        <v>34</v>
      </c>
      <c r="X23" s="64">
        <f>L22*(32)+X22</f>
        <v>35</v>
      </c>
      <c r="Y23" s="76">
        <v>0</v>
      </c>
      <c r="AA23" s="50"/>
      <c r="AB23" s="45"/>
      <c r="AC23" s="55"/>
      <c r="AD23" s="47"/>
      <c r="AE23" s="45"/>
      <c r="AF23" s="52"/>
      <c r="AG23" s="50"/>
      <c r="AH23" s="59"/>
      <c r="AI23" s="39"/>
      <c r="AJ23" s="52"/>
      <c r="AK23" s="50"/>
      <c r="AL23" s="39"/>
      <c r="AM23" s="52"/>
      <c r="AN23" s="50"/>
      <c r="AO23" s="57"/>
      <c r="AP23" s="57"/>
    </row>
    <row r="24" spans="1:42" ht="15" thickBot="1" x14ac:dyDescent="0.35">
      <c r="A24" s="57"/>
      <c r="B24" s="1"/>
      <c r="C24" s="1">
        <f>_xlfn.XLOOKUP(B24,ppv[VisualId],ppv[DpmBucket],"")</f>
        <v>0</v>
      </c>
      <c r="D24" s="1"/>
      <c r="E24" s="1"/>
      <c r="F24" s="57"/>
      <c r="G24" s="57"/>
      <c r="H24" s="57"/>
      <c r="I24" s="57"/>
      <c r="J24" s="13" t="s">
        <v>41</v>
      </c>
      <c r="L24" s="116"/>
      <c r="M24" s="117"/>
      <c r="N24" s="89">
        <v>1</v>
      </c>
      <c r="O24" s="64">
        <f t="shared" ref="O24:R24" si="2">O23+4</f>
        <v>36</v>
      </c>
      <c r="P24" s="64">
        <f t="shared" si="2"/>
        <v>37</v>
      </c>
      <c r="Q24" s="64">
        <f t="shared" si="2"/>
        <v>38</v>
      </c>
      <c r="R24" s="64">
        <f t="shared" si="2"/>
        <v>39</v>
      </c>
      <c r="S24" s="69" t="s">
        <v>85</v>
      </c>
      <c r="T24" s="70" t="s">
        <v>85</v>
      </c>
      <c r="U24" s="64">
        <f t="shared" ref="U24:X24" si="3">U23+4</f>
        <v>36</v>
      </c>
      <c r="V24" s="64">
        <f t="shared" si="3"/>
        <v>37</v>
      </c>
      <c r="W24" s="64">
        <f t="shared" si="3"/>
        <v>38</v>
      </c>
      <c r="X24" s="64">
        <f t="shared" si="3"/>
        <v>39</v>
      </c>
      <c r="Y24" s="76">
        <v>1</v>
      </c>
      <c r="AA24" s="50"/>
      <c r="AB24" s="45"/>
      <c r="AC24" s="55"/>
      <c r="AD24" s="47"/>
      <c r="AE24" s="45"/>
      <c r="AF24" s="52"/>
      <c r="AG24" s="50"/>
      <c r="AH24" s="59"/>
      <c r="AI24" s="39"/>
      <c r="AJ24" s="52"/>
      <c r="AK24" s="50"/>
      <c r="AL24" s="39"/>
      <c r="AM24" s="52"/>
      <c r="AN24" s="50"/>
      <c r="AO24" s="57"/>
      <c r="AP24" s="57"/>
    </row>
    <row r="25" spans="1:42" ht="15" thickBot="1" x14ac:dyDescent="0.35">
      <c r="A25" s="57"/>
      <c r="B25" s="1"/>
      <c r="C25" s="1">
        <f>_xlfn.XLOOKUP(B25,ppv[VisualId],ppv[DpmBucket],"")</f>
        <v>0</v>
      </c>
      <c r="D25" s="1"/>
      <c r="E25" s="1"/>
      <c r="F25" s="57"/>
      <c r="G25" s="57"/>
      <c r="H25" s="57"/>
      <c r="I25" s="57"/>
      <c r="J25" s="38" t="s">
        <v>55</v>
      </c>
      <c r="L25" s="116"/>
      <c r="M25" s="115">
        <v>1</v>
      </c>
      <c r="N25" s="89">
        <v>2</v>
      </c>
      <c r="O25" s="64">
        <f t="shared" ref="O25:R25" si="4">O24+4</f>
        <v>40</v>
      </c>
      <c r="P25" s="64">
        <f t="shared" si="4"/>
        <v>41</v>
      </c>
      <c r="Q25" s="64">
        <f t="shared" si="4"/>
        <v>42</v>
      </c>
      <c r="R25" s="64">
        <f t="shared" si="4"/>
        <v>43</v>
      </c>
      <c r="S25" s="69" t="s">
        <v>85</v>
      </c>
      <c r="T25" s="70" t="s">
        <v>85</v>
      </c>
      <c r="U25" s="64">
        <f t="shared" ref="U25:X25" si="5">U24+4</f>
        <v>40</v>
      </c>
      <c r="V25" s="64">
        <f t="shared" si="5"/>
        <v>41</v>
      </c>
      <c r="W25" s="64">
        <f t="shared" si="5"/>
        <v>42</v>
      </c>
      <c r="X25" s="64">
        <f t="shared" si="5"/>
        <v>43</v>
      </c>
      <c r="Y25" s="76">
        <v>2</v>
      </c>
      <c r="AA25" s="50"/>
      <c r="AB25" s="45"/>
      <c r="AC25" s="55"/>
      <c r="AD25" s="47"/>
      <c r="AE25" s="45"/>
      <c r="AF25" s="52"/>
      <c r="AG25" s="50"/>
      <c r="AH25" s="59"/>
      <c r="AI25" s="39"/>
      <c r="AJ25" s="52"/>
      <c r="AK25" s="50"/>
      <c r="AL25" s="39"/>
      <c r="AM25" s="52"/>
      <c r="AN25" s="50"/>
      <c r="AO25" s="57"/>
      <c r="AP25" s="57"/>
    </row>
    <row r="26" spans="1:42" ht="15" thickBot="1" x14ac:dyDescent="0.35">
      <c r="A26" s="57"/>
      <c r="B26" s="1"/>
      <c r="C26" s="1">
        <f>_xlfn.XLOOKUP(B26,ppv[VisualId],ppv[DpmBucket],"")</f>
        <v>0</v>
      </c>
      <c r="D26" s="1"/>
      <c r="E26" s="1"/>
      <c r="F26" s="57"/>
      <c r="G26" s="57"/>
      <c r="H26" s="57"/>
      <c r="I26" s="57"/>
      <c r="L26" s="116"/>
      <c r="M26" s="117"/>
      <c r="N26" s="89">
        <v>3</v>
      </c>
      <c r="O26" s="64">
        <f t="shared" ref="O26:R26" si="6">O25+4</f>
        <v>44</v>
      </c>
      <c r="P26" s="64">
        <f t="shared" si="6"/>
        <v>45</v>
      </c>
      <c r="Q26" s="64">
        <f t="shared" si="6"/>
        <v>46</v>
      </c>
      <c r="R26" s="64">
        <f t="shared" si="6"/>
        <v>47</v>
      </c>
      <c r="S26" s="69" t="s">
        <v>85</v>
      </c>
      <c r="T26" s="70" t="s">
        <v>85</v>
      </c>
      <c r="U26" s="64">
        <f t="shared" ref="U26:X26" si="7">U25+4</f>
        <v>44</v>
      </c>
      <c r="V26" s="64">
        <f t="shared" si="7"/>
        <v>45</v>
      </c>
      <c r="W26" s="64">
        <f t="shared" si="7"/>
        <v>46</v>
      </c>
      <c r="X26" s="64">
        <f t="shared" si="7"/>
        <v>47</v>
      </c>
      <c r="Y26" s="76">
        <v>3</v>
      </c>
      <c r="AA26" s="50"/>
      <c r="AB26" s="45"/>
      <c r="AC26" s="55"/>
      <c r="AD26" s="47"/>
      <c r="AE26" s="45"/>
      <c r="AF26" s="52"/>
      <c r="AG26" s="50"/>
      <c r="AH26" s="59"/>
      <c r="AI26" s="39"/>
      <c r="AJ26" s="52"/>
      <c r="AK26" s="50"/>
      <c r="AL26" s="39"/>
      <c r="AM26" s="52"/>
      <c r="AN26" s="50"/>
      <c r="AO26" s="57"/>
      <c r="AP26" s="57"/>
    </row>
    <row r="27" spans="1:42" ht="15" thickBot="1" x14ac:dyDescent="0.35">
      <c r="A27" s="57"/>
      <c r="B27" s="1"/>
      <c r="C27" s="1">
        <f>_xlfn.XLOOKUP(B27,ppv[VisualId],ppv[DpmBucket],"")</f>
        <v>0</v>
      </c>
      <c r="D27" s="1"/>
      <c r="E27" s="1"/>
      <c r="F27" s="57"/>
      <c r="G27" s="57"/>
      <c r="H27" s="57"/>
      <c r="I27" s="57"/>
      <c r="L27" s="116"/>
      <c r="M27" s="115">
        <v>2</v>
      </c>
      <c r="N27" s="89">
        <v>4</v>
      </c>
      <c r="O27" s="64">
        <f t="shared" ref="O27:R27" si="8">O26+4</f>
        <v>48</v>
      </c>
      <c r="P27" s="64">
        <f t="shared" si="8"/>
        <v>49</v>
      </c>
      <c r="Q27" s="64">
        <f t="shared" si="8"/>
        <v>50</v>
      </c>
      <c r="R27" s="64">
        <f t="shared" si="8"/>
        <v>51</v>
      </c>
      <c r="S27" s="69" t="s">
        <v>85</v>
      </c>
      <c r="T27" s="70" t="s">
        <v>85</v>
      </c>
      <c r="U27" s="64">
        <f t="shared" ref="U27:X27" si="9">U26+4</f>
        <v>48</v>
      </c>
      <c r="V27" s="64">
        <f t="shared" si="9"/>
        <v>49</v>
      </c>
      <c r="W27" s="64">
        <f t="shared" si="9"/>
        <v>50</v>
      </c>
      <c r="X27" s="64">
        <f t="shared" si="9"/>
        <v>51</v>
      </c>
      <c r="Y27" s="76">
        <v>4</v>
      </c>
      <c r="AA27" s="50"/>
      <c r="AB27" s="45"/>
      <c r="AC27" s="55"/>
      <c r="AD27" s="47"/>
      <c r="AE27" s="45"/>
      <c r="AF27" s="52"/>
      <c r="AG27" s="50"/>
      <c r="AH27" s="59"/>
      <c r="AI27" s="39"/>
      <c r="AJ27" s="52"/>
      <c r="AK27" s="50"/>
      <c r="AL27" s="39"/>
      <c r="AM27" s="52"/>
      <c r="AN27" s="50"/>
      <c r="AO27" s="57"/>
      <c r="AP27" s="57"/>
    </row>
    <row r="28" spans="1:42" ht="15" thickBot="1" x14ac:dyDescent="0.35">
      <c r="A28" s="57"/>
      <c r="B28" s="1"/>
      <c r="C28" s="1">
        <f>_xlfn.XLOOKUP(B28,ppv[VisualId],ppv[DpmBucket],"")</f>
        <v>0</v>
      </c>
      <c r="D28" s="1"/>
      <c r="E28" s="1"/>
      <c r="F28" s="57"/>
      <c r="G28" s="57"/>
      <c r="H28" s="57"/>
      <c r="I28" s="57"/>
      <c r="J28" s="57"/>
      <c r="L28" s="116"/>
      <c r="M28" s="117"/>
      <c r="N28" s="89">
        <v>5</v>
      </c>
      <c r="O28" s="64">
        <f t="shared" ref="O28:R28" si="10">O27+4</f>
        <v>52</v>
      </c>
      <c r="P28" s="64">
        <f t="shared" si="10"/>
        <v>53</v>
      </c>
      <c r="Q28" s="64">
        <f t="shared" si="10"/>
        <v>54</v>
      </c>
      <c r="R28" s="64">
        <f t="shared" si="10"/>
        <v>55</v>
      </c>
      <c r="S28" s="69" t="s">
        <v>85</v>
      </c>
      <c r="T28" s="70" t="s">
        <v>85</v>
      </c>
      <c r="U28" s="64">
        <f t="shared" ref="U28:X28" si="11">U27+4</f>
        <v>52</v>
      </c>
      <c r="V28" s="64">
        <f t="shared" si="11"/>
        <v>53</v>
      </c>
      <c r="W28" s="64">
        <f t="shared" si="11"/>
        <v>54</v>
      </c>
      <c r="X28" s="64">
        <f t="shared" si="11"/>
        <v>55</v>
      </c>
      <c r="Y28" s="76">
        <v>5</v>
      </c>
      <c r="AA28" s="50"/>
      <c r="AB28" s="45"/>
      <c r="AC28" s="55"/>
      <c r="AD28" s="47"/>
      <c r="AE28" s="45"/>
      <c r="AF28" s="52"/>
      <c r="AG28" s="50"/>
      <c r="AH28" s="59"/>
      <c r="AI28" s="39"/>
      <c r="AJ28" s="52"/>
      <c r="AK28" s="50"/>
      <c r="AL28" s="39"/>
      <c r="AM28" s="52"/>
      <c r="AN28" s="50"/>
      <c r="AO28" s="57"/>
      <c r="AP28" s="57"/>
    </row>
    <row r="29" spans="1:42" ht="15" thickBot="1" x14ac:dyDescent="0.35">
      <c r="A29" s="57"/>
      <c r="B29" s="1"/>
      <c r="C29" s="1">
        <f>_xlfn.XLOOKUP(B29,ppv[VisualId],ppv[DpmBucket],"")</f>
        <v>0</v>
      </c>
      <c r="D29" s="1"/>
      <c r="E29" s="1"/>
      <c r="F29" s="57"/>
      <c r="G29" s="57"/>
      <c r="H29" s="57"/>
      <c r="I29" s="57"/>
      <c r="J29" s="57"/>
      <c r="L29" s="116"/>
      <c r="M29" s="115">
        <v>3</v>
      </c>
      <c r="N29" s="89">
        <v>6</v>
      </c>
      <c r="O29" s="64">
        <f t="shared" ref="O29:R29" si="12">O28+4</f>
        <v>56</v>
      </c>
      <c r="P29" s="64">
        <f t="shared" si="12"/>
        <v>57</v>
      </c>
      <c r="Q29" s="64">
        <f t="shared" si="12"/>
        <v>58</v>
      </c>
      <c r="R29" s="64">
        <f t="shared" si="12"/>
        <v>59</v>
      </c>
      <c r="S29" s="69" t="s">
        <v>85</v>
      </c>
      <c r="T29" s="70" t="s">
        <v>85</v>
      </c>
      <c r="U29" s="64">
        <f t="shared" ref="U29:X29" si="13">U28+4</f>
        <v>56</v>
      </c>
      <c r="V29" s="64">
        <f t="shared" si="13"/>
        <v>57</v>
      </c>
      <c r="W29" s="64">
        <f t="shared" si="13"/>
        <v>58</v>
      </c>
      <c r="X29" s="64">
        <f t="shared" si="13"/>
        <v>59</v>
      </c>
      <c r="Y29" s="76">
        <v>6</v>
      </c>
      <c r="AA29" s="50"/>
      <c r="AB29" s="45"/>
      <c r="AC29" s="55"/>
      <c r="AD29" s="47"/>
      <c r="AE29" s="45"/>
      <c r="AF29" s="52"/>
      <c r="AG29" s="50"/>
      <c r="AH29" s="59"/>
      <c r="AI29" s="39"/>
      <c r="AJ29" s="52"/>
      <c r="AK29" s="50"/>
      <c r="AL29" s="39"/>
      <c r="AM29" s="52"/>
      <c r="AN29" s="50"/>
      <c r="AO29" s="57"/>
      <c r="AP29" s="57"/>
    </row>
    <row r="30" spans="1:42" ht="15" thickBot="1" x14ac:dyDescent="0.35">
      <c r="A30" s="57"/>
      <c r="B30" s="1"/>
      <c r="C30" s="1">
        <f>_xlfn.XLOOKUP(B30,ppv[VisualId],ppv[DpmBucket],"")</f>
        <v>0</v>
      </c>
      <c r="D30" s="1"/>
      <c r="E30" s="1"/>
      <c r="F30" s="57"/>
      <c r="G30" s="57"/>
      <c r="H30" s="57"/>
      <c r="I30" s="57"/>
      <c r="J30" s="57"/>
      <c r="L30" s="116"/>
      <c r="M30" s="117"/>
      <c r="N30" s="89">
        <v>7</v>
      </c>
      <c r="O30" s="64">
        <f t="shared" ref="O30:R30" si="14">O29+4</f>
        <v>60</v>
      </c>
      <c r="P30" s="64">
        <f t="shared" si="14"/>
        <v>61</v>
      </c>
      <c r="Q30" s="64">
        <f t="shared" si="14"/>
        <v>62</v>
      </c>
      <c r="R30" s="64">
        <f t="shared" si="14"/>
        <v>63</v>
      </c>
      <c r="S30" s="69" t="s">
        <v>85</v>
      </c>
      <c r="T30" s="70" t="s">
        <v>85</v>
      </c>
      <c r="U30" s="64">
        <f t="shared" ref="U30:X30" si="15">U29+4</f>
        <v>60</v>
      </c>
      <c r="V30" s="64">
        <f t="shared" si="15"/>
        <v>61</v>
      </c>
      <c r="W30" s="64">
        <f t="shared" si="15"/>
        <v>62</v>
      </c>
      <c r="X30" s="64">
        <f t="shared" si="15"/>
        <v>63</v>
      </c>
      <c r="Y30" s="76">
        <v>7</v>
      </c>
      <c r="AA30" s="50"/>
      <c r="AB30" s="45"/>
      <c r="AC30" s="55"/>
      <c r="AD30" s="47"/>
      <c r="AE30" s="45"/>
      <c r="AF30" s="52"/>
      <c r="AG30" s="50"/>
      <c r="AH30" s="59"/>
      <c r="AI30" s="39"/>
      <c r="AJ30" s="52"/>
      <c r="AK30" s="50"/>
      <c r="AL30" s="39"/>
      <c r="AM30" s="52"/>
      <c r="AN30" s="50"/>
      <c r="AO30" s="57"/>
      <c r="AP30" s="57"/>
    </row>
    <row r="31" spans="1:42" ht="15" thickBot="1" x14ac:dyDescent="0.35">
      <c r="A31" s="57"/>
      <c r="B31" s="1"/>
      <c r="C31" s="1">
        <f>_xlfn.XLOOKUP(B31,ppv[VisualId],ppv[DpmBucket],"")</f>
        <v>0</v>
      </c>
      <c r="D31" s="1"/>
      <c r="E31" s="1"/>
      <c r="F31" s="57"/>
      <c r="G31" s="57"/>
      <c r="H31" s="57"/>
      <c r="I31" s="57"/>
      <c r="J31" s="57"/>
      <c r="L31" s="116"/>
      <c r="M31" s="93"/>
      <c r="N31" s="80"/>
      <c r="O31" s="80"/>
      <c r="P31" s="80"/>
      <c r="Q31" s="80"/>
      <c r="R31" s="80"/>
      <c r="S31" s="81"/>
      <c r="T31" s="84"/>
      <c r="U31" s="119" t="s">
        <v>122</v>
      </c>
      <c r="V31" s="120"/>
      <c r="W31" s="120"/>
      <c r="X31" s="121"/>
      <c r="Y31" s="85"/>
      <c r="AA31" s="50"/>
      <c r="AB31" s="45"/>
      <c r="AC31" s="55"/>
      <c r="AD31" s="47"/>
      <c r="AE31" s="45"/>
      <c r="AF31" s="52"/>
      <c r="AG31" s="50"/>
      <c r="AH31" s="59"/>
      <c r="AI31" s="39"/>
      <c r="AJ31" s="52"/>
      <c r="AK31" s="50"/>
      <c r="AL31" s="39"/>
      <c r="AM31" s="52"/>
      <c r="AN31" s="50"/>
      <c r="AO31" s="57"/>
      <c r="AP31" s="57"/>
    </row>
    <row r="32" spans="1:42" ht="15" thickBot="1" x14ac:dyDescent="0.35">
      <c r="A32" s="57"/>
      <c r="B32" s="1"/>
      <c r="C32" s="1">
        <f>_xlfn.XLOOKUP(B32,ppv[VisualId],ppv[DpmBucket],"")</f>
        <v>0</v>
      </c>
      <c r="D32" s="1"/>
      <c r="E32" s="1"/>
      <c r="F32" s="57"/>
      <c r="G32" s="57"/>
      <c r="H32" s="57"/>
      <c r="I32" s="57"/>
      <c r="J32" s="57"/>
      <c r="L32" s="117"/>
      <c r="M32" s="94"/>
      <c r="N32" s="82"/>
      <c r="O32" s="82"/>
      <c r="P32" s="82"/>
      <c r="Q32" s="82"/>
      <c r="R32" s="82"/>
      <c r="S32" s="83"/>
      <c r="T32" s="86"/>
      <c r="U32" s="77" t="s">
        <v>84</v>
      </c>
      <c r="V32" s="78" t="s">
        <v>84</v>
      </c>
      <c r="W32" s="78" t="s">
        <v>84</v>
      </c>
      <c r="X32" s="79" t="s">
        <v>84</v>
      </c>
      <c r="Y32" s="87"/>
      <c r="AA32" s="50"/>
      <c r="AB32" s="45"/>
      <c r="AC32" s="55"/>
      <c r="AD32" s="47"/>
      <c r="AE32" s="45"/>
      <c r="AF32" s="52"/>
      <c r="AG32" s="50"/>
      <c r="AH32" s="59"/>
      <c r="AI32" s="39"/>
      <c r="AJ32" s="52"/>
      <c r="AK32" s="50"/>
      <c r="AL32" s="39"/>
      <c r="AM32" s="52"/>
      <c r="AN32" s="50"/>
      <c r="AO32" s="57"/>
      <c r="AP32" s="57"/>
    </row>
    <row r="33" spans="1:42" ht="15" thickBot="1" x14ac:dyDescent="0.35">
      <c r="A33" s="57"/>
      <c r="B33" s="1"/>
      <c r="C33" s="1">
        <f>_xlfn.XLOOKUP(B33,ppv[VisualId],ppv[DpmBucket],"")</f>
        <v>0</v>
      </c>
      <c r="D33" s="1"/>
      <c r="E33" s="1"/>
      <c r="F33" s="57"/>
      <c r="G33" s="57"/>
      <c r="H33" s="57"/>
      <c r="I33" s="57"/>
      <c r="J33" s="57"/>
      <c r="AA33" s="50"/>
      <c r="AB33" s="45"/>
      <c r="AC33" s="55"/>
      <c r="AD33" s="47"/>
      <c r="AE33" s="45"/>
      <c r="AF33" s="52"/>
      <c r="AG33" s="50"/>
      <c r="AH33" s="59"/>
      <c r="AI33" s="39"/>
      <c r="AJ33" s="52"/>
      <c r="AK33" s="50"/>
      <c r="AL33" s="39"/>
      <c r="AM33" s="52"/>
      <c r="AN33" s="50"/>
      <c r="AO33" s="57"/>
      <c r="AP33" s="57"/>
    </row>
    <row r="34" spans="1:42" ht="15" thickBot="1" x14ac:dyDescent="0.35">
      <c r="A34" s="57"/>
      <c r="B34" s="1"/>
      <c r="C34" s="1">
        <f>_xlfn.XLOOKUP(B34,ppv[VisualId],ppv[DpmBucket],"")</f>
        <v>0</v>
      </c>
      <c r="D34" s="1"/>
      <c r="E34" s="1"/>
      <c r="F34" s="57"/>
      <c r="G34" s="57"/>
      <c r="H34" s="57"/>
      <c r="I34" s="57"/>
      <c r="J34" s="32" t="s">
        <v>39</v>
      </c>
      <c r="L34" s="122" t="s">
        <v>89</v>
      </c>
      <c r="M34" s="123"/>
      <c r="N34" s="118" t="s">
        <v>119</v>
      </c>
      <c r="O34" s="118"/>
      <c r="P34" s="118"/>
      <c r="Q34" s="118"/>
      <c r="R34" s="118"/>
      <c r="S34" s="118"/>
      <c r="T34" s="114" t="s">
        <v>88</v>
      </c>
      <c r="U34" s="114"/>
      <c r="V34" s="114"/>
      <c r="W34" s="114"/>
      <c r="X34" s="114"/>
      <c r="Y34" s="114"/>
      <c r="AA34" s="51"/>
      <c r="AB34" s="46"/>
      <c r="AC34" s="56"/>
      <c r="AD34" s="48"/>
      <c r="AE34" s="46"/>
      <c r="AF34" s="53"/>
      <c r="AG34" s="51"/>
      <c r="AH34" s="60"/>
      <c r="AI34" s="39"/>
      <c r="AJ34" s="53"/>
      <c r="AK34" s="51"/>
      <c r="AL34" s="39"/>
      <c r="AM34" s="53"/>
      <c r="AN34" s="51"/>
      <c r="AO34" s="57"/>
      <c r="AP34" s="57"/>
    </row>
    <row r="35" spans="1:42" ht="15" thickBot="1" x14ac:dyDescent="0.35">
      <c r="A35" s="57"/>
      <c r="B35" s="1"/>
      <c r="C35" s="1">
        <f>_xlfn.XLOOKUP(B35,ppv[VisualId],ppv[DpmBucket],"")</f>
        <v>0</v>
      </c>
      <c r="D35" s="1"/>
      <c r="E35" s="1"/>
      <c r="F35" s="57"/>
      <c r="G35" s="57"/>
      <c r="H35" s="57"/>
      <c r="I35" s="57"/>
      <c r="J35" s="12" t="s">
        <v>40</v>
      </c>
      <c r="L35" s="124">
        <v>2</v>
      </c>
      <c r="M35" s="125"/>
      <c r="N35" s="88" t="s">
        <v>18</v>
      </c>
      <c r="O35" s="67">
        <v>0</v>
      </c>
      <c r="P35" s="68">
        <v>1</v>
      </c>
      <c r="Q35" s="68">
        <v>2</v>
      </c>
      <c r="R35" s="68">
        <v>3</v>
      </c>
      <c r="S35" s="73" t="s">
        <v>86</v>
      </c>
      <c r="T35" s="74" t="s">
        <v>87</v>
      </c>
      <c r="U35" s="71">
        <v>0</v>
      </c>
      <c r="V35" s="71">
        <v>1</v>
      </c>
      <c r="W35" s="71">
        <v>2</v>
      </c>
      <c r="X35" s="72">
        <v>3</v>
      </c>
      <c r="Y35" s="75" t="s">
        <v>18</v>
      </c>
      <c r="Z35" s="57"/>
      <c r="AA35" s="57"/>
      <c r="AB35" s="57"/>
      <c r="AC35" s="57"/>
      <c r="AD35" s="57"/>
      <c r="AE35" s="57"/>
      <c r="AF35" s="57"/>
      <c r="AG35" s="57"/>
      <c r="AH35" s="57"/>
      <c r="AI35" s="57"/>
      <c r="AJ35" s="57"/>
      <c r="AK35" s="57"/>
      <c r="AL35" s="57"/>
      <c r="AM35" s="57"/>
      <c r="AN35" s="57"/>
      <c r="AO35" s="57"/>
      <c r="AP35" s="57"/>
    </row>
    <row r="36" spans="1:42" ht="15" customHeight="1" thickBot="1" x14ac:dyDescent="0.35">
      <c r="A36" s="57"/>
      <c r="B36" s="1"/>
      <c r="C36" s="1">
        <f>_xlfn.XLOOKUP(B36,ppv[VisualId],ppv[DpmBucket],"")</f>
        <v>0</v>
      </c>
      <c r="D36" s="1"/>
      <c r="E36" s="1"/>
      <c r="F36" s="57"/>
      <c r="G36" s="57"/>
      <c r="H36" s="57"/>
      <c r="I36" s="57"/>
      <c r="J36" s="34" t="s">
        <v>78</v>
      </c>
      <c r="K36" s="57"/>
      <c r="L36" s="115" t="s">
        <v>90</v>
      </c>
      <c r="M36" s="115">
        <v>0</v>
      </c>
      <c r="N36" s="89">
        <v>0</v>
      </c>
      <c r="O36" s="64">
        <f>L35*(32)+O35</f>
        <v>64</v>
      </c>
      <c r="P36" s="64">
        <f>L35*(32)+P35</f>
        <v>65</v>
      </c>
      <c r="Q36" s="64">
        <f>L35*(32)+Q35</f>
        <v>66</v>
      </c>
      <c r="R36" s="64">
        <f>L35*(32)+R35</f>
        <v>67</v>
      </c>
      <c r="S36" s="69" t="s">
        <v>85</v>
      </c>
      <c r="T36" s="70" t="s">
        <v>85</v>
      </c>
      <c r="U36" s="64">
        <f>L35*(32)+U35</f>
        <v>64</v>
      </c>
      <c r="V36" s="64">
        <f>L35*(32)+V35</f>
        <v>65</v>
      </c>
      <c r="W36" s="64">
        <f>L35*(32)+W35</f>
        <v>66</v>
      </c>
      <c r="X36" s="64">
        <f>L35*(32)+X35</f>
        <v>67</v>
      </c>
      <c r="Y36" s="76">
        <v>0</v>
      </c>
      <c r="Z36" s="57"/>
      <c r="AA36" s="57"/>
      <c r="AB36" s="57"/>
      <c r="AC36" s="57"/>
      <c r="AD36" s="57"/>
      <c r="AE36" s="57"/>
      <c r="AF36" s="57"/>
      <c r="AG36" s="57"/>
      <c r="AH36" s="57"/>
      <c r="AI36" s="57"/>
      <c r="AJ36" s="57"/>
      <c r="AK36" s="57"/>
      <c r="AL36" s="57"/>
      <c r="AM36" s="57"/>
      <c r="AN36" s="57"/>
      <c r="AO36" s="57"/>
      <c r="AP36" s="57"/>
    </row>
    <row r="37" spans="1:42" ht="15" thickBot="1" x14ac:dyDescent="0.35">
      <c r="A37" s="57"/>
      <c r="B37" s="1"/>
      <c r="C37" s="1">
        <f>_xlfn.XLOOKUP(B37,ppv[VisualId],ppv[DpmBucket],"")</f>
        <v>0</v>
      </c>
      <c r="D37" s="1"/>
      <c r="E37" s="1"/>
      <c r="F37" s="57"/>
      <c r="G37" s="57"/>
      <c r="H37" s="57"/>
      <c r="I37" s="57"/>
      <c r="J37" s="13" t="s">
        <v>41</v>
      </c>
      <c r="K37" s="57"/>
      <c r="L37" s="116"/>
      <c r="M37" s="117"/>
      <c r="N37" s="89">
        <v>1</v>
      </c>
      <c r="O37" s="64">
        <f t="shared" ref="O37:R37" si="16">O36+4</f>
        <v>68</v>
      </c>
      <c r="P37" s="64">
        <f t="shared" si="16"/>
        <v>69</v>
      </c>
      <c r="Q37" s="64">
        <f t="shared" si="16"/>
        <v>70</v>
      </c>
      <c r="R37" s="64">
        <f t="shared" si="16"/>
        <v>71</v>
      </c>
      <c r="S37" s="69" t="s">
        <v>85</v>
      </c>
      <c r="T37" s="70" t="s">
        <v>85</v>
      </c>
      <c r="U37" s="64">
        <f t="shared" ref="U37:X37" si="17">U36+4</f>
        <v>68</v>
      </c>
      <c r="V37" s="64">
        <f t="shared" si="17"/>
        <v>69</v>
      </c>
      <c r="W37" s="64">
        <f t="shared" si="17"/>
        <v>70</v>
      </c>
      <c r="X37" s="64">
        <f t="shared" si="17"/>
        <v>71</v>
      </c>
      <c r="Y37" s="76">
        <v>1</v>
      </c>
      <c r="Z37" s="57"/>
      <c r="AA37" s="57"/>
      <c r="AB37" s="57"/>
      <c r="AC37" s="57"/>
      <c r="AD37" s="57"/>
      <c r="AE37" s="57"/>
      <c r="AF37" s="57"/>
      <c r="AG37" s="57"/>
      <c r="AH37" s="57"/>
      <c r="AI37" s="57"/>
      <c r="AJ37" s="57"/>
      <c r="AK37" s="57"/>
      <c r="AL37" s="57"/>
      <c r="AM37" s="57"/>
      <c r="AN37" s="57"/>
      <c r="AO37" s="57"/>
      <c r="AP37" s="57"/>
    </row>
    <row r="38" spans="1:42" ht="15" thickBot="1" x14ac:dyDescent="0.35">
      <c r="A38" s="57"/>
      <c r="B38" s="57"/>
      <c r="C38" s="57"/>
      <c r="D38" s="57"/>
      <c r="E38" s="57"/>
      <c r="F38" s="57"/>
      <c r="G38" s="57"/>
      <c r="H38" s="57"/>
      <c r="I38" s="57"/>
      <c r="J38" s="38" t="s">
        <v>55</v>
      </c>
      <c r="K38" s="57"/>
      <c r="L38" s="116"/>
      <c r="M38" s="115">
        <v>1</v>
      </c>
      <c r="N38" s="89">
        <v>2</v>
      </c>
      <c r="O38" s="64">
        <f t="shared" ref="O38:R38" si="18">O37+4</f>
        <v>72</v>
      </c>
      <c r="P38" s="64">
        <f t="shared" si="18"/>
        <v>73</v>
      </c>
      <c r="Q38" s="64">
        <f t="shared" si="18"/>
        <v>74</v>
      </c>
      <c r="R38" s="64">
        <f t="shared" si="18"/>
        <v>75</v>
      </c>
      <c r="S38" s="69" t="s">
        <v>85</v>
      </c>
      <c r="T38" s="70" t="s">
        <v>85</v>
      </c>
      <c r="U38" s="64">
        <f t="shared" ref="U38:X38" si="19">U37+4</f>
        <v>72</v>
      </c>
      <c r="V38" s="64">
        <f t="shared" si="19"/>
        <v>73</v>
      </c>
      <c r="W38" s="64">
        <f t="shared" si="19"/>
        <v>74</v>
      </c>
      <c r="X38" s="64">
        <f t="shared" si="19"/>
        <v>75</v>
      </c>
      <c r="Y38" s="76">
        <v>2</v>
      </c>
      <c r="Z38" s="57"/>
      <c r="AA38" s="57"/>
      <c r="AB38" s="57"/>
      <c r="AC38" s="57"/>
      <c r="AD38" s="57"/>
      <c r="AE38" s="57"/>
      <c r="AF38" s="57"/>
      <c r="AG38" s="57"/>
      <c r="AH38" s="57"/>
      <c r="AI38" s="57"/>
      <c r="AJ38" s="57"/>
      <c r="AK38" s="57"/>
      <c r="AL38" s="57"/>
      <c r="AM38" s="57"/>
      <c r="AN38" s="57"/>
      <c r="AO38" s="57"/>
    </row>
    <row r="39" spans="1:42" ht="15" thickBot="1" x14ac:dyDescent="0.35">
      <c r="A39" s="57"/>
      <c r="B39" s="57"/>
      <c r="C39" s="57"/>
      <c r="D39" s="57"/>
      <c r="E39" s="57"/>
      <c r="F39" s="57"/>
      <c r="G39" s="57"/>
      <c r="H39" s="57"/>
      <c r="I39" s="57"/>
      <c r="J39" s="57"/>
      <c r="K39" s="57"/>
      <c r="L39" s="116"/>
      <c r="M39" s="117"/>
      <c r="N39" s="89">
        <v>3</v>
      </c>
      <c r="O39" s="64">
        <f t="shared" ref="O39:R39" si="20">O38+4</f>
        <v>76</v>
      </c>
      <c r="P39" s="64">
        <f t="shared" si="20"/>
        <v>77</v>
      </c>
      <c r="Q39" s="64">
        <f t="shared" si="20"/>
        <v>78</v>
      </c>
      <c r="R39" s="64">
        <f t="shared" si="20"/>
        <v>79</v>
      </c>
      <c r="S39" s="69" t="s">
        <v>85</v>
      </c>
      <c r="T39" s="70" t="s">
        <v>85</v>
      </c>
      <c r="U39" s="64">
        <f t="shared" ref="U39:X39" si="21">U38+4</f>
        <v>76</v>
      </c>
      <c r="V39" s="64">
        <f t="shared" si="21"/>
        <v>77</v>
      </c>
      <c r="W39" s="64">
        <f t="shared" si="21"/>
        <v>78</v>
      </c>
      <c r="X39" s="64">
        <f t="shared" si="21"/>
        <v>79</v>
      </c>
      <c r="Y39" s="76">
        <v>3</v>
      </c>
      <c r="Z39" s="57"/>
      <c r="AA39" s="57"/>
      <c r="AB39" s="57"/>
      <c r="AC39" s="57"/>
      <c r="AD39" s="57"/>
      <c r="AE39" s="57"/>
      <c r="AF39" s="57"/>
      <c r="AG39" s="57"/>
      <c r="AH39" s="57"/>
      <c r="AI39" s="57"/>
      <c r="AJ39" s="57"/>
      <c r="AK39" s="57"/>
      <c r="AL39" s="57"/>
      <c r="AM39" s="57"/>
      <c r="AN39" s="57"/>
      <c r="AO39" s="57"/>
    </row>
    <row r="40" spans="1:42" ht="15" thickBot="1" x14ac:dyDescent="0.35">
      <c r="A40" s="57"/>
      <c r="B40" s="57"/>
      <c r="C40" s="57"/>
      <c r="D40" s="57"/>
      <c r="E40" s="57"/>
      <c r="F40" s="57"/>
      <c r="G40" s="57"/>
      <c r="H40" s="57"/>
      <c r="I40" s="57"/>
      <c r="J40" s="57"/>
      <c r="K40" s="57"/>
      <c r="L40" s="116"/>
      <c r="M40" s="115">
        <v>2</v>
      </c>
      <c r="N40" s="89">
        <v>4</v>
      </c>
      <c r="O40" s="64">
        <f t="shared" ref="O40:R40" si="22">O39+4</f>
        <v>80</v>
      </c>
      <c r="P40" s="64">
        <f t="shared" si="22"/>
        <v>81</v>
      </c>
      <c r="Q40" s="64">
        <f t="shared" si="22"/>
        <v>82</v>
      </c>
      <c r="R40" s="64">
        <f t="shared" si="22"/>
        <v>83</v>
      </c>
      <c r="S40" s="69" t="s">
        <v>85</v>
      </c>
      <c r="T40" s="70" t="s">
        <v>85</v>
      </c>
      <c r="U40" s="64">
        <f t="shared" ref="U40:X40" si="23">U39+4</f>
        <v>80</v>
      </c>
      <c r="V40" s="64">
        <f t="shared" si="23"/>
        <v>81</v>
      </c>
      <c r="W40" s="64">
        <f t="shared" si="23"/>
        <v>82</v>
      </c>
      <c r="X40" s="64">
        <f t="shared" si="23"/>
        <v>83</v>
      </c>
      <c r="Y40" s="76">
        <v>4</v>
      </c>
      <c r="Z40" s="57"/>
      <c r="AA40" s="57"/>
      <c r="AB40" s="57"/>
      <c r="AC40" s="57"/>
      <c r="AD40" s="57"/>
      <c r="AE40" s="57"/>
      <c r="AF40" s="57"/>
      <c r="AG40" s="57"/>
      <c r="AH40" s="57"/>
      <c r="AI40" s="57"/>
      <c r="AJ40" s="57"/>
      <c r="AK40" s="57"/>
      <c r="AL40" s="57"/>
      <c r="AM40" s="57"/>
      <c r="AN40" s="57"/>
      <c r="AO40" s="57"/>
    </row>
    <row r="41" spans="1:42" ht="15" thickBot="1" x14ac:dyDescent="0.35">
      <c r="A41" s="57"/>
      <c r="B41" s="57"/>
      <c r="C41" s="57"/>
      <c r="D41" s="57"/>
      <c r="E41" s="57"/>
      <c r="F41" s="57"/>
      <c r="G41" s="57"/>
      <c r="H41" s="57"/>
      <c r="I41" s="57"/>
      <c r="J41" s="57"/>
      <c r="K41" s="57"/>
      <c r="L41" s="116"/>
      <c r="M41" s="117"/>
      <c r="N41" s="89">
        <v>5</v>
      </c>
      <c r="O41" s="64">
        <f t="shared" ref="O41:R41" si="24">O40+4</f>
        <v>84</v>
      </c>
      <c r="P41" s="64">
        <f t="shared" si="24"/>
        <v>85</v>
      </c>
      <c r="Q41" s="64">
        <f t="shared" si="24"/>
        <v>86</v>
      </c>
      <c r="R41" s="64">
        <f t="shared" si="24"/>
        <v>87</v>
      </c>
      <c r="S41" s="69" t="s">
        <v>85</v>
      </c>
      <c r="T41" s="70" t="s">
        <v>85</v>
      </c>
      <c r="U41" s="64">
        <f t="shared" ref="U41:X41" si="25">U40+4</f>
        <v>84</v>
      </c>
      <c r="V41" s="64">
        <f t="shared" si="25"/>
        <v>85</v>
      </c>
      <c r="W41" s="64">
        <f t="shared" si="25"/>
        <v>86</v>
      </c>
      <c r="X41" s="64">
        <f t="shared" si="25"/>
        <v>87</v>
      </c>
      <c r="Y41" s="76">
        <v>5</v>
      </c>
      <c r="Z41" s="57"/>
      <c r="AA41" s="57"/>
      <c r="AB41" s="57"/>
      <c r="AC41" s="57"/>
      <c r="AD41" s="57"/>
      <c r="AE41" s="57"/>
      <c r="AF41" s="57"/>
      <c r="AG41" s="57"/>
      <c r="AH41" s="57"/>
      <c r="AI41" s="57"/>
      <c r="AJ41" s="57"/>
      <c r="AK41" s="57"/>
      <c r="AL41" s="57"/>
      <c r="AM41" s="57"/>
      <c r="AN41" s="57"/>
      <c r="AO41" s="57"/>
    </row>
    <row r="42" spans="1:42" ht="15" thickBot="1" x14ac:dyDescent="0.35">
      <c r="A42" s="57"/>
      <c r="B42" s="57"/>
      <c r="C42" s="57"/>
      <c r="D42" s="57"/>
      <c r="E42" s="57"/>
      <c r="F42" s="57"/>
      <c r="G42" s="57"/>
      <c r="H42" s="57"/>
      <c r="I42" s="57"/>
      <c r="J42" s="57"/>
      <c r="K42" s="57"/>
      <c r="L42" s="116"/>
      <c r="M42" s="115">
        <v>3</v>
      </c>
      <c r="N42" s="89">
        <v>6</v>
      </c>
      <c r="O42" s="64">
        <f t="shared" ref="O42:R42" si="26">O41+4</f>
        <v>88</v>
      </c>
      <c r="P42" s="64">
        <f t="shared" si="26"/>
        <v>89</v>
      </c>
      <c r="Q42" s="64">
        <f t="shared" si="26"/>
        <v>90</v>
      </c>
      <c r="R42" s="64">
        <f t="shared" si="26"/>
        <v>91</v>
      </c>
      <c r="S42" s="69" t="s">
        <v>85</v>
      </c>
      <c r="T42" s="70" t="s">
        <v>85</v>
      </c>
      <c r="U42" s="64">
        <f t="shared" ref="U42:X42" si="27">U41+4</f>
        <v>88</v>
      </c>
      <c r="V42" s="64">
        <f t="shared" si="27"/>
        <v>89</v>
      </c>
      <c r="W42" s="64">
        <f t="shared" si="27"/>
        <v>90</v>
      </c>
      <c r="X42" s="64">
        <f t="shared" si="27"/>
        <v>91</v>
      </c>
      <c r="Y42" s="76">
        <v>6</v>
      </c>
      <c r="Z42" s="57"/>
      <c r="AA42" s="57"/>
      <c r="AB42" s="57"/>
      <c r="AC42" s="57"/>
      <c r="AD42" s="57"/>
      <c r="AE42" s="57"/>
      <c r="AF42" s="57"/>
      <c r="AG42" s="57"/>
      <c r="AH42" s="57"/>
      <c r="AI42" s="57"/>
      <c r="AJ42" s="57"/>
      <c r="AK42" s="57"/>
      <c r="AL42" s="57"/>
      <c r="AM42" s="57"/>
      <c r="AN42" s="57"/>
      <c r="AO42" s="57"/>
    </row>
    <row r="43" spans="1:42" ht="15" thickBot="1" x14ac:dyDescent="0.35">
      <c r="A43" s="57"/>
      <c r="B43" s="57"/>
      <c r="C43" s="57"/>
      <c r="D43" s="57"/>
      <c r="E43" s="57"/>
      <c r="F43" s="57"/>
      <c r="G43" s="57"/>
      <c r="H43" s="57"/>
      <c r="I43" s="57"/>
      <c r="J43" s="57"/>
      <c r="K43" s="57"/>
      <c r="L43" s="116"/>
      <c r="M43" s="117"/>
      <c r="N43" s="89">
        <v>7</v>
      </c>
      <c r="O43" s="64">
        <f t="shared" ref="O43:R43" si="28">O42+4</f>
        <v>92</v>
      </c>
      <c r="P43" s="64">
        <f t="shared" si="28"/>
        <v>93</v>
      </c>
      <c r="Q43" s="64">
        <f t="shared" si="28"/>
        <v>94</v>
      </c>
      <c r="R43" s="64">
        <f t="shared" si="28"/>
        <v>95</v>
      </c>
      <c r="S43" s="69" t="s">
        <v>85</v>
      </c>
      <c r="T43" s="70" t="s">
        <v>85</v>
      </c>
      <c r="U43" s="64">
        <f t="shared" ref="U43:X43" si="29">U42+4</f>
        <v>92</v>
      </c>
      <c r="V43" s="64">
        <f t="shared" si="29"/>
        <v>93</v>
      </c>
      <c r="W43" s="64">
        <f t="shared" si="29"/>
        <v>94</v>
      </c>
      <c r="X43" s="64">
        <f t="shared" si="29"/>
        <v>95</v>
      </c>
      <c r="Y43" s="76">
        <v>7</v>
      </c>
      <c r="Z43" s="57"/>
      <c r="AA43" s="57"/>
      <c r="AB43" s="57"/>
      <c r="AC43" s="57"/>
      <c r="AD43" s="57"/>
      <c r="AE43" s="57"/>
      <c r="AF43" s="57"/>
      <c r="AG43" s="57"/>
      <c r="AH43" s="57"/>
      <c r="AI43" s="57"/>
      <c r="AJ43" s="57"/>
      <c r="AK43" s="57"/>
      <c r="AL43" s="57"/>
      <c r="AM43" s="57"/>
      <c r="AN43" s="57"/>
      <c r="AO43" s="57"/>
    </row>
    <row r="44" spans="1:42" ht="15" thickBot="1" x14ac:dyDescent="0.35">
      <c r="A44" s="57"/>
      <c r="B44" s="57"/>
      <c r="C44" s="57"/>
      <c r="D44" s="57"/>
      <c r="E44" s="57"/>
      <c r="F44" s="57"/>
      <c r="G44" s="57"/>
      <c r="H44" s="57"/>
      <c r="I44" s="57"/>
      <c r="J44" s="57"/>
      <c r="K44" s="57"/>
      <c r="L44" s="116"/>
      <c r="M44" s="93"/>
      <c r="N44" s="80"/>
      <c r="O44" s="80"/>
      <c r="P44" s="80"/>
      <c r="Q44" s="80"/>
      <c r="R44" s="80"/>
      <c r="S44" s="81"/>
      <c r="T44" s="84"/>
      <c r="U44" s="119" t="s">
        <v>122</v>
      </c>
      <c r="V44" s="120"/>
      <c r="W44" s="120"/>
      <c r="X44" s="121"/>
      <c r="Y44" s="85"/>
      <c r="Z44" s="57"/>
      <c r="AA44" s="57"/>
      <c r="AB44" s="57"/>
      <c r="AC44" s="57"/>
      <c r="AD44" s="57"/>
      <c r="AE44" s="57"/>
      <c r="AF44" s="57"/>
      <c r="AG44" s="57"/>
      <c r="AH44" s="57"/>
      <c r="AI44" s="57"/>
      <c r="AJ44" s="57"/>
      <c r="AK44" s="57"/>
      <c r="AL44" s="57"/>
      <c r="AM44" s="57"/>
      <c r="AN44" s="57"/>
      <c r="AO44" s="57"/>
    </row>
    <row r="45" spans="1:42" ht="15" thickBot="1" x14ac:dyDescent="0.35">
      <c r="A45" s="57"/>
      <c r="B45" s="57"/>
      <c r="C45" s="57"/>
      <c r="D45" s="57"/>
      <c r="E45" s="57"/>
      <c r="F45" s="57"/>
      <c r="G45" s="57"/>
      <c r="H45" s="57"/>
      <c r="I45" s="57"/>
      <c r="J45" s="57"/>
      <c r="K45" s="57"/>
      <c r="L45" s="117"/>
      <c r="M45" s="94"/>
      <c r="N45" s="82"/>
      <c r="O45" s="82"/>
      <c r="P45" s="82"/>
      <c r="Q45" s="82"/>
      <c r="R45" s="82"/>
      <c r="S45" s="83"/>
      <c r="T45" s="86"/>
      <c r="U45" s="77" t="s">
        <v>84</v>
      </c>
      <c r="V45" s="78" t="s">
        <v>84</v>
      </c>
      <c r="W45" s="78" t="s">
        <v>84</v>
      </c>
      <c r="X45" s="79" t="s">
        <v>84</v>
      </c>
      <c r="Y45" s="87"/>
      <c r="Z45" s="57"/>
      <c r="AA45" s="57"/>
      <c r="AB45" s="57"/>
      <c r="AC45" s="57"/>
      <c r="AD45" s="57"/>
      <c r="AE45" s="57"/>
      <c r="AF45" s="57"/>
      <c r="AG45" s="57"/>
      <c r="AH45" s="57"/>
      <c r="AI45" s="57"/>
      <c r="AJ45" s="57"/>
      <c r="AK45" s="57"/>
      <c r="AL45" s="57"/>
      <c r="AM45" s="57"/>
      <c r="AN45" s="57"/>
      <c r="AO45" s="57"/>
    </row>
    <row r="46" spans="1:42" ht="15" thickBot="1" x14ac:dyDescent="0.35">
      <c r="A46" s="57"/>
      <c r="B46" s="57"/>
      <c r="C46" s="57"/>
      <c r="D46" s="57"/>
      <c r="E46" s="57"/>
      <c r="F46" s="57"/>
      <c r="G46" s="57"/>
      <c r="H46" s="57"/>
      <c r="I46" s="57"/>
      <c r="J46" s="57"/>
      <c r="K46" s="57"/>
      <c r="L46" s="57"/>
      <c r="M46" s="57"/>
      <c r="N46" s="57"/>
      <c r="O46" s="57"/>
      <c r="P46" s="57"/>
      <c r="Q46" s="57"/>
      <c r="R46" s="57"/>
      <c r="S46" s="57"/>
      <c r="T46" s="57"/>
      <c r="U46" s="57"/>
      <c r="V46" s="57"/>
      <c r="W46" s="57"/>
      <c r="X46" s="57"/>
      <c r="Y46" s="57"/>
      <c r="Z46" s="57"/>
      <c r="AA46" s="57"/>
      <c r="AB46" s="57"/>
      <c r="AC46" s="57"/>
      <c r="AD46" s="57"/>
      <c r="AE46" s="57"/>
      <c r="AF46" s="57"/>
      <c r="AG46" s="57"/>
      <c r="AH46" s="57"/>
      <c r="AI46" s="57"/>
      <c r="AJ46" s="57"/>
      <c r="AK46" s="57"/>
      <c r="AL46" s="57"/>
      <c r="AM46" s="57"/>
      <c r="AN46" s="57"/>
      <c r="AO46" s="57"/>
    </row>
    <row r="47" spans="1:42" ht="15" thickBot="1" x14ac:dyDescent="0.35">
      <c r="A47" s="57"/>
      <c r="B47" s="57"/>
      <c r="C47" s="57"/>
      <c r="D47" s="57"/>
      <c r="E47" s="57"/>
      <c r="F47" s="57"/>
      <c r="G47" s="57"/>
      <c r="H47" s="57"/>
      <c r="I47" s="57"/>
      <c r="J47" s="32" t="s">
        <v>39</v>
      </c>
      <c r="K47" s="57"/>
      <c r="L47" s="122" t="s">
        <v>89</v>
      </c>
      <c r="M47" s="123"/>
      <c r="N47" s="118" t="s">
        <v>119</v>
      </c>
      <c r="O47" s="118"/>
      <c r="P47" s="118"/>
      <c r="Q47" s="118"/>
      <c r="R47" s="118"/>
      <c r="S47" s="118"/>
      <c r="T47" s="114" t="s">
        <v>88</v>
      </c>
      <c r="U47" s="114"/>
      <c r="V47" s="114"/>
      <c r="W47" s="114"/>
      <c r="X47" s="114"/>
      <c r="Y47" s="114"/>
      <c r="Z47" s="57"/>
      <c r="AA47" s="57"/>
      <c r="AB47" s="57"/>
      <c r="AC47" s="57"/>
      <c r="AD47" s="57"/>
      <c r="AE47" s="57"/>
      <c r="AF47" s="57"/>
      <c r="AG47" s="57"/>
      <c r="AH47" s="57"/>
      <c r="AI47" s="57"/>
      <c r="AJ47" s="57"/>
      <c r="AK47" s="57"/>
      <c r="AL47" s="57"/>
      <c r="AM47" s="57"/>
      <c r="AN47" s="57"/>
      <c r="AO47" s="57"/>
    </row>
    <row r="48" spans="1:42" ht="15" thickBot="1" x14ac:dyDescent="0.35">
      <c r="A48" s="57"/>
      <c r="B48" s="57"/>
      <c r="C48" s="57"/>
      <c r="D48" s="57"/>
      <c r="E48" s="57"/>
      <c r="F48" s="57"/>
      <c r="G48" s="57"/>
      <c r="H48" s="57"/>
      <c r="I48" s="57"/>
      <c r="J48" s="12" t="s">
        <v>40</v>
      </c>
      <c r="K48" s="57"/>
      <c r="L48" s="124">
        <v>3</v>
      </c>
      <c r="M48" s="125"/>
      <c r="N48" s="88" t="s">
        <v>18</v>
      </c>
      <c r="O48" s="67">
        <v>0</v>
      </c>
      <c r="P48" s="68">
        <v>1</v>
      </c>
      <c r="Q48" s="68">
        <v>2</v>
      </c>
      <c r="R48" s="68">
        <v>3</v>
      </c>
      <c r="S48" s="73" t="s">
        <v>86</v>
      </c>
      <c r="T48" s="74" t="s">
        <v>87</v>
      </c>
      <c r="U48" s="71">
        <v>0</v>
      </c>
      <c r="V48" s="71">
        <v>1</v>
      </c>
      <c r="W48" s="71">
        <v>2</v>
      </c>
      <c r="X48" s="72">
        <v>3</v>
      </c>
      <c r="Y48" s="75" t="s">
        <v>18</v>
      </c>
      <c r="Z48" s="57"/>
      <c r="AA48" s="57"/>
      <c r="AB48" s="57"/>
      <c r="AC48" s="57"/>
      <c r="AD48" s="57"/>
      <c r="AE48" s="57"/>
      <c r="AF48" s="57"/>
      <c r="AG48" s="57"/>
      <c r="AH48" s="57"/>
      <c r="AI48" s="57"/>
      <c r="AJ48" s="57"/>
      <c r="AK48" s="57"/>
      <c r="AL48" s="57"/>
      <c r="AM48" s="57"/>
      <c r="AN48" s="57"/>
      <c r="AO48" s="57"/>
    </row>
    <row r="49" spans="1:41" ht="15" customHeight="1" thickBot="1" x14ac:dyDescent="0.35">
      <c r="A49" s="57"/>
      <c r="B49" s="57"/>
      <c r="C49" s="57"/>
      <c r="D49" s="57"/>
      <c r="E49" s="57"/>
      <c r="F49" s="57"/>
      <c r="G49" s="57"/>
      <c r="H49" s="57"/>
      <c r="I49" s="57"/>
      <c r="J49" s="34" t="s">
        <v>78</v>
      </c>
      <c r="K49" s="57"/>
      <c r="L49" s="115" t="s">
        <v>90</v>
      </c>
      <c r="M49" s="115">
        <v>0</v>
      </c>
      <c r="N49" s="89">
        <v>0</v>
      </c>
      <c r="O49" s="64">
        <f>L48*(32)+O48</f>
        <v>96</v>
      </c>
      <c r="P49" s="64">
        <f>L48*(32)+P48</f>
        <v>97</v>
      </c>
      <c r="Q49" s="64">
        <f>L48*(32)+Q48</f>
        <v>98</v>
      </c>
      <c r="R49" s="64">
        <f>L48*(32)+R48</f>
        <v>99</v>
      </c>
      <c r="S49" s="69" t="s">
        <v>85</v>
      </c>
      <c r="T49" s="70" t="s">
        <v>85</v>
      </c>
      <c r="U49" s="64">
        <f>L48*(32)+U48</f>
        <v>96</v>
      </c>
      <c r="V49" s="64">
        <f>L48*(32)+V48</f>
        <v>97</v>
      </c>
      <c r="W49" s="64">
        <f>L48*(32)+W48</f>
        <v>98</v>
      </c>
      <c r="X49" s="64">
        <f>L48*(32)+X48</f>
        <v>99</v>
      </c>
      <c r="Y49" s="76">
        <v>0</v>
      </c>
      <c r="Z49" s="57"/>
      <c r="AA49" s="57"/>
      <c r="AB49" s="57"/>
      <c r="AC49" s="57"/>
      <c r="AD49" s="57"/>
      <c r="AE49" s="57"/>
      <c r="AF49" s="57"/>
      <c r="AG49" s="57"/>
      <c r="AH49" s="57"/>
      <c r="AI49" s="57"/>
      <c r="AJ49" s="57"/>
      <c r="AK49" s="57"/>
      <c r="AL49" s="57"/>
      <c r="AM49" s="57"/>
      <c r="AN49" s="57"/>
      <c r="AO49" s="57"/>
    </row>
    <row r="50" spans="1:41" ht="15" thickBot="1" x14ac:dyDescent="0.35">
      <c r="A50" s="57"/>
      <c r="B50" s="57"/>
      <c r="C50" s="57"/>
      <c r="D50" s="57"/>
      <c r="E50" s="57"/>
      <c r="F50" s="57"/>
      <c r="G50" s="57"/>
      <c r="H50" s="57"/>
      <c r="I50" s="57"/>
      <c r="J50" s="13" t="s">
        <v>41</v>
      </c>
      <c r="K50" s="57"/>
      <c r="L50" s="116"/>
      <c r="M50" s="117"/>
      <c r="N50" s="89">
        <v>1</v>
      </c>
      <c r="O50" s="64">
        <f t="shared" ref="O50:R50" si="30">O49+4</f>
        <v>100</v>
      </c>
      <c r="P50" s="64">
        <f t="shared" si="30"/>
        <v>101</v>
      </c>
      <c r="Q50" s="64">
        <f t="shared" si="30"/>
        <v>102</v>
      </c>
      <c r="R50" s="64">
        <f t="shared" si="30"/>
        <v>103</v>
      </c>
      <c r="S50" s="69" t="s">
        <v>85</v>
      </c>
      <c r="T50" s="70" t="s">
        <v>85</v>
      </c>
      <c r="U50" s="64">
        <f t="shared" ref="U50:X50" si="31">U49+4</f>
        <v>100</v>
      </c>
      <c r="V50" s="64">
        <f t="shared" si="31"/>
        <v>101</v>
      </c>
      <c r="W50" s="64">
        <f t="shared" si="31"/>
        <v>102</v>
      </c>
      <c r="X50" s="64">
        <f t="shared" si="31"/>
        <v>103</v>
      </c>
      <c r="Y50" s="76">
        <v>1</v>
      </c>
      <c r="Z50" s="57"/>
      <c r="AA50" s="57"/>
      <c r="AB50" s="57"/>
      <c r="AC50" s="57"/>
      <c r="AD50" s="57"/>
      <c r="AE50" s="57"/>
      <c r="AF50" s="57"/>
      <c r="AG50" s="57"/>
      <c r="AH50" s="57"/>
      <c r="AI50" s="57"/>
      <c r="AJ50" s="57"/>
      <c r="AK50" s="57"/>
      <c r="AL50" s="57"/>
      <c r="AM50" s="57"/>
      <c r="AN50" s="57"/>
      <c r="AO50" s="57"/>
    </row>
    <row r="51" spans="1:41" ht="15" thickBot="1" x14ac:dyDescent="0.35">
      <c r="A51" s="57"/>
      <c r="B51" s="57"/>
      <c r="C51" s="57"/>
      <c r="D51" s="57"/>
      <c r="E51" s="57"/>
      <c r="F51" s="57"/>
      <c r="G51" s="57"/>
      <c r="H51" s="57"/>
      <c r="I51" s="57"/>
      <c r="J51" s="38" t="s">
        <v>55</v>
      </c>
      <c r="K51" s="57"/>
      <c r="L51" s="116"/>
      <c r="M51" s="115">
        <v>1</v>
      </c>
      <c r="N51" s="89">
        <v>2</v>
      </c>
      <c r="O51" s="64">
        <f t="shared" ref="O51:R51" si="32">O50+4</f>
        <v>104</v>
      </c>
      <c r="P51" s="64">
        <f t="shared" si="32"/>
        <v>105</v>
      </c>
      <c r="Q51" s="64">
        <f t="shared" si="32"/>
        <v>106</v>
      </c>
      <c r="R51" s="64">
        <f t="shared" si="32"/>
        <v>107</v>
      </c>
      <c r="S51" s="69" t="s">
        <v>85</v>
      </c>
      <c r="T51" s="70" t="s">
        <v>85</v>
      </c>
      <c r="U51" s="64">
        <f t="shared" ref="U51:X51" si="33">U50+4</f>
        <v>104</v>
      </c>
      <c r="V51" s="64">
        <f t="shared" si="33"/>
        <v>105</v>
      </c>
      <c r="W51" s="64">
        <f t="shared" si="33"/>
        <v>106</v>
      </c>
      <c r="X51" s="64">
        <f t="shared" si="33"/>
        <v>107</v>
      </c>
      <c r="Y51" s="76">
        <v>2</v>
      </c>
      <c r="Z51" s="57"/>
      <c r="AA51" s="57"/>
      <c r="AB51" s="57"/>
      <c r="AC51" s="57"/>
      <c r="AD51" s="57"/>
      <c r="AE51" s="57"/>
      <c r="AF51" s="57"/>
      <c r="AG51" s="57"/>
      <c r="AH51" s="57"/>
      <c r="AI51" s="57"/>
      <c r="AJ51" s="57"/>
      <c r="AK51" s="57"/>
      <c r="AL51" s="57"/>
      <c r="AM51" s="57"/>
      <c r="AN51" s="57"/>
      <c r="AO51" s="57"/>
    </row>
    <row r="52" spans="1:41" ht="15" thickBot="1" x14ac:dyDescent="0.35">
      <c r="A52" s="57"/>
      <c r="B52" s="57"/>
      <c r="C52" s="57"/>
      <c r="D52" s="57"/>
      <c r="E52" s="57"/>
      <c r="F52" s="57"/>
      <c r="G52" s="57"/>
      <c r="H52" s="57"/>
      <c r="I52" s="57"/>
      <c r="J52" s="57"/>
      <c r="K52" s="57"/>
      <c r="L52" s="116"/>
      <c r="M52" s="117"/>
      <c r="N52" s="89">
        <v>3</v>
      </c>
      <c r="O52" s="64">
        <f t="shared" ref="O52:R52" si="34">O51+4</f>
        <v>108</v>
      </c>
      <c r="P52" s="64">
        <f t="shared" si="34"/>
        <v>109</v>
      </c>
      <c r="Q52" s="64">
        <f t="shared" si="34"/>
        <v>110</v>
      </c>
      <c r="R52" s="64">
        <f t="shared" si="34"/>
        <v>111</v>
      </c>
      <c r="S52" s="69" t="s">
        <v>85</v>
      </c>
      <c r="T52" s="70" t="s">
        <v>85</v>
      </c>
      <c r="U52" s="64">
        <f t="shared" ref="U52:X52" si="35">U51+4</f>
        <v>108</v>
      </c>
      <c r="V52" s="64">
        <f t="shared" si="35"/>
        <v>109</v>
      </c>
      <c r="W52" s="64">
        <f t="shared" si="35"/>
        <v>110</v>
      </c>
      <c r="X52" s="64">
        <f t="shared" si="35"/>
        <v>111</v>
      </c>
      <c r="Y52" s="76">
        <v>3</v>
      </c>
      <c r="Z52" s="57"/>
      <c r="AA52" s="57"/>
      <c r="AB52" s="57"/>
      <c r="AC52" s="57"/>
      <c r="AD52" s="57"/>
      <c r="AE52" s="57"/>
      <c r="AF52" s="57"/>
      <c r="AG52" s="57"/>
      <c r="AH52" s="57"/>
      <c r="AI52" s="57"/>
      <c r="AJ52" s="57"/>
      <c r="AK52" s="57"/>
      <c r="AL52" s="57"/>
      <c r="AM52" s="57"/>
      <c r="AN52" s="57"/>
      <c r="AO52" s="57"/>
    </row>
    <row r="53" spans="1:41" ht="15" thickBot="1" x14ac:dyDescent="0.35">
      <c r="A53" s="57"/>
      <c r="B53" s="57"/>
      <c r="C53" s="57"/>
      <c r="D53" s="57"/>
      <c r="E53" s="57"/>
      <c r="F53" s="57"/>
      <c r="G53" s="57"/>
      <c r="H53" s="57"/>
      <c r="I53" s="57"/>
      <c r="J53" s="57"/>
      <c r="K53" s="57"/>
      <c r="L53" s="116"/>
      <c r="M53" s="115">
        <v>2</v>
      </c>
      <c r="N53" s="89">
        <v>4</v>
      </c>
      <c r="O53" s="64">
        <f t="shared" ref="O53:R53" si="36">O52+4</f>
        <v>112</v>
      </c>
      <c r="P53" s="64">
        <f t="shared" si="36"/>
        <v>113</v>
      </c>
      <c r="Q53" s="64">
        <f t="shared" si="36"/>
        <v>114</v>
      </c>
      <c r="R53" s="64">
        <f t="shared" si="36"/>
        <v>115</v>
      </c>
      <c r="S53" s="69" t="s">
        <v>85</v>
      </c>
      <c r="T53" s="70" t="s">
        <v>85</v>
      </c>
      <c r="U53" s="64">
        <f t="shared" ref="U53:X53" si="37">U52+4</f>
        <v>112</v>
      </c>
      <c r="V53" s="64">
        <f t="shared" si="37"/>
        <v>113</v>
      </c>
      <c r="W53" s="64">
        <f t="shared" si="37"/>
        <v>114</v>
      </c>
      <c r="X53" s="64">
        <f t="shared" si="37"/>
        <v>115</v>
      </c>
      <c r="Y53" s="76">
        <v>4</v>
      </c>
      <c r="Z53" s="57"/>
      <c r="AA53" s="57"/>
      <c r="AB53" s="57"/>
      <c r="AC53" s="57"/>
      <c r="AD53" s="57"/>
      <c r="AE53" s="57"/>
      <c r="AF53" s="57"/>
      <c r="AG53" s="57"/>
      <c r="AH53" s="57"/>
      <c r="AI53" s="57"/>
      <c r="AJ53" s="57"/>
      <c r="AK53" s="57"/>
      <c r="AL53" s="57"/>
      <c r="AM53" s="57"/>
      <c r="AN53" s="57"/>
      <c r="AO53" s="57"/>
    </row>
    <row r="54" spans="1:41" ht="15" thickBot="1" x14ac:dyDescent="0.35">
      <c r="A54" s="57"/>
      <c r="B54" s="57"/>
      <c r="C54" s="57"/>
      <c r="D54" s="57"/>
      <c r="E54" s="57"/>
      <c r="F54" s="57"/>
      <c r="G54" s="57"/>
      <c r="H54" s="57"/>
      <c r="I54" s="57"/>
      <c r="J54" s="57"/>
      <c r="K54" s="57"/>
      <c r="L54" s="116"/>
      <c r="M54" s="117"/>
      <c r="N54" s="89">
        <v>5</v>
      </c>
      <c r="O54" s="64">
        <f t="shared" ref="O54:R54" si="38">O53+4</f>
        <v>116</v>
      </c>
      <c r="P54" s="64">
        <f t="shared" si="38"/>
        <v>117</v>
      </c>
      <c r="Q54" s="64">
        <f t="shared" si="38"/>
        <v>118</v>
      </c>
      <c r="R54" s="64">
        <f t="shared" si="38"/>
        <v>119</v>
      </c>
      <c r="S54" s="69" t="s">
        <v>85</v>
      </c>
      <c r="T54" s="70" t="s">
        <v>85</v>
      </c>
      <c r="U54" s="64">
        <f t="shared" ref="U54:X54" si="39">U53+4</f>
        <v>116</v>
      </c>
      <c r="V54" s="64">
        <f t="shared" si="39"/>
        <v>117</v>
      </c>
      <c r="W54" s="64">
        <f t="shared" si="39"/>
        <v>118</v>
      </c>
      <c r="X54" s="64">
        <f t="shared" si="39"/>
        <v>119</v>
      </c>
      <c r="Y54" s="76">
        <v>5</v>
      </c>
      <c r="Z54" s="57"/>
      <c r="AA54" s="57"/>
      <c r="AB54" s="57"/>
      <c r="AC54" s="57"/>
      <c r="AD54" s="57"/>
      <c r="AE54" s="57"/>
      <c r="AF54" s="57"/>
      <c r="AG54" s="57"/>
      <c r="AH54" s="57"/>
      <c r="AI54" s="57"/>
      <c r="AJ54" s="57"/>
      <c r="AK54" s="57"/>
      <c r="AL54" s="57"/>
      <c r="AM54" s="57"/>
      <c r="AN54" s="57"/>
      <c r="AO54" s="57"/>
    </row>
    <row r="55" spans="1:41" ht="15" thickBot="1" x14ac:dyDescent="0.35">
      <c r="A55" s="57"/>
      <c r="B55" s="57"/>
      <c r="C55" s="57"/>
      <c r="D55" s="57"/>
      <c r="E55" s="57"/>
      <c r="F55" s="57"/>
      <c r="G55" s="57"/>
      <c r="H55" s="57"/>
      <c r="I55" s="57"/>
      <c r="J55" s="57"/>
      <c r="K55" s="57"/>
      <c r="L55" s="116"/>
      <c r="M55" s="115">
        <v>3</v>
      </c>
      <c r="N55" s="89">
        <v>6</v>
      </c>
      <c r="O55" s="64">
        <f t="shared" ref="O55:R55" si="40">O54+4</f>
        <v>120</v>
      </c>
      <c r="P55" s="64">
        <f t="shared" si="40"/>
        <v>121</v>
      </c>
      <c r="Q55" s="64">
        <f t="shared" si="40"/>
        <v>122</v>
      </c>
      <c r="R55" s="64">
        <f t="shared" si="40"/>
        <v>123</v>
      </c>
      <c r="S55" s="69" t="s">
        <v>85</v>
      </c>
      <c r="T55" s="70" t="s">
        <v>85</v>
      </c>
      <c r="U55" s="64">
        <f t="shared" ref="U55:X55" si="41">U54+4</f>
        <v>120</v>
      </c>
      <c r="V55" s="64">
        <f t="shared" si="41"/>
        <v>121</v>
      </c>
      <c r="W55" s="64">
        <f t="shared" si="41"/>
        <v>122</v>
      </c>
      <c r="X55" s="64">
        <f t="shared" si="41"/>
        <v>123</v>
      </c>
      <c r="Y55" s="76">
        <v>6</v>
      </c>
      <c r="Z55" s="57"/>
      <c r="AA55" s="57"/>
      <c r="AB55" s="57"/>
      <c r="AC55" s="57"/>
      <c r="AD55" s="57"/>
      <c r="AE55" s="57"/>
      <c r="AF55" s="57"/>
      <c r="AG55" s="57"/>
      <c r="AH55" s="57"/>
      <c r="AI55" s="57"/>
      <c r="AJ55" s="57"/>
      <c r="AK55" s="57"/>
      <c r="AL55" s="57"/>
      <c r="AM55" s="57"/>
      <c r="AN55" s="57"/>
      <c r="AO55" s="57"/>
    </row>
    <row r="56" spans="1:41" ht="15" thickBot="1" x14ac:dyDescent="0.35">
      <c r="A56" s="57"/>
      <c r="B56" s="57"/>
      <c r="C56" s="57"/>
      <c r="D56" s="57"/>
      <c r="E56" s="57"/>
      <c r="F56" s="57"/>
      <c r="G56" s="57"/>
      <c r="H56" s="57"/>
      <c r="I56" s="57"/>
      <c r="J56" s="57"/>
      <c r="K56" s="57"/>
      <c r="L56" s="116"/>
      <c r="M56" s="117"/>
      <c r="N56" s="89">
        <v>7</v>
      </c>
      <c r="O56" s="64">
        <f t="shared" ref="O56:R56" si="42">O55+4</f>
        <v>124</v>
      </c>
      <c r="P56" s="64">
        <f t="shared" si="42"/>
        <v>125</v>
      </c>
      <c r="Q56" s="64">
        <f t="shared" si="42"/>
        <v>126</v>
      </c>
      <c r="R56" s="64">
        <f t="shared" si="42"/>
        <v>127</v>
      </c>
      <c r="S56" s="69" t="s">
        <v>85</v>
      </c>
      <c r="T56" s="70" t="s">
        <v>85</v>
      </c>
      <c r="U56" s="64">
        <f t="shared" ref="U56:X56" si="43">U55+4</f>
        <v>124</v>
      </c>
      <c r="V56" s="64">
        <f t="shared" si="43"/>
        <v>125</v>
      </c>
      <c r="W56" s="64">
        <f t="shared" si="43"/>
        <v>126</v>
      </c>
      <c r="X56" s="64">
        <f t="shared" si="43"/>
        <v>127</v>
      </c>
      <c r="Y56" s="76">
        <v>7</v>
      </c>
      <c r="Z56" s="57"/>
      <c r="AA56" s="57"/>
      <c r="AB56" s="57"/>
      <c r="AC56" s="57"/>
      <c r="AD56" s="57"/>
      <c r="AE56" s="57"/>
      <c r="AF56" s="57"/>
      <c r="AG56" s="57"/>
      <c r="AH56" s="57"/>
      <c r="AI56" s="57"/>
      <c r="AJ56" s="57"/>
      <c r="AK56" s="57"/>
      <c r="AL56" s="57"/>
      <c r="AM56" s="57"/>
      <c r="AN56" s="57"/>
      <c r="AO56" s="57"/>
    </row>
    <row r="57" spans="1:41" ht="15" thickBot="1" x14ac:dyDescent="0.35">
      <c r="A57" s="57"/>
      <c r="L57" s="116"/>
      <c r="M57" s="93"/>
      <c r="N57" s="80"/>
      <c r="O57" s="80"/>
      <c r="P57" s="80"/>
      <c r="Q57" s="80"/>
      <c r="R57" s="80"/>
      <c r="S57" s="81"/>
      <c r="T57" s="84"/>
      <c r="U57" s="119" t="s">
        <v>122</v>
      </c>
      <c r="V57" s="120"/>
      <c r="W57" s="120"/>
      <c r="X57" s="121"/>
      <c r="Y57" s="85"/>
    </row>
    <row r="58" spans="1:41" ht="15" thickBot="1" x14ac:dyDescent="0.35">
      <c r="A58" s="57"/>
      <c r="L58" s="117"/>
      <c r="M58" s="94"/>
      <c r="N58" s="82"/>
      <c r="O58" s="82"/>
      <c r="P58" s="82"/>
      <c r="Q58" s="82"/>
      <c r="R58" s="82"/>
      <c r="S58" s="83"/>
      <c r="T58" s="86"/>
      <c r="U58" s="77" t="s">
        <v>84</v>
      </c>
      <c r="V58" s="78" t="s">
        <v>84</v>
      </c>
      <c r="W58" s="78" t="s">
        <v>84</v>
      </c>
      <c r="X58" s="79" t="s">
        <v>84</v>
      </c>
      <c r="Y58" s="87"/>
    </row>
    <row r="59" spans="1:41" ht="15" thickBot="1" x14ac:dyDescent="0.35">
      <c r="A59" s="57"/>
    </row>
    <row r="60" spans="1:41" ht="15" thickBot="1" x14ac:dyDescent="0.35">
      <c r="J60" s="32" t="s">
        <v>39</v>
      </c>
      <c r="N60" s="90" t="s">
        <v>123</v>
      </c>
      <c r="O60" s="90">
        <v>0</v>
      </c>
      <c r="P60" s="90">
        <v>1</v>
      </c>
      <c r="Q60" s="90">
        <v>2</v>
      </c>
      <c r="R60" s="90">
        <v>3</v>
      </c>
      <c r="S60" s="90">
        <v>4</v>
      </c>
      <c r="T60" s="90">
        <v>5</v>
      </c>
      <c r="U60" s="90">
        <v>6</v>
      </c>
      <c r="V60" s="90">
        <v>7</v>
      </c>
      <c r="W60" s="90">
        <v>8</v>
      </c>
      <c r="X60" s="90" t="s">
        <v>123</v>
      </c>
    </row>
    <row r="61" spans="1:41" ht="15" thickBot="1" x14ac:dyDescent="0.35">
      <c r="J61" s="12" t="s">
        <v>40</v>
      </c>
      <c r="N61" s="90">
        <v>0</v>
      </c>
      <c r="O61" s="91" t="s">
        <v>136</v>
      </c>
      <c r="P61" s="91" t="s">
        <v>124</v>
      </c>
      <c r="Q61" s="91"/>
      <c r="R61" s="91"/>
      <c r="S61" s="91"/>
      <c r="T61" s="91"/>
      <c r="U61" s="91"/>
      <c r="V61" s="91" t="s">
        <v>125</v>
      </c>
      <c r="W61" s="91" t="s">
        <v>135</v>
      </c>
      <c r="X61" s="90">
        <v>0</v>
      </c>
    </row>
    <row r="62" spans="1:41" ht="15" thickBot="1" x14ac:dyDescent="0.35">
      <c r="J62" s="34" t="s">
        <v>78</v>
      </c>
      <c r="N62" s="90">
        <v>1</v>
      </c>
      <c r="O62" s="91" t="s">
        <v>137</v>
      </c>
      <c r="P62" s="91"/>
      <c r="Q62" s="91" t="s">
        <v>126</v>
      </c>
      <c r="R62" s="91" t="s">
        <v>127</v>
      </c>
      <c r="S62" s="91" t="s">
        <v>128</v>
      </c>
      <c r="T62" s="91" t="s">
        <v>128</v>
      </c>
      <c r="U62" s="91" t="s">
        <v>126</v>
      </c>
      <c r="V62" s="91"/>
      <c r="W62" s="91" t="s">
        <v>134</v>
      </c>
      <c r="X62" s="90">
        <v>1</v>
      </c>
    </row>
    <row r="63" spans="1:41" ht="15" thickBot="1" x14ac:dyDescent="0.35">
      <c r="J63" s="13" t="s">
        <v>41</v>
      </c>
      <c r="N63" s="90">
        <v>2</v>
      </c>
      <c r="O63" s="91" t="s">
        <v>138</v>
      </c>
      <c r="P63" s="91" t="s">
        <v>121</v>
      </c>
      <c r="Q63" s="91" t="s">
        <v>126</v>
      </c>
      <c r="R63" s="91" t="s">
        <v>128</v>
      </c>
      <c r="S63" s="91" t="s">
        <v>128</v>
      </c>
      <c r="T63" s="91" t="s">
        <v>128</v>
      </c>
      <c r="U63" s="91" t="s">
        <v>126</v>
      </c>
      <c r="V63" s="91"/>
      <c r="W63" s="91" t="s">
        <v>133</v>
      </c>
      <c r="X63" s="90">
        <v>2</v>
      </c>
    </row>
    <row r="64" spans="1:41" ht="15" thickBot="1" x14ac:dyDescent="0.35">
      <c r="J64" s="38" t="s">
        <v>55</v>
      </c>
      <c r="N64" s="90">
        <v>3</v>
      </c>
      <c r="O64" s="91" t="s">
        <v>139</v>
      </c>
      <c r="P64" s="91" t="s">
        <v>129</v>
      </c>
      <c r="Q64" s="91"/>
      <c r="R64" s="91"/>
      <c r="S64" s="91"/>
      <c r="T64" s="91"/>
      <c r="U64" s="91"/>
      <c r="V64" s="91" t="s">
        <v>130</v>
      </c>
      <c r="W64" s="91" t="s">
        <v>132</v>
      </c>
      <c r="X64" s="90">
        <v>3</v>
      </c>
    </row>
    <row r="65" spans="14:24" ht="15" thickBot="1" x14ac:dyDescent="0.35">
      <c r="N65" s="90" t="s">
        <v>123</v>
      </c>
      <c r="O65" s="92"/>
      <c r="P65" s="92"/>
      <c r="Q65" s="92"/>
      <c r="R65" s="92"/>
      <c r="S65" s="92"/>
      <c r="T65" s="92"/>
      <c r="U65" s="92"/>
      <c r="V65" s="92"/>
      <c r="W65" s="92"/>
      <c r="X65" s="90" t="s">
        <v>123</v>
      </c>
    </row>
    <row r="66" spans="14:24" ht="15" thickBot="1" x14ac:dyDescent="0.35"/>
    <row r="67" spans="14:24" ht="15" thickBot="1" x14ac:dyDescent="0.35">
      <c r="N67" s="90" t="s">
        <v>131</v>
      </c>
      <c r="O67" s="90">
        <v>0</v>
      </c>
      <c r="P67" s="90">
        <v>1</v>
      </c>
      <c r="Q67" s="90">
        <v>2</v>
      </c>
      <c r="R67" s="90">
        <v>3</v>
      </c>
      <c r="S67" s="90">
        <v>4</v>
      </c>
      <c r="T67" s="90">
        <v>5</v>
      </c>
      <c r="U67" s="90">
        <v>6</v>
      </c>
      <c r="V67" s="90">
        <v>7</v>
      </c>
      <c r="W67" s="90">
        <v>8</v>
      </c>
      <c r="X67" s="90" t="s">
        <v>131</v>
      </c>
    </row>
    <row r="68" spans="14:24" ht="15" thickBot="1" x14ac:dyDescent="0.35">
      <c r="N68" s="90">
        <v>0</v>
      </c>
      <c r="O68" s="91" t="s">
        <v>144</v>
      </c>
      <c r="P68" s="91" t="s">
        <v>124</v>
      </c>
      <c r="Q68" s="91"/>
      <c r="R68" s="91"/>
      <c r="S68" s="91"/>
      <c r="T68" s="91"/>
      <c r="U68" s="91"/>
      <c r="V68" s="91" t="s">
        <v>125</v>
      </c>
      <c r="W68" s="91" t="s">
        <v>140</v>
      </c>
      <c r="X68" s="90">
        <v>0</v>
      </c>
    </row>
    <row r="69" spans="14:24" ht="15" thickBot="1" x14ac:dyDescent="0.35">
      <c r="N69" s="90">
        <v>1</v>
      </c>
      <c r="O69" s="91" t="s">
        <v>145</v>
      </c>
      <c r="P69" s="91"/>
      <c r="Q69" s="91" t="s">
        <v>126</v>
      </c>
      <c r="R69" s="91" t="s">
        <v>127</v>
      </c>
      <c r="S69" s="91" t="s">
        <v>128</v>
      </c>
      <c r="T69" s="91" t="s">
        <v>128</v>
      </c>
      <c r="U69" s="91" t="s">
        <v>126</v>
      </c>
      <c r="V69" s="91"/>
      <c r="W69" s="91" t="s">
        <v>141</v>
      </c>
      <c r="X69" s="90">
        <v>1</v>
      </c>
    </row>
    <row r="70" spans="14:24" ht="15" thickBot="1" x14ac:dyDescent="0.35">
      <c r="N70" s="90">
        <v>2</v>
      </c>
      <c r="O70" s="91" t="s">
        <v>146</v>
      </c>
      <c r="P70" s="91" t="s">
        <v>121</v>
      </c>
      <c r="Q70" s="91" t="s">
        <v>126</v>
      </c>
      <c r="R70" s="91" t="s">
        <v>128</v>
      </c>
      <c r="S70" s="91" t="s">
        <v>128</v>
      </c>
      <c r="T70" s="91" t="s">
        <v>128</v>
      </c>
      <c r="U70" s="91" t="s">
        <v>126</v>
      </c>
      <c r="V70" s="91"/>
      <c r="W70" s="91" t="s">
        <v>142</v>
      </c>
      <c r="X70" s="90">
        <v>2</v>
      </c>
    </row>
    <row r="71" spans="14:24" ht="15" thickBot="1" x14ac:dyDescent="0.35">
      <c r="N71" s="90">
        <v>3</v>
      </c>
      <c r="O71" s="91" t="s">
        <v>147</v>
      </c>
      <c r="P71" s="91" t="s">
        <v>129</v>
      </c>
      <c r="Q71" s="91"/>
      <c r="R71" s="91"/>
      <c r="S71" s="91"/>
      <c r="T71" s="91"/>
      <c r="U71" s="91"/>
      <c r="V71" s="91" t="s">
        <v>130</v>
      </c>
      <c r="W71" s="91" t="s">
        <v>143</v>
      </c>
      <c r="X71" s="90">
        <v>3</v>
      </c>
    </row>
    <row r="72" spans="14:24" ht="15" thickBot="1" x14ac:dyDescent="0.35">
      <c r="N72" s="90" t="s">
        <v>131</v>
      </c>
      <c r="O72" s="92"/>
      <c r="P72" s="92"/>
      <c r="Q72" s="92"/>
      <c r="R72" s="92"/>
      <c r="S72" s="92"/>
      <c r="T72" s="92"/>
      <c r="U72" s="92"/>
      <c r="V72" s="92"/>
      <c r="W72" s="92"/>
      <c r="X72" s="90" t="s">
        <v>131</v>
      </c>
    </row>
  </sheetData>
  <mergeCells count="55">
    <mergeCell ref="L48:M48"/>
    <mergeCell ref="M49:M50"/>
    <mergeCell ref="M51:M52"/>
    <mergeCell ref="M53:M54"/>
    <mergeCell ref="M55:M56"/>
    <mergeCell ref="L49:L58"/>
    <mergeCell ref="U57:X57"/>
    <mergeCell ref="L8:M8"/>
    <mergeCell ref="L9:M9"/>
    <mergeCell ref="M10:M11"/>
    <mergeCell ref="M12:M13"/>
    <mergeCell ref="M14:M15"/>
    <mergeCell ref="M16:M17"/>
    <mergeCell ref="M23:M24"/>
    <mergeCell ref="M25:M26"/>
    <mergeCell ref="M27:M28"/>
    <mergeCell ref="M29:M30"/>
    <mergeCell ref="M36:M37"/>
    <mergeCell ref="M38:M39"/>
    <mergeCell ref="M40:M41"/>
    <mergeCell ref="M42:M43"/>
    <mergeCell ref="N34:S34"/>
    <mergeCell ref="T34:Y34"/>
    <mergeCell ref="L36:L45"/>
    <mergeCell ref="U44:X44"/>
    <mergeCell ref="N47:S47"/>
    <mergeCell ref="T47:Y47"/>
    <mergeCell ref="L34:M34"/>
    <mergeCell ref="L35:M35"/>
    <mergeCell ref="L47:M47"/>
    <mergeCell ref="T8:Y8"/>
    <mergeCell ref="L10:L19"/>
    <mergeCell ref="N21:S21"/>
    <mergeCell ref="T21:Y21"/>
    <mergeCell ref="L23:L32"/>
    <mergeCell ref="U31:X31"/>
    <mergeCell ref="L21:M21"/>
    <mergeCell ref="L22:M22"/>
    <mergeCell ref="U18:X18"/>
    <mergeCell ref="N8:S8"/>
    <mergeCell ref="G6:H6"/>
    <mergeCell ref="G7:H7"/>
    <mergeCell ref="AM3:AN3"/>
    <mergeCell ref="AJ3:AK3"/>
    <mergeCell ref="AF3:AH3"/>
    <mergeCell ref="AC3:AD3"/>
    <mergeCell ref="L4:M4"/>
    <mergeCell ref="L5:M5"/>
    <mergeCell ref="L6:M6"/>
    <mergeCell ref="L7:X7"/>
    <mergeCell ref="L1:AN1"/>
    <mergeCell ref="AA2:AD2"/>
    <mergeCell ref="AE2:AF2"/>
    <mergeCell ref="AG2:AI2"/>
    <mergeCell ref="AK2:AM2"/>
  </mergeCells>
  <phoneticPr fontId="2" type="noConversion"/>
  <conditionalFormatting sqref="O61:W64">
    <cfRule type="expression" dxfId="23" priority="5">
      <formula>_xlfn.XLOOKUP(#REF!,#REF!,$F$3:$F$186)="FUSED"</formula>
    </cfRule>
  </conditionalFormatting>
  <conditionalFormatting sqref="O68:W71">
    <cfRule type="expression" dxfId="22" priority="4">
      <formula>_xlfn.XLOOKUP(#REF!,#REF!,$F$3:$F$186)="FUSED"</formula>
    </cfRule>
  </conditionalFormatting>
  <conditionalFormatting sqref="AA5:AA10">
    <cfRule type="cellIs" dxfId="1" priority="115" operator="notEqual">
      <formula>""""""</formula>
    </cfRule>
  </conditionalFormatting>
  <conditionalFormatting sqref="AA12:AA16">
    <cfRule type="cellIs" dxfId="0" priority="114" operator="notEqual">
      <formula>""""""</formula>
    </cfRule>
  </conditionalFormatting>
  <dataValidations count="1">
    <dataValidation type="list" allowBlank="1" showInputMessage="1" showErrorMessage="1" sqref="H2" xr:uid="{877ABC85-D409-4FA4-BB82-4F6E1D70FD00}">
      <formula1>$B$3:$B$27</formula1>
    </dataValidation>
  </dataValidations>
  <pageMargins left="0.7" right="0.7" top="0.75" bottom="0.75" header="0.3" footer="0.3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52" id="{00000000-000E-0000-0300-00000B000000}">
            <xm:f>_xlfn.XLOOKUP(L10,ErrorData!$G$1:$G$186,ErrorData!$N$1:$N$186)=TRUE</xm:f>
            <x14:dxf>
              <font>
                <b/>
                <i val="0"/>
                <strike val="0"/>
                <u val="double"/>
                <color theme="8"/>
              </font>
              <border>
                <left style="thin">
                  <color rgb="FFFFFF00"/>
                </left>
                <right style="thin">
                  <color rgb="FFFFFF00"/>
                </right>
                <top style="thin">
                  <color rgb="FFFFFF00"/>
                </top>
                <bottom style="thin">
                  <color rgb="FFFFFF00"/>
                </bottom>
              </border>
            </x14:dxf>
          </x14:cfRule>
          <xm:sqref>L10:M10 O11:S11 S17</xm:sqref>
        </x14:conditionalFormatting>
        <x14:conditionalFormatting xmlns:xm="http://schemas.microsoft.com/office/excel/2006/main">
          <x14:cfRule type="expression" priority="3" id="{3F391458-A42F-4A6B-81DB-B27D719D8CA3}">
            <xm:f>_xlfn.XLOOKUP(L23,ErrorData!$G$1:$G$186,ErrorData!$N$1:$N$186)=TRUE</xm:f>
            <x14:dxf>
              <font>
                <b/>
                <i val="0"/>
                <strike val="0"/>
                <u val="double"/>
                <color theme="8"/>
              </font>
              <border>
                <left style="thin">
                  <color rgb="FFFFFF00"/>
                </left>
                <right style="thin">
                  <color rgb="FFFFFF00"/>
                </right>
                <top style="thin">
                  <color rgb="FFFFFF00"/>
                </top>
                <bottom style="thin">
                  <color rgb="FFFFFF00"/>
                </bottom>
              </border>
            </x14:dxf>
          </x14:cfRule>
          <xm:sqref>L23:M23</xm:sqref>
        </x14:conditionalFormatting>
        <x14:conditionalFormatting xmlns:xm="http://schemas.microsoft.com/office/excel/2006/main">
          <x14:cfRule type="expression" priority="2" id="{3310EF54-5DA8-429D-8275-5517D4EBBE25}">
            <xm:f>_xlfn.XLOOKUP(L36,ErrorData!$G$1:$G$186,ErrorData!$N$1:$N$186)=TRUE</xm:f>
            <x14:dxf>
              <font>
                <b/>
                <i val="0"/>
                <strike val="0"/>
                <u val="double"/>
                <color theme="8"/>
              </font>
              <border>
                <left style="thin">
                  <color rgb="FFFFFF00"/>
                </left>
                <right style="thin">
                  <color rgb="FFFFFF00"/>
                </right>
                <top style="thin">
                  <color rgb="FFFFFF00"/>
                </top>
                <bottom style="thin">
                  <color rgb="FFFFFF00"/>
                </bottom>
              </border>
            </x14:dxf>
          </x14:cfRule>
          <xm:sqref>L36:M36</xm:sqref>
        </x14:conditionalFormatting>
        <x14:conditionalFormatting xmlns:xm="http://schemas.microsoft.com/office/excel/2006/main">
          <x14:cfRule type="expression" priority="1" id="{148B4A9E-C8BD-45C8-B13C-992D5241F04D}">
            <xm:f>_xlfn.XLOOKUP(L49,ErrorData!$G$1:$G$186,ErrorData!$N$1:$N$186)=TRUE</xm:f>
            <x14:dxf>
              <font>
                <b/>
                <i val="0"/>
                <strike val="0"/>
                <u val="double"/>
                <color theme="8"/>
              </font>
              <border>
                <left style="thin">
                  <color rgb="FFFFFF00"/>
                </left>
                <right style="thin">
                  <color rgb="FFFFFF00"/>
                </right>
                <top style="thin">
                  <color rgb="FFFFFF00"/>
                </top>
                <bottom style="thin">
                  <color rgb="FFFFFF00"/>
                </bottom>
              </border>
            </x14:dxf>
          </x14:cfRule>
          <xm:sqref>L49:M49</xm:sqref>
        </x14:conditionalFormatting>
        <x14:conditionalFormatting xmlns:xm="http://schemas.microsoft.com/office/excel/2006/main">
          <x14:cfRule type="expression" priority="76" id="{956F3DD5-F55C-4884-B57E-D9684A041153}">
            <xm:f>_xlfn.XLOOKUP(O10,ErrorData!$G$1:$G$186,ErrorData!$N$1:$N$186)=TRUE</xm:f>
            <x14:dxf>
              <font>
                <b/>
                <i val="0"/>
                <strike val="0"/>
                <u val="double"/>
                <color theme="8"/>
              </font>
              <border>
                <left style="thin">
                  <color rgb="FFFFFF00"/>
                </left>
                <right style="thin">
                  <color rgb="FFFFFF00"/>
                </right>
                <top style="thin">
                  <color rgb="FFFFFF00"/>
                </top>
                <bottom style="thin">
                  <color rgb="FFFFFF00"/>
                </bottom>
              </border>
            </x14:dxf>
          </x14:cfRule>
          <xm:sqref>O10:R10</xm:sqref>
        </x14:conditionalFormatting>
        <x14:conditionalFormatting xmlns:xm="http://schemas.microsoft.com/office/excel/2006/main">
          <x14:cfRule type="expression" priority="88" id="{1554DD68-4A0E-4844-904D-C64BFE3CC336}">
            <xm:f>_xlfn.XLOOKUP(O12,ErrorData!$G$1:$G$186,ErrorData!$N$1:$N$186)=TRUE</xm:f>
            <x14:dxf>
              <font>
                <b/>
                <i val="0"/>
                <strike val="0"/>
                <u val="double"/>
                <color theme="8"/>
              </font>
              <border>
                <left style="thin">
                  <color rgb="FFFFFF00"/>
                </left>
                <right style="thin">
                  <color rgb="FFFFFF00"/>
                </right>
                <top style="thin">
                  <color rgb="FFFFFF00"/>
                </top>
                <bottom style="thin">
                  <color rgb="FFFFFF00"/>
                </bottom>
              </border>
            </x14:dxf>
          </x14:cfRule>
          <xm:sqref>O12:R14</xm:sqref>
        </x14:conditionalFormatting>
        <x14:conditionalFormatting xmlns:xm="http://schemas.microsoft.com/office/excel/2006/main">
          <x14:cfRule type="expression" priority="79" id="{B3B1266C-E74A-42FE-8B86-2329D8D17F3A}">
            <xm:f>_xlfn.XLOOKUP(O16,ErrorData!$G$1:$G$186,ErrorData!$N$1:$N$186)=TRUE</xm:f>
            <x14:dxf>
              <font>
                <b/>
                <i val="0"/>
                <strike val="0"/>
                <u val="double"/>
                <color theme="8"/>
              </font>
              <border>
                <left style="thin">
                  <color rgb="FFFFFF00"/>
                </left>
                <right style="thin">
                  <color rgb="FFFFFF00"/>
                </right>
                <top style="thin">
                  <color rgb="FFFFFF00"/>
                </top>
                <bottom style="thin">
                  <color rgb="FFFFFF00"/>
                </bottom>
              </border>
            </x14:dxf>
          </x14:cfRule>
          <xm:sqref>O16:R17</xm:sqref>
        </x14:conditionalFormatting>
        <x14:conditionalFormatting xmlns:xm="http://schemas.microsoft.com/office/excel/2006/main">
          <x14:cfRule type="expression" priority="31" id="{DF48CC49-E98D-4E5F-BC62-C5CEBD633CDD}">
            <xm:f>_xlfn.XLOOKUP(O23,ErrorData!$G$1:$G$186,ErrorData!$N$1:$N$186)=TRUE</xm:f>
            <x14:dxf>
              <font>
                <b/>
                <i val="0"/>
                <strike val="0"/>
                <u val="double"/>
                <color theme="8"/>
              </font>
              <border>
                <left style="thin">
                  <color rgb="FFFFFF00"/>
                </left>
                <right style="thin">
                  <color rgb="FFFFFF00"/>
                </right>
                <top style="thin">
                  <color rgb="FFFFFF00"/>
                </top>
                <bottom style="thin">
                  <color rgb="FFFFFF00"/>
                </bottom>
              </border>
            </x14:dxf>
          </x14:cfRule>
          <xm:sqref>O23:R23</xm:sqref>
        </x14:conditionalFormatting>
        <x14:conditionalFormatting xmlns:xm="http://schemas.microsoft.com/office/excel/2006/main">
          <x14:cfRule type="expression" priority="34" id="{479E86B0-80F0-4D69-9D8A-3D492FB7811A}">
            <xm:f>_xlfn.XLOOKUP(O25,ErrorData!$G$1:$G$186,ErrorData!$N$1:$N$186)=TRUE</xm:f>
            <x14:dxf>
              <font>
                <b/>
                <i val="0"/>
                <strike val="0"/>
                <u val="double"/>
                <color theme="8"/>
              </font>
              <border>
                <left style="thin">
                  <color rgb="FFFFFF00"/>
                </left>
                <right style="thin">
                  <color rgb="FFFFFF00"/>
                </right>
                <top style="thin">
                  <color rgb="FFFFFF00"/>
                </top>
                <bottom style="thin">
                  <color rgb="FFFFFF00"/>
                </bottom>
              </border>
            </x14:dxf>
          </x14:cfRule>
          <xm:sqref>O25:R27</xm:sqref>
        </x14:conditionalFormatting>
        <x14:conditionalFormatting xmlns:xm="http://schemas.microsoft.com/office/excel/2006/main">
          <x14:cfRule type="expression" priority="32" id="{88CF38CB-E265-4779-9BA2-5E622D42A739}">
            <xm:f>_xlfn.XLOOKUP(O29,ErrorData!$G$1:$G$186,ErrorData!$N$1:$N$186)=TRUE</xm:f>
            <x14:dxf>
              <font>
                <b/>
                <i val="0"/>
                <strike val="0"/>
                <u val="double"/>
                <color theme="8"/>
              </font>
              <border>
                <left style="thin">
                  <color rgb="FFFFFF00"/>
                </left>
                <right style="thin">
                  <color rgb="FFFFFF00"/>
                </right>
                <top style="thin">
                  <color rgb="FFFFFF00"/>
                </top>
                <bottom style="thin">
                  <color rgb="FFFFFF00"/>
                </bottom>
              </border>
            </x14:dxf>
          </x14:cfRule>
          <xm:sqref>O29:R30</xm:sqref>
        </x14:conditionalFormatting>
        <x14:conditionalFormatting xmlns:xm="http://schemas.microsoft.com/office/excel/2006/main">
          <x14:cfRule type="expression" priority="21" id="{10D9684E-E294-4759-8C00-240EB074FA2F}">
            <xm:f>_xlfn.XLOOKUP(O36,ErrorData!$G$1:$G$186,ErrorData!$N$1:$N$186)=TRUE</xm:f>
            <x14:dxf>
              <font>
                <b/>
                <i val="0"/>
                <strike val="0"/>
                <u val="double"/>
                <color theme="8"/>
              </font>
              <border>
                <left style="thin">
                  <color rgb="FFFFFF00"/>
                </left>
                <right style="thin">
                  <color rgb="FFFFFF00"/>
                </right>
                <top style="thin">
                  <color rgb="FFFFFF00"/>
                </top>
                <bottom style="thin">
                  <color rgb="FFFFFF00"/>
                </bottom>
              </border>
            </x14:dxf>
          </x14:cfRule>
          <xm:sqref>O36:R36</xm:sqref>
        </x14:conditionalFormatting>
        <x14:conditionalFormatting xmlns:xm="http://schemas.microsoft.com/office/excel/2006/main">
          <x14:cfRule type="expression" priority="24" id="{555BF7A1-F980-46E2-964D-C2C7295FEA89}">
            <xm:f>_xlfn.XLOOKUP(O38,ErrorData!$G$1:$G$186,ErrorData!$N$1:$N$186)=TRUE</xm:f>
            <x14:dxf>
              <font>
                <b/>
                <i val="0"/>
                <strike val="0"/>
                <u val="double"/>
                <color theme="8"/>
              </font>
              <border>
                <left style="thin">
                  <color rgb="FFFFFF00"/>
                </left>
                <right style="thin">
                  <color rgb="FFFFFF00"/>
                </right>
                <top style="thin">
                  <color rgb="FFFFFF00"/>
                </top>
                <bottom style="thin">
                  <color rgb="FFFFFF00"/>
                </bottom>
              </border>
            </x14:dxf>
          </x14:cfRule>
          <xm:sqref>O38:R40</xm:sqref>
        </x14:conditionalFormatting>
        <x14:conditionalFormatting xmlns:xm="http://schemas.microsoft.com/office/excel/2006/main">
          <x14:cfRule type="expression" priority="22" id="{01904796-82AE-480C-A4D6-17A63BD08FED}">
            <xm:f>_xlfn.XLOOKUP(O42,ErrorData!$G$1:$G$186,ErrorData!$N$1:$N$186)=TRUE</xm:f>
            <x14:dxf>
              <font>
                <b/>
                <i val="0"/>
                <strike val="0"/>
                <u val="double"/>
                <color theme="8"/>
              </font>
              <border>
                <left style="thin">
                  <color rgb="FFFFFF00"/>
                </left>
                <right style="thin">
                  <color rgb="FFFFFF00"/>
                </right>
                <top style="thin">
                  <color rgb="FFFFFF00"/>
                </top>
                <bottom style="thin">
                  <color rgb="FFFFFF00"/>
                </bottom>
              </border>
            </x14:dxf>
          </x14:cfRule>
          <xm:sqref>O42:R43</xm:sqref>
        </x14:conditionalFormatting>
        <x14:conditionalFormatting xmlns:xm="http://schemas.microsoft.com/office/excel/2006/main">
          <x14:cfRule type="expression" priority="11" id="{BF474DC5-DB42-4169-90F0-2972E54E87B9}">
            <xm:f>_xlfn.XLOOKUP(O49,ErrorData!$G$1:$G$186,ErrorData!$N$1:$N$186)=TRUE</xm:f>
            <x14:dxf>
              <font>
                <b/>
                <i val="0"/>
                <strike val="0"/>
                <u val="double"/>
                <color theme="8"/>
              </font>
              <border>
                <left style="thin">
                  <color rgb="FFFFFF00"/>
                </left>
                <right style="thin">
                  <color rgb="FFFFFF00"/>
                </right>
                <top style="thin">
                  <color rgb="FFFFFF00"/>
                </top>
                <bottom style="thin">
                  <color rgb="FFFFFF00"/>
                </bottom>
              </border>
            </x14:dxf>
          </x14:cfRule>
          <xm:sqref>O49:R49</xm:sqref>
        </x14:conditionalFormatting>
        <x14:conditionalFormatting xmlns:xm="http://schemas.microsoft.com/office/excel/2006/main">
          <x14:cfRule type="expression" priority="14" id="{2F808D4C-E72C-4198-A4E9-28CFBBA0D418}">
            <xm:f>_xlfn.XLOOKUP(O51,ErrorData!$G$1:$G$186,ErrorData!$N$1:$N$186)=TRUE</xm:f>
            <x14:dxf>
              <font>
                <b/>
                <i val="0"/>
                <strike val="0"/>
                <u val="double"/>
                <color theme="8"/>
              </font>
              <border>
                <left style="thin">
                  <color rgb="FFFFFF00"/>
                </left>
                <right style="thin">
                  <color rgb="FFFFFF00"/>
                </right>
                <top style="thin">
                  <color rgb="FFFFFF00"/>
                </top>
                <bottom style="thin">
                  <color rgb="FFFFFF00"/>
                </bottom>
              </border>
            </x14:dxf>
          </x14:cfRule>
          <xm:sqref>O51:R53</xm:sqref>
        </x14:conditionalFormatting>
        <x14:conditionalFormatting xmlns:xm="http://schemas.microsoft.com/office/excel/2006/main">
          <x14:cfRule type="expression" priority="12" id="{093223B5-377C-45B9-AB85-D22F07167310}">
            <xm:f>_xlfn.XLOOKUP(O55,ErrorData!$G$1:$G$186,ErrorData!$N$1:$N$186)=TRUE</xm:f>
            <x14:dxf>
              <font>
                <b/>
                <i val="0"/>
                <strike val="0"/>
                <u val="double"/>
                <color theme="8"/>
              </font>
              <border>
                <left style="thin">
                  <color rgb="FFFFFF00"/>
                </left>
                <right style="thin">
                  <color rgb="FFFFFF00"/>
                </right>
                <top style="thin">
                  <color rgb="FFFFFF00"/>
                </top>
                <bottom style="thin">
                  <color rgb="FFFFFF00"/>
                </bottom>
              </border>
            </x14:dxf>
          </x14:cfRule>
          <xm:sqref>O55:R56</xm:sqref>
        </x14:conditionalFormatting>
        <x14:conditionalFormatting xmlns:xm="http://schemas.microsoft.com/office/excel/2006/main">
          <x14:cfRule type="expression" priority="85" id="{4B5F2E0D-9F51-4210-B129-4F388A35BA5B}">
            <xm:f>_xlfn.XLOOKUP(O15,ErrorData!$G$1:$G$186,ErrorData!$N$1:$N$186)=TRUE</xm:f>
            <x14:dxf>
              <font>
                <b/>
                <i val="0"/>
                <strike val="0"/>
                <u val="double"/>
                <color theme="8"/>
              </font>
              <border>
                <left style="thin">
                  <color rgb="FFFFFF00"/>
                </left>
                <right style="thin">
                  <color rgb="FFFFFF00"/>
                </right>
                <top style="thin">
                  <color rgb="FFFFFF00"/>
                </top>
                <bottom style="thin">
                  <color rgb="FFFFFF00"/>
                </bottom>
              </border>
            </x14:dxf>
          </x14:cfRule>
          <xm:sqref>O15:S15</xm:sqref>
        </x14:conditionalFormatting>
        <x14:conditionalFormatting xmlns:xm="http://schemas.microsoft.com/office/excel/2006/main">
          <x14:cfRule type="expression" priority="35" id="{9BA0DA02-77E8-4935-8AC6-0E9A2F6E73E8}">
            <xm:f>_xlfn.XLOOKUP(O24,ErrorData!$G$1:$G$186,ErrorData!$N$1:$N$186)=TRUE</xm:f>
            <x14:dxf>
              <font>
                <b/>
                <i val="0"/>
                <strike val="0"/>
                <u val="double"/>
                <color theme="8"/>
              </font>
              <border>
                <left style="thin">
                  <color rgb="FFFFFF00"/>
                </left>
                <right style="thin">
                  <color rgb="FFFFFF00"/>
                </right>
                <top style="thin">
                  <color rgb="FFFFFF00"/>
                </top>
                <bottom style="thin">
                  <color rgb="FFFFFF00"/>
                </bottom>
              </border>
            </x14:dxf>
          </x14:cfRule>
          <xm:sqref>O24:S24 S30</xm:sqref>
        </x14:conditionalFormatting>
        <x14:conditionalFormatting xmlns:xm="http://schemas.microsoft.com/office/excel/2006/main">
          <x14:cfRule type="expression" priority="33" id="{4ED92001-9F6D-491F-876C-4EF6D3896CD4}">
            <xm:f>_xlfn.XLOOKUP(O28,ErrorData!$G$1:$G$186,ErrorData!$N$1:$N$186)=TRUE</xm:f>
            <x14:dxf>
              <font>
                <b/>
                <i val="0"/>
                <strike val="0"/>
                <u val="double"/>
                <color theme="8"/>
              </font>
              <border>
                <left style="thin">
                  <color rgb="FFFFFF00"/>
                </left>
                <right style="thin">
                  <color rgb="FFFFFF00"/>
                </right>
                <top style="thin">
                  <color rgb="FFFFFF00"/>
                </top>
                <bottom style="thin">
                  <color rgb="FFFFFF00"/>
                </bottom>
              </border>
            </x14:dxf>
          </x14:cfRule>
          <xm:sqref>O28:S28</xm:sqref>
        </x14:conditionalFormatting>
        <x14:conditionalFormatting xmlns:xm="http://schemas.microsoft.com/office/excel/2006/main">
          <x14:cfRule type="expression" priority="25" id="{730EB4C1-8917-49F3-842C-F0F233CEFC5F}">
            <xm:f>_xlfn.XLOOKUP(O37,ErrorData!$G$1:$G$186,ErrorData!$N$1:$N$186)=TRUE</xm:f>
            <x14:dxf>
              <font>
                <b/>
                <i val="0"/>
                <strike val="0"/>
                <u val="double"/>
                <color theme="8"/>
              </font>
              <border>
                <left style="thin">
                  <color rgb="FFFFFF00"/>
                </left>
                <right style="thin">
                  <color rgb="FFFFFF00"/>
                </right>
                <top style="thin">
                  <color rgb="FFFFFF00"/>
                </top>
                <bottom style="thin">
                  <color rgb="FFFFFF00"/>
                </bottom>
              </border>
            </x14:dxf>
          </x14:cfRule>
          <xm:sqref>O37:S37 S43</xm:sqref>
        </x14:conditionalFormatting>
        <x14:conditionalFormatting xmlns:xm="http://schemas.microsoft.com/office/excel/2006/main">
          <x14:cfRule type="expression" priority="23" id="{DB1BED4F-0860-46E1-A23C-2757A2475312}">
            <xm:f>_xlfn.XLOOKUP(O41,ErrorData!$G$1:$G$186,ErrorData!$N$1:$N$186)=TRUE</xm:f>
            <x14:dxf>
              <font>
                <b/>
                <i val="0"/>
                <strike val="0"/>
                <u val="double"/>
                <color theme="8"/>
              </font>
              <border>
                <left style="thin">
                  <color rgb="FFFFFF00"/>
                </left>
                <right style="thin">
                  <color rgb="FFFFFF00"/>
                </right>
                <top style="thin">
                  <color rgb="FFFFFF00"/>
                </top>
                <bottom style="thin">
                  <color rgb="FFFFFF00"/>
                </bottom>
              </border>
            </x14:dxf>
          </x14:cfRule>
          <xm:sqref>O41:S41</xm:sqref>
        </x14:conditionalFormatting>
        <x14:conditionalFormatting xmlns:xm="http://schemas.microsoft.com/office/excel/2006/main">
          <x14:cfRule type="expression" priority="15" id="{12B64BBF-ED65-4E1D-B0A4-58673B0B3731}">
            <xm:f>_xlfn.XLOOKUP(O50,ErrorData!$G$1:$G$186,ErrorData!$N$1:$N$186)=TRUE</xm:f>
            <x14:dxf>
              <font>
                <b/>
                <i val="0"/>
                <strike val="0"/>
                <u val="double"/>
                <color theme="8"/>
              </font>
              <border>
                <left style="thin">
                  <color rgb="FFFFFF00"/>
                </left>
                <right style="thin">
                  <color rgb="FFFFFF00"/>
                </right>
                <top style="thin">
                  <color rgb="FFFFFF00"/>
                </top>
                <bottom style="thin">
                  <color rgb="FFFFFF00"/>
                </bottom>
              </border>
            </x14:dxf>
          </x14:cfRule>
          <xm:sqref>O50:S50 S56</xm:sqref>
        </x14:conditionalFormatting>
        <x14:conditionalFormatting xmlns:xm="http://schemas.microsoft.com/office/excel/2006/main">
          <x14:cfRule type="expression" priority="13" id="{A41DD14B-9E6C-4CE9-B1A9-B47F37CBEFFE}">
            <xm:f>_xlfn.XLOOKUP(O54,ErrorData!$G$1:$G$186,ErrorData!$N$1:$N$186)=TRUE</xm:f>
            <x14:dxf>
              <font>
                <b/>
                <i val="0"/>
                <strike val="0"/>
                <u val="double"/>
                <color theme="8"/>
              </font>
              <border>
                <left style="thin">
                  <color rgb="FFFFFF00"/>
                </left>
                <right style="thin">
                  <color rgb="FFFFFF00"/>
                </right>
                <top style="thin">
                  <color rgb="FFFFFF00"/>
                </top>
                <bottom style="thin">
                  <color rgb="FFFFFF00"/>
                </bottom>
              </border>
            </x14:dxf>
          </x14:cfRule>
          <xm:sqref>O54:S54</xm:sqref>
        </x14:conditionalFormatting>
        <x14:conditionalFormatting xmlns:xm="http://schemas.microsoft.com/office/excel/2006/main">
          <x14:cfRule type="expression" priority="36" id="{3A84099D-41AE-4F4D-B48E-264B882DBD67}">
            <xm:f>_xlfn.XLOOKUP(S13,ErrorData!$G$1:$G$186,ErrorData!$O$1:$O$186)=TRUE</xm:f>
            <x14:dxf>
              <font>
                <b/>
                <i/>
                <strike val="0"/>
                <color rgb="FFFFC000"/>
              </font>
            </x14:dxf>
          </x14:cfRule>
          <x14:cfRule type="expression" priority="37" id="{38290365-6BB6-443E-B300-F5C5C45F129A}">
            <xm:f>_xlfn.XLOOKUP(S13,ErrorData!$G$1:$G$186,ErrorData!$N$1:$N$186)=TRUE</xm:f>
            <x14:dxf>
              <font>
                <b/>
                <i val="0"/>
                <strike val="0"/>
                <u val="double"/>
                <color theme="8"/>
              </font>
              <border>
                <left style="thin">
                  <color rgb="FFFFFF00"/>
                </left>
                <right style="thin">
                  <color rgb="FFFFFF00"/>
                </right>
                <top style="thin">
                  <color rgb="FFFFFF00"/>
                </top>
                <bottom style="thin">
                  <color rgb="FFFFFF00"/>
                </bottom>
              </border>
            </x14:dxf>
          </x14:cfRule>
          <x14:cfRule type="expression" priority="38" id="{48BF15DF-ADA0-4EE0-93E7-D93CCC60A15C}">
            <xm:f>_xlfn.XLOOKUP(S13,ErrorData!$G$1:$G$186,ErrorData!$P$1:$P$186)=TRUE</xm:f>
            <x14:dxf>
              <font>
                <color theme="0"/>
              </font>
              <fill>
                <patternFill>
                  <bgColor rgb="FFFF0000"/>
                </patternFill>
              </fill>
            </x14:dxf>
          </x14:cfRule>
          <xm:sqref>S13</xm:sqref>
        </x14:conditionalFormatting>
        <x14:conditionalFormatting xmlns:xm="http://schemas.microsoft.com/office/excel/2006/main">
          <x14:cfRule type="expression" priority="26" id="{CF07CC1E-3A4D-422F-94FF-F2776A10AAE7}">
            <xm:f>_xlfn.XLOOKUP(S26,ErrorData!$G$1:$G$186,ErrorData!$O$1:$O$186)=TRUE</xm:f>
            <x14:dxf>
              <font>
                <b/>
                <i/>
                <strike val="0"/>
                <color rgb="FFFFC000"/>
              </font>
            </x14:dxf>
          </x14:cfRule>
          <x14:cfRule type="expression" priority="27" id="{324B8995-FEE7-4548-8F08-46587F3F2C5C}">
            <xm:f>_xlfn.XLOOKUP(S26,ErrorData!$G$1:$G$186,ErrorData!$N$1:$N$186)=TRUE</xm:f>
            <x14:dxf>
              <font>
                <b/>
                <i val="0"/>
                <strike val="0"/>
                <u val="double"/>
                <color theme="8"/>
              </font>
              <border>
                <left style="thin">
                  <color rgb="FFFFFF00"/>
                </left>
                <right style="thin">
                  <color rgb="FFFFFF00"/>
                </right>
                <top style="thin">
                  <color rgb="FFFFFF00"/>
                </top>
                <bottom style="thin">
                  <color rgb="FFFFFF00"/>
                </bottom>
              </border>
            </x14:dxf>
          </x14:cfRule>
          <x14:cfRule type="expression" priority="28" id="{5F90CD68-91E7-4851-A83E-81311A817168}">
            <xm:f>_xlfn.XLOOKUP(S26,ErrorData!$G$1:$G$186,ErrorData!$P$1:$P$186)=TRUE</xm:f>
            <x14:dxf>
              <font>
                <color theme="0"/>
              </font>
              <fill>
                <patternFill>
                  <bgColor rgb="FFFF0000"/>
                </patternFill>
              </fill>
            </x14:dxf>
          </x14:cfRule>
          <xm:sqref>S26</xm:sqref>
        </x14:conditionalFormatting>
        <x14:conditionalFormatting xmlns:xm="http://schemas.microsoft.com/office/excel/2006/main">
          <x14:cfRule type="expression" priority="16" id="{B5B7A0D5-7DE3-400A-B651-5F448AB9D9DC}">
            <xm:f>_xlfn.XLOOKUP(S39,ErrorData!$G$1:$G$186,ErrorData!$O$1:$O$186)=TRUE</xm:f>
            <x14:dxf>
              <font>
                <b/>
                <i/>
                <strike val="0"/>
                <color rgb="FFFFC000"/>
              </font>
            </x14:dxf>
          </x14:cfRule>
          <x14:cfRule type="expression" priority="17" id="{8AF0D699-8F45-453A-BC12-B11E488E84A8}">
            <xm:f>_xlfn.XLOOKUP(S39,ErrorData!$G$1:$G$186,ErrorData!$N$1:$N$186)=TRUE</xm:f>
            <x14:dxf>
              <font>
                <b/>
                <i val="0"/>
                <strike val="0"/>
                <u val="double"/>
                <color theme="8"/>
              </font>
              <border>
                <left style="thin">
                  <color rgb="FFFFFF00"/>
                </left>
                <right style="thin">
                  <color rgb="FFFFFF00"/>
                </right>
                <top style="thin">
                  <color rgb="FFFFFF00"/>
                </top>
                <bottom style="thin">
                  <color rgb="FFFFFF00"/>
                </bottom>
              </border>
            </x14:dxf>
          </x14:cfRule>
          <x14:cfRule type="expression" priority="18" id="{87672F25-E332-4B25-A229-FDB00C33046F}">
            <xm:f>_xlfn.XLOOKUP(S39,ErrorData!$G$1:$G$186,ErrorData!$P$1:$P$186)=TRUE</xm:f>
            <x14:dxf>
              <font>
                <color theme="0"/>
              </font>
              <fill>
                <patternFill>
                  <bgColor rgb="FFFF0000"/>
                </patternFill>
              </fill>
            </x14:dxf>
          </x14:cfRule>
          <xm:sqref>S39</xm:sqref>
        </x14:conditionalFormatting>
        <x14:conditionalFormatting xmlns:xm="http://schemas.microsoft.com/office/excel/2006/main">
          <x14:cfRule type="expression" priority="6" id="{BD2F0715-F672-4A09-A71C-9D0951956C08}">
            <xm:f>_xlfn.XLOOKUP(S52,ErrorData!$G$1:$G$186,ErrorData!$O$1:$O$186)=TRUE</xm:f>
            <x14:dxf>
              <font>
                <b/>
                <i/>
                <strike val="0"/>
                <color rgb="FFFFC000"/>
              </font>
            </x14:dxf>
          </x14:cfRule>
          <x14:cfRule type="expression" priority="7" id="{F7A267D3-929B-41A1-B512-18EEF264BB4E}">
            <xm:f>_xlfn.XLOOKUP(S52,ErrorData!$G$1:$G$186,ErrorData!$N$1:$N$186)=TRUE</xm:f>
            <x14:dxf>
              <font>
                <b/>
                <i val="0"/>
                <strike val="0"/>
                <u val="double"/>
                <color theme="8"/>
              </font>
              <border>
                <left style="thin">
                  <color rgb="FFFFFF00"/>
                </left>
                <right style="thin">
                  <color rgb="FFFFFF00"/>
                </right>
                <top style="thin">
                  <color rgb="FFFFFF00"/>
                </top>
                <bottom style="thin">
                  <color rgb="FFFFFF00"/>
                </bottom>
              </border>
            </x14:dxf>
          </x14:cfRule>
          <x14:cfRule type="expression" priority="8" id="{745AB587-EDAD-4BFC-BF46-45E2214A31BE}">
            <xm:f>_xlfn.XLOOKUP(S52,ErrorData!$G$1:$G$186,ErrorData!$P$1:$P$186)=TRUE</xm:f>
            <x14:dxf>
              <font>
                <color theme="0"/>
              </font>
              <fill>
                <patternFill>
                  <bgColor rgb="FFFF0000"/>
                </patternFill>
              </fill>
            </x14:dxf>
          </x14:cfRule>
          <xm:sqref>S52</xm:sqref>
        </x14:conditionalFormatting>
        <x14:conditionalFormatting xmlns:xm="http://schemas.microsoft.com/office/excel/2006/main">
          <x14:cfRule type="expression" priority="42" id="{D17645A2-1023-45C3-B53E-BB268A1B6192}">
            <xm:f>_xlfn.XLOOKUP(U10,ErrorData!$G$1:$G$186,ErrorData!$O$1:$O$186)=TRUE</xm:f>
            <x14:dxf>
              <font>
                <b/>
                <i/>
                <strike val="0"/>
                <color rgb="FFFFC000"/>
              </font>
            </x14:dxf>
          </x14:cfRule>
          <x14:cfRule type="expression" priority="44" id="{B7E4AC9C-1DE3-4D3C-B2E4-6762066BA213}">
            <xm:f>_xlfn.XLOOKUP(U10,ErrorData!$G$1:$G$186,ErrorData!$P$1:$P$186)=TRUE</xm:f>
            <x14:dxf>
              <font>
                <color theme="0"/>
              </font>
              <fill>
                <patternFill>
                  <bgColor rgb="FFFF0000"/>
                </patternFill>
              </fill>
            </x14:dxf>
          </x14:cfRule>
          <xm:sqref>U10:X17</xm:sqref>
        </x14:conditionalFormatting>
        <x14:conditionalFormatting xmlns:xm="http://schemas.microsoft.com/office/excel/2006/main">
          <x14:cfRule type="expression" priority="29" id="{F5C5F66D-B96B-48D3-9E3F-00E633C8C86F}">
            <xm:f>_xlfn.XLOOKUP(U23,ErrorData!$G$1:$G$186,ErrorData!$O$1:$O$186)=TRUE</xm:f>
            <x14:dxf>
              <font>
                <b/>
                <i/>
                <strike val="0"/>
                <color rgb="FFFFC000"/>
              </font>
            </x14:dxf>
          </x14:cfRule>
          <x14:cfRule type="expression" priority="30" id="{1964D890-4EDE-4963-A7FC-37BE7A6D1200}">
            <xm:f>_xlfn.XLOOKUP(U23,ErrorData!$G$1:$G$186,ErrorData!$P$1:$P$186)=TRUE</xm:f>
            <x14:dxf>
              <font>
                <color theme="0"/>
              </font>
              <fill>
                <patternFill>
                  <bgColor rgb="FFFF0000"/>
                </patternFill>
              </fill>
            </x14:dxf>
          </x14:cfRule>
          <xm:sqref>U23:X30</xm:sqref>
        </x14:conditionalFormatting>
        <x14:conditionalFormatting xmlns:xm="http://schemas.microsoft.com/office/excel/2006/main">
          <x14:cfRule type="expression" priority="19" id="{5D6B16E8-CB81-4B6E-BC27-6DAD942048E8}">
            <xm:f>_xlfn.XLOOKUP(U36,ErrorData!$G$1:$G$186,ErrorData!$O$1:$O$186)=TRUE</xm:f>
            <x14:dxf>
              <font>
                <b/>
                <i/>
                <strike val="0"/>
                <color rgb="FFFFC000"/>
              </font>
            </x14:dxf>
          </x14:cfRule>
          <x14:cfRule type="expression" priority="20" id="{76A04D2A-8492-41D4-B6BB-DA06996321D6}">
            <xm:f>_xlfn.XLOOKUP(U36,ErrorData!$G$1:$G$186,ErrorData!$P$1:$P$186)=TRUE</xm:f>
            <x14:dxf>
              <font>
                <color theme="0"/>
              </font>
              <fill>
                <patternFill>
                  <bgColor rgb="FFFF0000"/>
                </patternFill>
              </fill>
            </x14:dxf>
          </x14:cfRule>
          <xm:sqref>U36:X43</xm:sqref>
        </x14:conditionalFormatting>
        <x14:conditionalFormatting xmlns:xm="http://schemas.microsoft.com/office/excel/2006/main">
          <x14:cfRule type="expression" priority="9" id="{55233097-4668-4D36-8327-2741A860332D}">
            <xm:f>_xlfn.XLOOKUP(U49,ErrorData!$G$1:$G$186,ErrorData!$O$1:$O$186)=TRUE</xm:f>
            <x14:dxf>
              <font>
                <b/>
                <i/>
                <strike val="0"/>
                <color rgb="FFFFC000"/>
              </font>
            </x14:dxf>
          </x14:cfRule>
          <x14:cfRule type="expression" priority="10" id="{3149C522-5641-4CA6-A9A1-C8DF4E447894}">
            <xm:f>_xlfn.XLOOKUP(U49,ErrorData!$G$1:$G$186,ErrorData!$P$1:$P$186)=TRUE</xm:f>
            <x14:dxf>
              <font>
                <color theme="0"/>
              </font>
              <fill>
                <patternFill>
                  <bgColor rgb="FFFF0000"/>
                </patternFill>
              </fill>
            </x14:dxf>
          </x14:cfRule>
          <xm:sqref>U49:X56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56C41764-2A11-4836-9359-58EBFBEBEAB9}">
          <x14:formula1>
            <xm:f>ErrorData!$D$3:$D$4</xm:f>
          </x14:formula1>
          <xm:sqref>AE2:AF2</xm:sqref>
        </x14:dataValidation>
        <x14:dataValidation type="list" allowBlank="1" showInputMessage="1" showErrorMessage="1" xr:uid="{3544B18A-8CCB-49A3-BFE4-1623780809C8}">
          <x14:formula1>
            <xm:f>_xlfn._TRO_TRAILING(ErrorData!$D$8:$D$12)</xm:f>
          </x14:formula1>
          <xm:sqref>AJ2</xm:sqref>
        </x14:dataValidation>
        <x14:dataValidation type="list" allowBlank="1" showInputMessage="1" showErrorMessage="1" xr:uid="{5826EDB1-C658-4A56-8D07-B2E9DCA63259}">
          <x14:formula1>
            <xm:f>ErrorData!$D$14:$D$15</xm:f>
          </x14:formula1>
          <xm:sqref>AN2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BEF356-01A3-45DB-BFFF-83FE6984CD58}">
  <dimension ref="A1:AZ182"/>
  <sheetViews>
    <sheetView tabSelected="1" topLeftCell="AJ1" workbookViewId="0">
      <selection activeCell="AM3" sqref="AM3"/>
    </sheetView>
  </sheetViews>
  <sheetFormatPr defaultRowHeight="14.4" outlineLevelCol="1" x14ac:dyDescent="0.3"/>
  <cols>
    <col min="1" max="2" width="76.33203125" customWidth="1" outlineLevel="1"/>
    <col min="3" max="3" width="65.77734375" customWidth="1" outlineLevel="1"/>
    <col min="4" max="4" width="10.88671875" customWidth="1"/>
    <col min="17" max="17" width="70.77734375" bestFit="1" customWidth="1"/>
    <col min="18" max="18" width="19.5546875" bestFit="1" customWidth="1"/>
    <col min="19" max="19" width="72.6640625" bestFit="1" customWidth="1"/>
    <col min="20" max="20" width="19.5546875" customWidth="1"/>
    <col min="21" max="21" width="73.33203125" bestFit="1" customWidth="1"/>
    <col min="22" max="22" width="19.5546875" customWidth="1"/>
    <col min="23" max="23" width="71.77734375" bestFit="1" customWidth="1"/>
    <col min="24" max="24" width="19.5546875" customWidth="1"/>
    <col min="25" max="25" width="70.44140625" bestFit="1" customWidth="1"/>
    <col min="26" max="26" width="18.21875" bestFit="1" customWidth="1"/>
    <col min="27" max="27" width="61.88671875" bestFit="1" customWidth="1"/>
    <col min="28" max="28" width="18.21875" customWidth="1"/>
    <col min="29" max="29" width="59.88671875" bestFit="1" customWidth="1"/>
    <col min="30" max="30" width="18.21875" customWidth="1"/>
    <col min="31" max="31" width="20" bestFit="1" customWidth="1"/>
    <col min="32" max="32" width="11.109375" bestFit="1" customWidth="1"/>
    <col min="33" max="33" width="77.44140625" bestFit="1" customWidth="1"/>
    <col min="34" max="34" width="19" bestFit="1" customWidth="1"/>
    <col min="37" max="37" width="11.33203125" bestFit="1" customWidth="1"/>
    <col min="38" max="38" width="10.21875" bestFit="1" customWidth="1"/>
    <col min="39" max="39" width="8.33203125" bestFit="1" customWidth="1"/>
    <col min="40" max="40" width="6" bestFit="1" customWidth="1"/>
    <col min="41" max="41" width="59" bestFit="1" customWidth="1"/>
    <col min="42" max="42" width="22.109375" bestFit="1" customWidth="1"/>
    <col min="47" max="47" width="78.5546875" bestFit="1" customWidth="1"/>
    <col min="48" max="48" width="10.109375" customWidth="1"/>
    <col min="50" max="50" width="7.109375" bestFit="1" customWidth="1"/>
    <col min="51" max="51" width="78.5546875" bestFit="1" customWidth="1"/>
    <col min="52" max="52" width="10.44140625" bestFit="1" customWidth="1"/>
  </cols>
  <sheetData>
    <row r="1" spans="1:52" ht="79.8" customHeight="1" thickBot="1" x14ac:dyDescent="0.35">
      <c r="A1" s="128" t="s">
        <v>35</v>
      </c>
      <c r="B1" s="129"/>
      <c r="C1" s="130"/>
      <c r="F1" t="s">
        <v>71</v>
      </c>
      <c r="G1" t="str">
        <f>IF(MC_Check!AE2="DPMB","__",".")</f>
        <v>__</v>
      </c>
      <c r="I1" t="s">
        <v>94</v>
      </c>
      <c r="AK1" s="65" t="s">
        <v>110</v>
      </c>
      <c r="AT1" s="65" t="s">
        <v>56</v>
      </c>
      <c r="AX1" s="65" t="s">
        <v>57</v>
      </c>
    </row>
    <row r="2" spans="1:52" x14ac:dyDescent="0.3">
      <c r="A2" t="s">
        <v>12</v>
      </c>
      <c r="B2" t="s">
        <v>30</v>
      </c>
      <c r="C2" t="s">
        <v>13</v>
      </c>
      <c r="D2" t="s">
        <v>74</v>
      </c>
      <c r="F2" t="s">
        <v>89</v>
      </c>
      <c r="G2" t="s">
        <v>15</v>
      </c>
      <c r="H2" t="s">
        <v>79</v>
      </c>
      <c r="I2" t="s">
        <v>83</v>
      </c>
      <c r="J2" t="s">
        <v>14</v>
      </c>
      <c r="K2" t="s">
        <v>112</v>
      </c>
      <c r="L2" t="s">
        <v>95</v>
      </c>
      <c r="M2" t="s">
        <v>91</v>
      </c>
      <c r="N2" t="s">
        <v>16</v>
      </c>
      <c r="O2" t="s">
        <v>17</v>
      </c>
      <c r="P2" t="s">
        <v>31</v>
      </c>
      <c r="Q2" t="s">
        <v>96</v>
      </c>
      <c r="R2" t="s">
        <v>32</v>
      </c>
      <c r="S2" t="s">
        <v>97</v>
      </c>
      <c r="T2" t="s">
        <v>98</v>
      </c>
      <c r="U2" t="s">
        <v>99</v>
      </c>
      <c r="V2" t="s">
        <v>101</v>
      </c>
      <c r="W2" t="s">
        <v>100</v>
      </c>
      <c r="X2" t="s">
        <v>102</v>
      </c>
      <c r="Y2" t="s">
        <v>103</v>
      </c>
      <c r="Z2" t="s">
        <v>104</v>
      </c>
      <c r="AA2" t="s">
        <v>105</v>
      </c>
      <c r="AB2" t="s">
        <v>106</v>
      </c>
      <c r="AC2" t="s">
        <v>107</v>
      </c>
      <c r="AD2" t="s">
        <v>108</v>
      </c>
      <c r="AE2" t="s">
        <v>33</v>
      </c>
      <c r="AF2" t="s">
        <v>50</v>
      </c>
      <c r="AG2" t="s">
        <v>109</v>
      </c>
      <c r="AH2" t="s">
        <v>34</v>
      </c>
      <c r="AK2" s="35" t="s">
        <v>14</v>
      </c>
      <c r="AL2" s="35" t="s">
        <v>15</v>
      </c>
      <c r="AM2" s="35" t="s">
        <v>51</v>
      </c>
      <c r="AN2" s="35" t="s">
        <v>52</v>
      </c>
      <c r="AO2" s="35" t="s">
        <v>53</v>
      </c>
      <c r="AP2" s="35" t="s">
        <v>54</v>
      </c>
      <c r="AT2" t="s">
        <v>58</v>
      </c>
      <c r="AU2" t="s">
        <v>59</v>
      </c>
      <c r="AV2" t="s">
        <v>60</v>
      </c>
      <c r="AX2" t="s">
        <v>58</v>
      </c>
      <c r="AY2" t="s">
        <v>59</v>
      </c>
      <c r="AZ2" t="s">
        <v>60</v>
      </c>
    </row>
    <row r="3" spans="1:52" x14ac:dyDescent="0.3">
      <c r="A3" t="str" cm="1">
        <f t="array" ref="A3">IFERROR(SUBSTITUTE(_xlfn._xlws.FILTER(_xlfn.UNIQUE(cha_mc[VisualId]&amp;cha_mc[TestName]),ISNUMBER(SEARCH(MC_Check!H2 &amp; "*LLC*__MCI_STATUS*", _xlfn.UNIQUE(cha_mc[VisualId]&amp;cha_mc[TestName])))),MC_Check!H2,""),"No LLC Data Found")</f>
        <v>No LLC Data Found</v>
      </c>
      <c r="B3" t="str" cm="1">
        <f t="array" ref="B3">IFERROR(SUBSTITUTE(_xlfn._xlws.FILTER(_xlfn.UNIQUE(cha_mc[VisualId]&amp;cha_mc[TestName]),ISNUMBER(SEARCH(MC_Check!H2 &amp; "*CBREGS*__MC_STATUS*", _xlfn.UNIQUE(cha_mc[VisualId]&amp;cha_mc[TestName])))),MC_Check!H2,""), "No CHA Data Found")</f>
        <v>No CHA Data Found</v>
      </c>
      <c r="C3" t="str" cm="1">
        <f t="array" ref="C3">IFERROR(SUBSTITUTE(_xlfn._xlws.FILTER(_xlfn.UNIQUE(core_mc[VisualId]&amp;core_mc[TestName]),ISNUMBER(SEARCH(MC_Check!H2 &amp; "**CR_MC3_STATUS*", _xlfn.UNIQUE(core_mc[VisualId]&amp;core_mc[TestName])))),MC_Check!H2,""), "No CORE Data Found")</f>
        <v>No CORE Data Found</v>
      </c>
      <c r="D3" t="s">
        <v>73</v>
      </c>
      <c r="F3">
        <v>0</v>
      </c>
      <c r="G3">
        <v>0</v>
      </c>
      <c r="H3" s="61">
        <f>IF(MC_Check!$AN$2="PHY",misc[[#This Row],[location]],misc[[#This Row],[Module_log]])</f>
        <v>0</v>
      </c>
      <c r="I3" s="61">
        <f>misc[[#This Row],[Module]]</f>
        <v>0</v>
      </c>
      <c r="J3" s="61">
        <v>0</v>
      </c>
      <c r="K3" s="61">
        <v>0</v>
      </c>
      <c r="L3" s="61">
        <v>0</v>
      </c>
      <c r="M3" s="61" t="str">
        <f>_xlfn.TEXTJOIN("",,misc[[#This Row],[ROW]],misc[[#This Row],[ROW]])</f>
        <v>00</v>
      </c>
      <c r="N3" s="5" t="b">
        <f>misc[[#This Row],[Core_Hitter_Count]]&gt;0</f>
        <v>0</v>
      </c>
      <c r="O3" t="b">
        <f>misc[[#This Row],[LLC_Hitter_Count]]&gt;0</f>
        <v>0</v>
      </c>
      <c r="P3" t="b">
        <f>misc[[#This Row],[CHA_Hitter_Count]]&gt;0</f>
        <v>0</v>
      </c>
      <c r="Q3" t="str">
        <f>_xlfn.TEXTJOIN("",,"*SOCKET0**CBB",misc[[#This Row],[CBB]],"**BASE**I_CCF_ENV",misc[[#This Row],[ENV]],splitchar,"CBREGS_ALL",misc[[#This Row],[CBO]],splitchar,"MC_STATUS*")</f>
        <v>*SOCKET0**CBB0**BASE**I_CCF_ENV0__CBREGS_ALL00__MC_STATUS*</v>
      </c>
      <c r="R3">
        <f>COUNTIFS(cha_mc[TestName],misc[[#This Row],[CBO_MCA_String]],cha_mc[VisualId],MC_Check!$H$2)</f>
        <v>0</v>
      </c>
      <c r="S3" t="str">
        <f>_xlfn.TEXTJOIN("",,"*SOCKET0**CBB",misc[[#This Row],[CBB]],"**COMPUTE",misc[[#This Row],[Compute]],"**MODULE",misc[[#This Row],[Module]],splitchar,"**CORE**IFU*CR*MC0*STATUS**")</f>
        <v>*SOCKET0**CBB0**COMPUTE0**MODULE0__**CORE**IFU*CR*MC0*STATUS**</v>
      </c>
      <c r="T3">
        <f>COUNTIFS(core_mc[TestName],misc[[#This Row],[IFU_MCA_String]],core_mc[VisualId],MC_Check!$H$2)</f>
        <v>0</v>
      </c>
      <c r="U3" t="str">
        <f>_xlfn.TEXTJOIN("",,"*SOCKET0**CBB",misc[[#This Row],[CBB]],"**COMPUTE",misc[[#This Row],[Compute]],"**MODULE",misc[[#This Row],[Module]],splitchar,"**CORE**ROB1*CR*MC*STATUS**")</f>
        <v>*SOCKET0**CBB0**COMPUTE0**MODULE0__**CORE**ROB1*CR*MC*STATUS**</v>
      </c>
      <c r="V3">
        <f>COUNTIFS(core_mc[TestName],misc[[#This Row],[ROB_MCA_String]],core_mc[VisualId],MC_Check!$H$2)</f>
        <v>0</v>
      </c>
      <c r="W3" t="str">
        <f>_xlfn.TEXTJOIN("",,"*SOCKET0**CBB",misc[[#This Row],[CBB]],"**COMPUTE",misc[[#This Row],[Compute]],"**MODULE",misc[[#This Row],[Module]],splitchar,"**CORE**DCU*CR*MC1*STATUS**")</f>
        <v>*SOCKET0**CBB0**COMPUTE0**MODULE0__**CORE**DCU*CR*MC1*STATUS**</v>
      </c>
      <c r="X3">
        <f>COUNTIFS(core_mc[TestName],misc[[#This Row],[DCU_MCA_String]],core_mc[VisualId],MC_Check!$H$2)</f>
        <v>0</v>
      </c>
      <c r="Y3" t="str">
        <f>_xlfn.TEXTJOIN("",,"*SOCKET0**CBB",misc[[#This Row],[CBB]],"**COMPUTE",misc[[#This Row],[Compute]],"**MODULE",misc[[#This Row],[Module]],splitchar,"**CORE**DTLB*CR*MC2*STATUS**")</f>
        <v>*SOCKET0**CBB0**COMPUTE0**MODULE0__**CORE**DTLB*CR*MC2*STATUS**</v>
      </c>
      <c r="Z3">
        <f>COUNTIFS(core_mc[TestName],misc[[#This Row],[CORE_DTLB_String]],core_mc[VisualId],MC_Check!$H$2)</f>
        <v>0</v>
      </c>
      <c r="AA3" t="str">
        <f>_xlfn.TEXTJOIN("",,"*SOCKET0**CBB",misc[[#This Row],[CBB]],"**COMPUTE",misc[[#This Row],[Compute]],"**MODULE",misc[[#This Row],[Module]],splitchar,"**ML2*CR*MC3*STATUS**")</f>
        <v>*SOCKET0**CBB0**COMPUTE0**MODULE0__**ML2*CR*MC3*STATUS**</v>
      </c>
      <c r="AB3">
        <f>COUNTIFS(core_mc[TestName],misc[[#This Row],[Core_ML2_String]],core_mc[VisualId],MC_Check!$H$2)</f>
        <v>0</v>
      </c>
      <c r="AC3" t="str">
        <f>_xlfn.TEXTJOIN("",,"*SOCKET0**CBB",misc[[#This Row],[CBB]],"**COMPUTE",misc[[#This Row],[Compute]],"**MODULE",misc[[#This Row],[Module]],splitchar,"SPARE")</f>
        <v>*SOCKET0**CBB0**COMPUTE0**MODULE0__SPARE</v>
      </c>
      <c r="AD3">
        <f>COUNTIFS(core_mc[TestName],misc[[#This Row],[Core_L2_String - SPARE]],core_mc[VisualId],MC_Check!$H$2)</f>
        <v>0</v>
      </c>
      <c r="AE3">
        <f>misc[[#This Row],[Core_DTLB_Count]]+misc[[#This Row],[Core_DCU_Count]]+misc[[#This Row],[Core_IFU_Count]]+misc[[#This Row],[Core_ROB_Count]]+misc[[#This Row],[Core_L2_Count - SPARE]]+misc[[#This Row],[Core_ML2_Count]]</f>
        <v>0</v>
      </c>
      <c r="AF3" t="str">
        <f>_xlfn.TEXTJOIN(", ",,IF(misc[[#This Row],[Core_IFU_Count]]&gt;0,"IFU",""),IF(misc[[#This Row],[Core_DCU_Count]]&gt;0,"DCU",""),IF(misc[[#This Row],[Core_DTLB_Count]]&gt;0,"DTLB",""),IF(misc[[#This Row],[Core_ROB_Count]]&gt;0,"ROB",""),IF(misc[[#This Row],[Core_ML2_Count]]&gt;0,"ML2",""),IF(misc[[#This Row],[Core_L2_Count - SPARE]]&gt;0,"L2",""))</f>
        <v/>
      </c>
      <c r="AG3" t="str">
        <f>_xlfn.TEXTJOIN("",,"*SOCKET0**CBB",misc[[#This Row],[CBB]],"**BASE**I_CCF**ENV",misc[[#This Row],[ENV]],splitchar,"CBREGS_ALL",misc[[#This Row],[CBO]],splitchar,"SPARE")</f>
        <v>*SOCKET0**CBB0**BASE**I_CCF**ENV0__CBREGS_ALL00__SPARE</v>
      </c>
      <c r="AH3">
        <f>COUNTIFS(cha_mc[TestName],misc[[#This Row],[LLC_MCA_String - Not Used]],cha_mc[VisualId],MC_Check!$H$2)</f>
        <v>0</v>
      </c>
      <c r="AK3" s="36">
        <v>1</v>
      </c>
      <c r="AL3" s="36">
        <v>0</v>
      </c>
      <c r="AM3" s="37" t="str">
        <f>"CH"&amp;memss[[#This Row],[location]]</f>
        <v>CH0</v>
      </c>
      <c r="AN3" s="37" t="b">
        <f>memss[[#This Row],[MEMSS_Hitter_Count]]&gt;0</f>
        <v>0</v>
      </c>
      <c r="AO3" s="37" t="str">
        <f>_xlfn.TEXTJOIN("",,"*SOCKET0**SOC**MEMSS**B2CMI",memss[[#This Row],[location]],splitchar,"MCI*STATUS*SHADOW*")</f>
        <v>*SOCKET0**SOC**MEMSS**B2CMI0__MCI*STATUS*SHADOW*</v>
      </c>
      <c r="AP3" s="37">
        <f>COUNTIFS(cha_mc[TestName],memss[[#This Row],[MEMMS_MCA_String]],cha_mc[VisualId],MC_Check!$H$2)</f>
        <v>0</v>
      </c>
      <c r="AT3" t="s">
        <v>61</v>
      </c>
      <c r="AU3" t="str">
        <f>"*SOCKET0**IO0**TAPS**IOW*GLBW*IS3M*IBL*TOP110"&amp;splitchar&amp;"TAP*S3M*ERR*STS*"</f>
        <v>*SOCKET0**IO0**TAPS**IOW*GLBW*IS3M*IBL*TOP110__TAP*S3M*ERR*STS*</v>
      </c>
      <c r="AV3">
        <f>COUNTIFS(cha_mc[TestName],s3errors[[#This Row],[MCA_String]],cha_mc[VisualId],MC_Check!$H$2)</f>
        <v>0</v>
      </c>
      <c r="AX3" t="s">
        <v>61</v>
      </c>
      <c r="AY3" t="str">
        <f>"*SOCKET0**IO0**UNCORE**PUNIT**PTPCFSMS**PTPCFSMS"&amp;splitchar&amp;"MC*STATUS*"</f>
        <v>*SOCKET0**IO0**UNCORE**PUNIT**PTPCFSMS**PTPCFSMS__MC*STATUS*</v>
      </c>
      <c r="AZ3">
        <f>COUNTIFS(cha_mc[TestName],punitmcas[[#This Row],[MCA_String]],cha_mc[VisualId],MC_Check!$H$2)</f>
        <v>0</v>
      </c>
    </row>
    <row r="4" spans="1:52" x14ac:dyDescent="0.3">
      <c r="D4" t="s">
        <v>75</v>
      </c>
      <c r="F4">
        <v>0</v>
      </c>
      <c r="G4">
        <v>1</v>
      </c>
      <c r="H4" s="61">
        <f>IF(MC_Check!$AN$2="PHY",misc[[#This Row],[location]],misc[[#This Row],[Module_log]])</f>
        <v>1</v>
      </c>
      <c r="I4" s="61">
        <f>misc[[#This Row],[Module]]</f>
        <v>1</v>
      </c>
      <c r="J4" s="61">
        <v>0</v>
      </c>
      <c r="K4" s="61">
        <v>0</v>
      </c>
      <c r="L4" s="61">
        <v>1</v>
      </c>
      <c r="M4" s="61" t="str">
        <f>_xlfn.TEXTJOIN("",,misc[[#This Row],[ROW]],misc[[#This Row],[ROW]])</f>
        <v>00</v>
      </c>
      <c r="N4" s="5" t="b">
        <f>misc[[#This Row],[Core_Hitter_Count]]&gt;0</f>
        <v>0</v>
      </c>
      <c r="O4" t="b">
        <f>misc[[#This Row],[LLC_Hitter_Count]]&gt;0</f>
        <v>0</v>
      </c>
      <c r="P4" t="b">
        <f>misc[[#This Row],[CHA_Hitter_Count]]&gt;0</f>
        <v>0</v>
      </c>
      <c r="Q4" t="str">
        <f>_xlfn.TEXTJOIN("",,"*SOCKET0**CBB",misc[[#This Row],[CBB]],"**BASE**I_CCF_ENV",misc[[#This Row],[ENV]],splitchar,"CBREGS_ALL",misc[[#This Row],[CBO]],splitchar,"MC_STATUS*")</f>
        <v>*SOCKET0**CBB0**BASE**I_CCF_ENV1__CBREGS_ALL00__MC_STATUS*</v>
      </c>
      <c r="R4">
        <f>COUNTIFS(cha_mc[TestName],misc[[#This Row],[CBO_MCA_String]],cha_mc[VisualId],MC_Check!$H$2)</f>
        <v>0</v>
      </c>
      <c r="S4" t="str">
        <f>_xlfn.TEXTJOIN("",,"*SOCKET0**CBB",misc[[#This Row],[CBB]],"**COMPUTE",misc[[#This Row],[Compute]],"**MODULE",misc[[#This Row],[Module]],splitchar,"**CORE**IFU*CR*MC0*STATUS**")</f>
        <v>*SOCKET0**CBB0**COMPUTE0**MODULE1__**CORE**IFU*CR*MC0*STATUS**</v>
      </c>
      <c r="T4">
        <f>COUNTIFS(core_mc[TestName],misc[[#This Row],[IFU_MCA_String]],core_mc[VisualId],MC_Check!$H$2)</f>
        <v>0</v>
      </c>
      <c r="U4" t="str">
        <f>_xlfn.TEXTJOIN("",,"*SOCKET0**CBB",misc[[#This Row],[CBB]],"**COMPUTE",misc[[#This Row],[Compute]],"**MODULE",misc[[#This Row],[Module]],splitchar,"**CORE**ROB1*CR*MC*STATUS**")</f>
        <v>*SOCKET0**CBB0**COMPUTE0**MODULE1__**CORE**ROB1*CR*MC*STATUS**</v>
      </c>
      <c r="V4">
        <f>COUNTIFS(core_mc[TestName],misc[[#This Row],[ROB_MCA_String]],core_mc[VisualId],MC_Check!$H$2)</f>
        <v>0</v>
      </c>
      <c r="W4" t="str">
        <f>_xlfn.TEXTJOIN("",,"*SOCKET0**CBB",misc[[#This Row],[CBB]],"**COMPUTE",misc[[#This Row],[Compute]],"**MODULE",misc[[#This Row],[Module]],splitchar,"**CORE**DCU*CR*MC1*STATUS**")</f>
        <v>*SOCKET0**CBB0**COMPUTE0**MODULE1__**CORE**DCU*CR*MC1*STATUS**</v>
      </c>
      <c r="X4">
        <f>COUNTIFS(core_mc[TestName],misc[[#This Row],[DCU_MCA_String]],core_mc[VisualId],MC_Check!$H$2)</f>
        <v>0</v>
      </c>
      <c r="Y4" t="str">
        <f>_xlfn.TEXTJOIN("",,"*SOCKET0**CBB",misc[[#This Row],[CBB]],"**COMPUTE",misc[[#This Row],[Compute]],"**MODULE",misc[[#This Row],[Module]],splitchar,"**CORE**DTLB*CR*MC2*STATUS**")</f>
        <v>*SOCKET0**CBB0**COMPUTE0**MODULE1__**CORE**DTLB*CR*MC2*STATUS**</v>
      </c>
      <c r="Z4">
        <f>COUNTIFS(core_mc[TestName],misc[[#This Row],[CORE_DTLB_String]],core_mc[VisualId],MC_Check!$H$2)</f>
        <v>0</v>
      </c>
      <c r="AA4" t="str">
        <f>_xlfn.TEXTJOIN("",,"*SOCKET0**CBB",misc[[#This Row],[CBB]],"**COMPUTE",misc[[#This Row],[Compute]],"**MODULE",misc[[#This Row],[Module]],splitchar,"**ML2*CR*MC3*STATUS**")</f>
        <v>*SOCKET0**CBB0**COMPUTE0**MODULE1__**ML2*CR*MC3*STATUS**</v>
      </c>
      <c r="AB4">
        <f>COUNTIFS(core_mc[TestName],misc[[#This Row],[Core_ML2_String]],core_mc[VisualId],MC_Check!$H$2)</f>
        <v>0</v>
      </c>
      <c r="AC4" t="str">
        <f>_xlfn.TEXTJOIN("",,"*SOCKET0**CBB",misc[[#This Row],[CBB]],"**COMPUTE",misc[[#This Row],[Compute]],"**MODULE",misc[[#This Row],[Module]],splitchar,"SPARE")</f>
        <v>*SOCKET0**CBB0**COMPUTE0**MODULE1__SPARE</v>
      </c>
      <c r="AD4">
        <f>COUNTIFS(core_mc[TestName],misc[[#This Row],[Core_L2_String - SPARE]],core_mc[VisualId],MC_Check!$H$2)</f>
        <v>0</v>
      </c>
      <c r="AE4">
        <f>misc[[#This Row],[Core_DTLB_Count]]+misc[[#This Row],[Core_DCU_Count]]+misc[[#This Row],[Core_IFU_Count]]+misc[[#This Row],[Core_ROB_Count]]+misc[[#This Row],[Core_L2_Count - SPARE]]+misc[[#This Row],[Core_ML2_Count]]</f>
        <v>0</v>
      </c>
      <c r="AF4" t="str">
        <f>_xlfn.TEXTJOIN(", ",,IF(misc[[#This Row],[Core_IFU_Count]]&gt;0,"IFU",""),IF(misc[[#This Row],[Core_DCU_Count]]&gt;0,"DCU",""),IF(misc[[#This Row],[Core_DTLB_Count]]&gt;0,"DTLB",""),IF(misc[[#This Row],[Core_ROB_Count]]&gt;0,"ROB",""),IF(misc[[#This Row],[Core_ML2_Count]]&gt;0,"ML2",""),IF(misc[[#This Row],[Core_L2_Count - SPARE]]&gt;0,"L2",""))</f>
        <v/>
      </c>
      <c r="AG4" t="str">
        <f>_xlfn.TEXTJOIN("",,"*SOCKET0**CBB",misc[[#This Row],[CBB]],"**BASE**I_CCF**ENV",misc[[#This Row],[ENV]],splitchar,"CBREGS_ALL",misc[[#This Row],[CBO]],splitchar,"SPARE")</f>
        <v>*SOCKET0**CBB0**BASE**I_CCF**ENV1__CBREGS_ALL00__SPARE</v>
      </c>
      <c r="AH4">
        <f>COUNTIFS(cha_mc[TestName],misc[[#This Row],[LLC_MCA_String - Not Used]],cha_mc[VisualId],MC_Check!$H$2)</f>
        <v>0</v>
      </c>
      <c r="AK4" s="36">
        <v>1</v>
      </c>
      <c r="AL4" s="36">
        <v>1</v>
      </c>
      <c r="AM4" s="37" t="str">
        <f>"CH"&amp;memss[[#This Row],[location]]</f>
        <v>CH1</v>
      </c>
      <c r="AN4" s="37" t="b">
        <f>memss[[#This Row],[MEMSS_Hitter_Count]]&gt;0</f>
        <v>0</v>
      </c>
      <c r="AO4" s="37" t="str">
        <f>_xlfn.TEXTJOIN("",,"*SOCKET0**SOC**MEMSS**B2CMI",memss[[#This Row],[location]],splitchar,"MCI*STATUS*SHADOW*")</f>
        <v>*SOCKET0**SOC**MEMSS**B2CMI1__MCI*STATUS*SHADOW*</v>
      </c>
      <c r="AP4" s="37">
        <f>COUNTIFS(cha_mc[TestName],memss[[#This Row],[MEMMS_MCA_String]],cha_mc[VisualId],MC_Check!$H$2)</f>
        <v>0</v>
      </c>
      <c r="AT4" t="s">
        <v>62</v>
      </c>
      <c r="AU4" t="str">
        <f>"*SOCKET0**IO1**TAPS**IOW*GLBW*IS3M*IBL*TOP110"&amp;splitchar&amp;"TAP*S3M*ERR*STS**"</f>
        <v>*SOCKET0**IO1**TAPS**IOW*GLBW*IS3M*IBL*TOP110__TAP*S3M*ERR*STS**</v>
      </c>
      <c r="AV4">
        <f>COUNTIFS(cha_mc[TestName],s3errors[[#This Row],[MCA_String]],cha_mc[VisualId],MC_Check!$H$2)</f>
        <v>0</v>
      </c>
      <c r="AX4" t="s">
        <v>62</v>
      </c>
      <c r="AY4" t="str">
        <f>"*SOCKET0**IO1**UNCORE**PUNIT**PTPCFSMS**PTPCFSMS"&amp;splitchar&amp;"MC*STATUS*"</f>
        <v>*SOCKET0**IO1**UNCORE**PUNIT**PTPCFSMS**PTPCFSMS__MC*STATUS*</v>
      </c>
      <c r="AZ4">
        <f>COUNTIFS(cha_mc[TestName],punitmcas[[#This Row],[MCA_String]],cha_mc[VisualId],MC_Check!$H$2)</f>
        <v>0</v>
      </c>
    </row>
    <row r="5" spans="1:52" x14ac:dyDescent="0.3">
      <c r="F5">
        <v>0</v>
      </c>
      <c r="G5">
        <v>2</v>
      </c>
      <c r="H5" s="61">
        <f>IF(MC_Check!$AN$2="PHY",misc[[#This Row],[location]],misc[[#This Row],[Module_log]])</f>
        <v>2</v>
      </c>
      <c r="I5" s="61">
        <f>misc[[#This Row],[Module]]</f>
        <v>2</v>
      </c>
      <c r="J5" s="61">
        <v>0</v>
      </c>
      <c r="K5" s="61">
        <v>0</v>
      </c>
      <c r="L5" s="61">
        <v>2</v>
      </c>
      <c r="M5" s="61" t="str">
        <f>_xlfn.TEXTJOIN("",,misc[[#This Row],[ROW]],misc[[#This Row],[ROW]])</f>
        <v>00</v>
      </c>
      <c r="N5" s="5" t="b">
        <f>misc[[#This Row],[Core_Hitter_Count]]&gt;0</f>
        <v>0</v>
      </c>
      <c r="O5" t="b">
        <f>misc[[#This Row],[LLC_Hitter_Count]]&gt;0</f>
        <v>0</v>
      </c>
      <c r="P5" t="b">
        <f>misc[[#This Row],[CHA_Hitter_Count]]&gt;0</f>
        <v>0</v>
      </c>
      <c r="Q5" t="str">
        <f>_xlfn.TEXTJOIN("",,"*SOCKET0**CBB",misc[[#This Row],[CBB]],"**BASE**I_CCF_ENV",misc[[#This Row],[ENV]],splitchar,"CBREGS_ALL",misc[[#This Row],[CBO]],splitchar,"MC_STATUS*")</f>
        <v>*SOCKET0**CBB0**BASE**I_CCF_ENV2__CBREGS_ALL00__MC_STATUS*</v>
      </c>
      <c r="R5">
        <f>COUNTIFS(cha_mc[TestName],misc[[#This Row],[CBO_MCA_String]],cha_mc[VisualId],MC_Check!$H$2)</f>
        <v>0</v>
      </c>
      <c r="S5" t="str">
        <f>_xlfn.TEXTJOIN("",,"*SOCKET0**CBB",misc[[#This Row],[CBB]],"**COMPUTE",misc[[#This Row],[Compute]],"**MODULE",misc[[#This Row],[Module]],splitchar,"**CORE**IFU*CR*MC0*STATUS**")</f>
        <v>*SOCKET0**CBB0**COMPUTE0**MODULE2__**CORE**IFU*CR*MC0*STATUS**</v>
      </c>
      <c r="T5">
        <f>COUNTIFS(core_mc[TestName],misc[[#This Row],[IFU_MCA_String]],core_mc[VisualId],MC_Check!$H$2)</f>
        <v>0</v>
      </c>
      <c r="U5" t="str">
        <f>_xlfn.TEXTJOIN("",,"*SOCKET0**CBB",misc[[#This Row],[CBB]],"**COMPUTE",misc[[#This Row],[Compute]],"**MODULE",misc[[#This Row],[Module]],splitchar,"**CORE**ROB1*CR*MC*STATUS**")</f>
        <v>*SOCKET0**CBB0**COMPUTE0**MODULE2__**CORE**ROB1*CR*MC*STATUS**</v>
      </c>
      <c r="V5">
        <f>COUNTIFS(core_mc[TestName],misc[[#This Row],[ROB_MCA_String]],core_mc[VisualId],MC_Check!$H$2)</f>
        <v>0</v>
      </c>
      <c r="W5" t="str">
        <f>_xlfn.TEXTJOIN("",,"*SOCKET0**CBB",misc[[#This Row],[CBB]],"**COMPUTE",misc[[#This Row],[Compute]],"**MODULE",misc[[#This Row],[Module]],splitchar,"**CORE**DCU*CR*MC1*STATUS**")</f>
        <v>*SOCKET0**CBB0**COMPUTE0**MODULE2__**CORE**DCU*CR*MC1*STATUS**</v>
      </c>
      <c r="X5">
        <f>COUNTIFS(core_mc[TestName],misc[[#This Row],[DCU_MCA_String]],core_mc[VisualId],MC_Check!$H$2)</f>
        <v>0</v>
      </c>
      <c r="Y5" t="str">
        <f>_xlfn.TEXTJOIN("",,"*SOCKET0**CBB",misc[[#This Row],[CBB]],"**COMPUTE",misc[[#This Row],[Compute]],"**MODULE",misc[[#This Row],[Module]],splitchar,"**CORE**DTLB*CR*MC2*STATUS**")</f>
        <v>*SOCKET0**CBB0**COMPUTE0**MODULE2__**CORE**DTLB*CR*MC2*STATUS**</v>
      </c>
      <c r="Z5">
        <f>COUNTIFS(core_mc[TestName],misc[[#This Row],[CORE_DTLB_String]],core_mc[VisualId],MC_Check!$H$2)</f>
        <v>0</v>
      </c>
      <c r="AA5" t="str">
        <f>_xlfn.TEXTJOIN("",,"*SOCKET0**CBB",misc[[#This Row],[CBB]],"**COMPUTE",misc[[#This Row],[Compute]],"**MODULE",misc[[#This Row],[Module]],splitchar,"**ML2*CR*MC3*STATUS**")</f>
        <v>*SOCKET0**CBB0**COMPUTE0**MODULE2__**ML2*CR*MC3*STATUS**</v>
      </c>
      <c r="AB5">
        <f>COUNTIFS(core_mc[TestName],misc[[#This Row],[Core_ML2_String]],core_mc[VisualId],MC_Check!$H$2)</f>
        <v>0</v>
      </c>
      <c r="AC5" t="str">
        <f>_xlfn.TEXTJOIN("",,"*SOCKET0**CBB",misc[[#This Row],[CBB]],"**COMPUTE",misc[[#This Row],[Compute]],"**MODULE",misc[[#This Row],[Module]],splitchar,"SPARE")</f>
        <v>*SOCKET0**CBB0**COMPUTE0**MODULE2__SPARE</v>
      </c>
      <c r="AD5">
        <f>COUNTIFS(core_mc[TestName],misc[[#This Row],[Core_L2_String - SPARE]],core_mc[VisualId],MC_Check!$H$2)</f>
        <v>0</v>
      </c>
      <c r="AE5">
        <f>misc[[#This Row],[Core_DTLB_Count]]+misc[[#This Row],[Core_DCU_Count]]+misc[[#This Row],[Core_IFU_Count]]+misc[[#This Row],[Core_ROB_Count]]+misc[[#This Row],[Core_L2_Count - SPARE]]+misc[[#This Row],[Core_ML2_Count]]</f>
        <v>0</v>
      </c>
      <c r="AF5" t="str">
        <f>_xlfn.TEXTJOIN(", ",,IF(misc[[#This Row],[Core_IFU_Count]]&gt;0,"IFU",""),IF(misc[[#This Row],[Core_DCU_Count]]&gt;0,"DCU",""),IF(misc[[#This Row],[Core_DTLB_Count]]&gt;0,"DTLB",""),IF(misc[[#This Row],[Core_ROB_Count]]&gt;0,"ROB",""),IF(misc[[#This Row],[Core_ML2_Count]]&gt;0,"ML2",""),IF(misc[[#This Row],[Core_L2_Count - SPARE]]&gt;0,"L2",""))</f>
        <v/>
      </c>
      <c r="AG5" t="str">
        <f>_xlfn.TEXTJOIN("",,"*SOCKET0**CBB",misc[[#This Row],[CBB]],"**BASE**I_CCF**ENV",misc[[#This Row],[ENV]],splitchar,"CBREGS_ALL",misc[[#This Row],[CBO]],splitchar,"SPARE")</f>
        <v>*SOCKET0**CBB0**BASE**I_CCF**ENV2__CBREGS_ALL00__SPARE</v>
      </c>
      <c r="AH5">
        <f>COUNTIFS(cha_mc[TestName],misc[[#This Row],[LLC_MCA_String - Not Used]],cha_mc[VisualId],MC_Check!$H$2)</f>
        <v>0</v>
      </c>
      <c r="AK5" s="36">
        <v>0</v>
      </c>
      <c r="AL5" s="36">
        <v>2</v>
      </c>
      <c r="AM5" s="37" t="str">
        <f>"CH"&amp;memss[[#This Row],[location]]</f>
        <v>CH2</v>
      </c>
      <c r="AN5" s="37" t="b">
        <f>memss[[#This Row],[MEMSS_Hitter_Count]]&gt;0</f>
        <v>0</v>
      </c>
      <c r="AO5" s="37" t="str">
        <f>_xlfn.TEXTJOIN("",,"*SOCKET0**SOC**MEMSS**B2CMI",memss[[#This Row],[location]],splitchar,"MCI*STATUS*SHADOW*")</f>
        <v>*SOCKET0**SOC**MEMSS**B2CMI2__MCI*STATUS*SHADOW*</v>
      </c>
      <c r="AP5" s="37">
        <f>COUNTIFS(cha_mc[TestName],memss[[#This Row],[MEMMS_MCA_String]],cha_mc[VisualId],MC_Check!$H$2)</f>
        <v>0</v>
      </c>
      <c r="AT5" t="s">
        <v>63</v>
      </c>
      <c r="AU5" t="str">
        <f>"*SOCKET0**COMPUTE0**TAPS**IOW*GLBW*IS3M*IBL*TOP110"&amp;splitchar&amp;"TAP*S3M*ERR*STS**"</f>
        <v>*SOCKET0**COMPUTE0**TAPS**IOW*GLBW*IS3M*IBL*TOP110__TAP*S3M*ERR*STS**</v>
      </c>
      <c r="AV5">
        <f>COUNTIFS(cha_mc[TestName],s3errors[[#This Row],[MCA_String]],cha_mc[VisualId],MC_Check!$H$2)</f>
        <v>0</v>
      </c>
      <c r="AX5" t="s">
        <v>63</v>
      </c>
      <c r="AY5" t="str">
        <f>"*SOCKET0**COMPUTE0**UNCORE**PUNIT**PTPCFSMS**PTPCFSMS"&amp;splitchar&amp;"MC*STATUS*"</f>
        <v>*SOCKET0**COMPUTE0**UNCORE**PUNIT**PTPCFSMS**PTPCFSMS__MC*STATUS*</v>
      </c>
      <c r="AZ5">
        <f>COUNTIFS(cha_mc[TestName],punitmcas[[#This Row],[MCA_String]],cha_mc[VisualId],MC_Check!$H$2)</f>
        <v>0</v>
      </c>
    </row>
    <row r="6" spans="1:52" x14ac:dyDescent="0.3">
      <c r="F6">
        <v>0</v>
      </c>
      <c r="G6">
        <v>3</v>
      </c>
      <c r="H6" s="61">
        <f>IF(MC_Check!$AN$2="PHY",misc[[#This Row],[location]],misc[[#This Row],[Module_log]])</f>
        <v>3</v>
      </c>
      <c r="I6" s="61">
        <f>misc[[#This Row],[Module]]</f>
        <v>3</v>
      </c>
      <c r="J6" s="61">
        <v>0</v>
      </c>
      <c r="K6" s="61">
        <v>0</v>
      </c>
      <c r="L6" s="61">
        <v>3</v>
      </c>
      <c r="M6" s="61" t="str">
        <f>_xlfn.TEXTJOIN("",,misc[[#This Row],[ROW]],misc[[#This Row],[ROW]])</f>
        <v>00</v>
      </c>
      <c r="N6" s="5" t="b">
        <f>misc[[#This Row],[Core_Hitter_Count]]&gt;0</f>
        <v>0</v>
      </c>
      <c r="O6" t="b">
        <f>misc[[#This Row],[LLC_Hitter_Count]]&gt;0</f>
        <v>0</v>
      </c>
      <c r="P6" t="b">
        <f>misc[[#This Row],[CHA_Hitter_Count]]&gt;0</f>
        <v>0</v>
      </c>
      <c r="Q6" t="str">
        <f>_xlfn.TEXTJOIN("",,"*SOCKET0**CBB",misc[[#This Row],[CBB]],"**BASE**I_CCF_ENV",misc[[#This Row],[ENV]],splitchar,"CBREGS_ALL",misc[[#This Row],[CBO]],splitchar,"MC_STATUS*")</f>
        <v>*SOCKET0**CBB0**BASE**I_CCF_ENV3__CBREGS_ALL00__MC_STATUS*</v>
      </c>
      <c r="R6">
        <f>COUNTIFS(cha_mc[TestName],misc[[#This Row],[CBO_MCA_String]],cha_mc[VisualId],MC_Check!$H$2)</f>
        <v>0</v>
      </c>
      <c r="S6" t="str">
        <f>_xlfn.TEXTJOIN("",,"*SOCKET0**CBB",misc[[#This Row],[CBB]],"**COMPUTE",misc[[#This Row],[Compute]],"**MODULE",misc[[#This Row],[Module]],splitchar,"**CORE**IFU*CR*MC0*STATUS**")</f>
        <v>*SOCKET0**CBB0**COMPUTE0**MODULE3__**CORE**IFU*CR*MC0*STATUS**</v>
      </c>
      <c r="T6">
        <f>COUNTIFS(core_mc[TestName],misc[[#This Row],[IFU_MCA_String]],core_mc[VisualId],MC_Check!$H$2)</f>
        <v>0</v>
      </c>
      <c r="U6" t="str">
        <f>_xlfn.TEXTJOIN("",,"*SOCKET0**CBB",misc[[#This Row],[CBB]],"**COMPUTE",misc[[#This Row],[Compute]],"**MODULE",misc[[#This Row],[Module]],splitchar,"**CORE**ROB1*CR*MC*STATUS**")</f>
        <v>*SOCKET0**CBB0**COMPUTE0**MODULE3__**CORE**ROB1*CR*MC*STATUS**</v>
      </c>
      <c r="V6">
        <f>COUNTIFS(core_mc[TestName],misc[[#This Row],[ROB_MCA_String]],core_mc[VisualId],MC_Check!$H$2)</f>
        <v>0</v>
      </c>
      <c r="W6" t="str">
        <f>_xlfn.TEXTJOIN("",,"*SOCKET0**CBB",misc[[#This Row],[CBB]],"**COMPUTE",misc[[#This Row],[Compute]],"**MODULE",misc[[#This Row],[Module]],splitchar,"**CORE**DCU*CR*MC1*STATUS**")</f>
        <v>*SOCKET0**CBB0**COMPUTE0**MODULE3__**CORE**DCU*CR*MC1*STATUS**</v>
      </c>
      <c r="X6">
        <f>COUNTIFS(core_mc[TestName],misc[[#This Row],[DCU_MCA_String]],core_mc[VisualId],MC_Check!$H$2)</f>
        <v>0</v>
      </c>
      <c r="Y6" t="str">
        <f>_xlfn.TEXTJOIN("",,"*SOCKET0**CBB",misc[[#This Row],[CBB]],"**COMPUTE",misc[[#This Row],[Compute]],"**MODULE",misc[[#This Row],[Module]],splitchar,"**CORE**DTLB*CR*MC2*STATUS**")</f>
        <v>*SOCKET0**CBB0**COMPUTE0**MODULE3__**CORE**DTLB*CR*MC2*STATUS**</v>
      </c>
      <c r="Z6">
        <f>COUNTIFS(core_mc[TestName],misc[[#This Row],[CORE_DTLB_String]],core_mc[VisualId],MC_Check!$H$2)</f>
        <v>0</v>
      </c>
      <c r="AA6" t="str">
        <f>_xlfn.TEXTJOIN("",,"*SOCKET0**CBB",misc[[#This Row],[CBB]],"**COMPUTE",misc[[#This Row],[Compute]],"**MODULE",misc[[#This Row],[Module]],splitchar,"**ML2*CR*MC3*STATUS**")</f>
        <v>*SOCKET0**CBB0**COMPUTE0**MODULE3__**ML2*CR*MC3*STATUS**</v>
      </c>
      <c r="AB6">
        <f>COUNTIFS(core_mc[TestName],misc[[#This Row],[Core_ML2_String]],core_mc[VisualId],MC_Check!$H$2)</f>
        <v>0</v>
      </c>
      <c r="AC6" t="str">
        <f>_xlfn.TEXTJOIN("",,"*SOCKET0**CBB",misc[[#This Row],[CBB]],"**COMPUTE",misc[[#This Row],[Compute]],"**MODULE",misc[[#This Row],[Module]],splitchar,"SPARE")</f>
        <v>*SOCKET0**CBB0**COMPUTE0**MODULE3__SPARE</v>
      </c>
      <c r="AD6">
        <f>COUNTIFS(core_mc[TestName],misc[[#This Row],[Core_L2_String - SPARE]],core_mc[VisualId],MC_Check!$H$2)</f>
        <v>0</v>
      </c>
      <c r="AE6">
        <f>misc[[#This Row],[Core_DTLB_Count]]+misc[[#This Row],[Core_DCU_Count]]+misc[[#This Row],[Core_IFU_Count]]+misc[[#This Row],[Core_ROB_Count]]+misc[[#This Row],[Core_L2_Count - SPARE]]+misc[[#This Row],[Core_ML2_Count]]</f>
        <v>0</v>
      </c>
      <c r="AF6" t="str">
        <f>_xlfn.TEXTJOIN(", ",,IF(misc[[#This Row],[Core_IFU_Count]]&gt;0,"IFU",""),IF(misc[[#This Row],[Core_DCU_Count]]&gt;0,"DCU",""),IF(misc[[#This Row],[Core_DTLB_Count]]&gt;0,"DTLB",""),IF(misc[[#This Row],[Core_ROB_Count]]&gt;0,"ROB",""),IF(misc[[#This Row],[Core_ML2_Count]]&gt;0,"ML2",""),IF(misc[[#This Row],[Core_L2_Count - SPARE]]&gt;0,"L2",""))</f>
        <v/>
      </c>
      <c r="AG6" t="str">
        <f>_xlfn.TEXTJOIN("",,"*SOCKET0**CBB",misc[[#This Row],[CBB]],"**BASE**I_CCF**ENV",misc[[#This Row],[ENV]],splitchar,"CBREGS_ALL",misc[[#This Row],[CBO]],splitchar,"SPARE")</f>
        <v>*SOCKET0**CBB0**BASE**I_CCF**ENV3__CBREGS_ALL00__SPARE</v>
      </c>
      <c r="AH6">
        <f>COUNTIFS(cha_mc[TestName],misc[[#This Row],[LLC_MCA_String - Not Used]],cha_mc[VisualId],MC_Check!$H$2)</f>
        <v>0</v>
      </c>
      <c r="AK6" s="36">
        <v>0</v>
      </c>
      <c r="AL6" s="36">
        <v>3</v>
      </c>
      <c r="AM6" s="37" t="str">
        <f>"CH"&amp;memss[[#This Row],[location]]</f>
        <v>CH3</v>
      </c>
      <c r="AN6" s="37" t="b">
        <f>memss[[#This Row],[MEMSS_Hitter_Count]]&gt;0</f>
        <v>0</v>
      </c>
      <c r="AO6" s="37" t="str">
        <f>_xlfn.TEXTJOIN("",,"*SOCKET0**SOC**MEMSS**B2CMI",memss[[#This Row],[location]],splitchar,"MCI*STATUS*SHADOW*")</f>
        <v>*SOCKET0**SOC**MEMSS**B2CMI3__MCI*STATUS*SHADOW*</v>
      </c>
      <c r="AP6" s="37">
        <f>COUNTIFS(cha_mc[TestName],memss[[#This Row],[MEMMS_MCA_String]],cha_mc[VisualId],MC_Check!$H$2)</f>
        <v>0</v>
      </c>
      <c r="AT6" t="s">
        <v>64</v>
      </c>
      <c r="AU6" t="str">
        <f>"*SOCKET0**COMPUTE1**TAPS**IOW*GLBW*IS3M*IBL*TOP110"&amp;splitchar&amp;"TAP*S3M*ERR*STS**"</f>
        <v>*SOCKET0**COMPUTE1**TAPS**IOW*GLBW*IS3M*IBL*TOP110__TAP*S3M*ERR*STS**</v>
      </c>
      <c r="AV6">
        <f>COUNTIFS(cha_mc[TestName],s3errors[[#This Row],[MCA_String]],cha_mc[VisualId],MC_Check!$H$2)</f>
        <v>0</v>
      </c>
      <c r="AX6" t="s">
        <v>64</v>
      </c>
      <c r="AY6" t="str">
        <f>"*SOCKET0**COMPUTE0**UNCORE**PUNIT**PTPCFSMS**PTPCFSMS"&amp;splitchar&amp;"MC*STATUS*"</f>
        <v>*SOCKET0**COMPUTE0**UNCORE**PUNIT**PTPCFSMS**PTPCFSMS__MC*STATUS*</v>
      </c>
      <c r="AZ6">
        <f>COUNTIFS(cha_mc[TestName],punitmcas[[#This Row],[MCA_String]],cha_mc[VisualId],MC_Check!$H$2)</f>
        <v>0</v>
      </c>
    </row>
    <row r="7" spans="1:52" x14ac:dyDescent="0.3">
      <c r="D7" t="s">
        <v>77</v>
      </c>
      <c r="F7">
        <v>0</v>
      </c>
      <c r="G7">
        <v>4</v>
      </c>
      <c r="H7" s="61">
        <f>IF(MC_Check!$AN$2="PHY",misc[[#This Row],[location]],misc[[#This Row],[Module_log]])</f>
        <v>4</v>
      </c>
      <c r="I7" s="61">
        <f>misc[[#This Row],[Module]]</f>
        <v>4</v>
      </c>
      <c r="J7" s="61">
        <v>0</v>
      </c>
      <c r="K7" s="61">
        <f>K3+1</f>
        <v>1</v>
      </c>
      <c r="L7" s="61">
        <v>0</v>
      </c>
      <c r="M7" s="61" t="str">
        <f>_xlfn.TEXTJOIN("",,misc[[#This Row],[ROW]],misc[[#This Row],[ROW]])</f>
        <v>11</v>
      </c>
      <c r="N7" s="5" t="b">
        <f>misc[[#This Row],[Core_Hitter_Count]]&gt;0</f>
        <v>0</v>
      </c>
      <c r="O7" t="b">
        <f>misc[[#This Row],[LLC_Hitter_Count]]&gt;0</f>
        <v>0</v>
      </c>
      <c r="P7" t="b">
        <f>misc[[#This Row],[CHA_Hitter_Count]]&gt;0</f>
        <v>0</v>
      </c>
      <c r="Q7" t="str">
        <f>_xlfn.TEXTJOIN("",,"*SOCKET0**CBB",misc[[#This Row],[CBB]],"**BASE**I_CCF_ENV",misc[[#This Row],[ENV]],splitchar,"CBREGS_ALL",misc[[#This Row],[CBO]],splitchar,"MC_STATUS*")</f>
        <v>*SOCKET0**CBB0**BASE**I_CCF_ENV0__CBREGS_ALL11__MC_STATUS*</v>
      </c>
      <c r="R7">
        <f>COUNTIFS(cha_mc[TestName],misc[[#This Row],[CBO_MCA_String]],cha_mc[VisualId],MC_Check!$H$2)</f>
        <v>0</v>
      </c>
      <c r="S7" t="str">
        <f>_xlfn.TEXTJOIN("",,"*SOCKET0**CBB",misc[[#This Row],[CBB]],"**COMPUTE",misc[[#This Row],[Compute]],"**MODULE",misc[[#This Row],[Module]],splitchar,"**CORE**IFU*CR*MC0*STATUS**")</f>
        <v>*SOCKET0**CBB0**COMPUTE0**MODULE4__**CORE**IFU*CR*MC0*STATUS**</v>
      </c>
      <c r="T7">
        <f>COUNTIFS(core_mc[TestName],misc[[#This Row],[IFU_MCA_String]],core_mc[VisualId],MC_Check!$H$2)</f>
        <v>0</v>
      </c>
      <c r="U7" t="str">
        <f>_xlfn.TEXTJOIN("",,"*SOCKET0**CBB",misc[[#This Row],[CBB]],"**COMPUTE",misc[[#This Row],[Compute]],"**MODULE",misc[[#This Row],[Module]],splitchar,"**CORE**ROB1*CR*MC*STATUS**")</f>
        <v>*SOCKET0**CBB0**COMPUTE0**MODULE4__**CORE**ROB1*CR*MC*STATUS**</v>
      </c>
      <c r="V7">
        <f>COUNTIFS(core_mc[TestName],misc[[#This Row],[ROB_MCA_String]],core_mc[VisualId],MC_Check!$H$2)</f>
        <v>0</v>
      </c>
      <c r="W7" t="str">
        <f>_xlfn.TEXTJOIN("",,"*SOCKET0**CBB",misc[[#This Row],[CBB]],"**COMPUTE",misc[[#This Row],[Compute]],"**MODULE",misc[[#This Row],[Module]],splitchar,"**CORE**DCU*CR*MC1*STATUS**")</f>
        <v>*SOCKET0**CBB0**COMPUTE0**MODULE4__**CORE**DCU*CR*MC1*STATUS**</v>
      </c>
      <c r="X7">
        <f>COUNTIFS(core_mc[TestName],misc[[#This Row],[DCU_MCA_String]],core_mc[VisualId],MC_Check!$H$2)</f>
        <v>0</v>
      </c>
      <c r="Y7" t="str">
        <f>_xlfn.TEXTJOIN("",,"*SOCKET0**CBB",misc[[#This Row],[CBB]],"**COMPUTE",misc[[#This Row],[Compute]],"**MODULE",misc[[#This Row],[Module]],splitchar,"**CORE**DTLB*CR*MC2*STATUS**")</f>
        <v>*SOCKET0**CBB0**COMPUTE0**MODULE4__**CORE**DTLB*CR*MC2*STATUS**</v>
      </c>
      <c r="Z7">
        <f>COUNTIFS(core_mc[TestName],misc[[#This Row],[CORE_DTLB_String]],core_mc[VisualId],MC_Check!$H$2)</f>
        <v>0</v>
      </c>
      <c r="AA7" t="str">
        <f>_xlfn.TEXTJOIN("",,"*SOCKET0**CBB",misc[[#This Row],[CBB]],"**COMPUTE",misc[[#This Row],[Compute]],"**MODULE",misc[[#This Row],[Module]],splitchar,"**ML2*CR*MC3*STATUS**")</f>
        <v>*SOCKET0**CBB0**COMPUTE0**MODULE4__**ML2*CR*MC3*STATUS**</v>
      </c>
      <c r="AB7">
        <f>COUNTIFS(core_mc[TestName],misc[[#This Row],[Core_ML2_String]],core_mc[VisualId],MC_Check!$H$2)</f>
        <v>0</v>
      </c>
      <c r="AC7" t="str">
        <f>_xlfn.TEXTJOIN("",,"*SOCKET0**CBB",misc[[#This Row],[CBB]],"**COMPUTE",misc[[#This Row],[Compute]],"**MODULE",misc[[#This Row],[Module]],splitchar,"SPARE")</f>
        <v>*SOCKET0**CBB0**COMPUTE0**MODULE4__SPARE</v>
      </c>
      <c r="AD7">
        <f>COUNTIFS(core_mc[TestName],misc[[#This Row],[Core_L2_String - SPARE]],core_mc[VisualId],MC_Check!$H$2)</f>
        <v>0</v>
      </c>
      <c r="AE7">
        <f>misc[[#This Row],[Core_DTLB_Count]]+misc[[#This Row],[Core_DCU_Count]]+misc[[#This Row],[Core_IFU_Count]]+misc[[#This Row],[Core_ROB_Count]]+misc[[#This Row],[Core_L2_Count - SPARE]]+misc[[#This Row],[Core_ML2_Count]]</f>
        <v>0</v>
      </c>
      <c r="AF7" t="str">
        <f>_xlfn.TEXTJOIN(", ",,IF(misc[[#This Row],[Core_IFU_Count]]&gt;0,"IFU",""),IF(misc[[#This Row],[Core_DCU_Count]]&gt;0,"DCU",""),IF(misc[[#This Row],[Core_DTLB_Count]]&gt;0,"DTLB",""),IF(misc[[#This Row],[Core_ROB_Count]]&gt;0,"ROB",""),IF(misc[[#This Row],[Core_ML2_Count]]&gt;0,"ML2",""),IF(misc[[#This Row],[Core_L2_Count - SPARE]]&gt;0,"L2",""))</f>
        <v/>
      </c>
      <c r="AG7" t="str">
        <f>_xlfn.TEXTJOIN("",,"*SOCKET0**CBB",misc[[#This Row],[CBB]],"**BASE**I_CCF**ENV",misc[[#This Row],[ENV]],splitchar,"CBREGS_ALL",misc[[#This Row],[CBO]],splitchar,"SPARE")</f>
        <v>*SOCKET0**CBB0**BASE**I_CCF**ENV0__CBREGS_ALL11__SPARE</v>
      </c>
      <c r="AH7">
        <f>COUNTIFS(cha_mc[TestName],misc[[#This Row],[LLC_MCA_String - Not Used]],cha_mc[VisualId],MC_Check!$H$2)</f>
        <v>0</v>
      </c>
      <c r="AK7" s="36">
        <v>2</v>
      </c>
      <c r="AL7" s="36">
        <v>4</v>
      </c>
      <c r="AM7" s="37" t="str">
        <f>"CH"&amp;memss[[#This Row],[location]]</f>
        <v>CH4</v>
      </c>
      <c r="AN7" s="37" t="b">
        <f>memss[[#This Row],[MEMSS_Hitter_Count]]&gt;0</f>
        <v>0</v>
      </c>
      <c r="AO7" s="37" t="str">
        <f>_xlfn.TEXTJOIN("",,"*SOCKET0**SOC**MEMSS**B2CMI",memss[[#This Row],[location]],splitchar,"MCI*STATUS*SHADOW*")</f>
        <v>*SOCKET0**SOC**MEMSS**B2CMI4__MCI*STATUS*SHADOW*</v>
      </c>
      <c r="AP7" s="37">
        <f>COUNTIFS(cha_mc[TestName],memss[[#This Row],[MEMMS_MCA_String]],cha_mc[VisualId],MC_Check!$H$2)</f>
        <v>0</v>
      </c>
      <c r="AT7" t="s">
        <v>65</v>
      </c>
      <c r="AU7" t="str">
        <f>"*SOCKET0**COMPUTE2**TAPS**IOW*GLBW*IS3M*IBL*TOP110"&amp;splitchar&amp;"TAP*S3M*ERR*STS**"</f>
        <v>*SOCKET0**COMPUTE2**TAPS**IOW*GLBW*IS3M*IBL*TOP110__TAP*S3M*ERR*STS**</v>
      </c>
      <c r="AV7">
        <f>COUNTIFS(cha_mc[TestName],s3errors[[#This Row],[MCA_String]],cha_mc[VisualId],MC_Check!$H$2)</f>
        <v>0</v>
      </c>
      <c r="AX7" t="s">
        <v>65</v>
      </c>
      <c r="AY7" t="str">
        <f>"*SOCKET0**COMPUTE0**UNCORE**PUNIT**PTPCFSMS**PTPCFSMS"&amp;splitchar&amp;"MC*STATUS*"</f>
        <v>*SOCKET0**COMPUTE0**UNCORE**PUNIT**PTPCFSMS**PTPCFSMS__MC*STATUS*</v>
      </c>
      <c r="AZ7">
        <f>COUNTIFS(cha_mc[TestName],punitmcas[[#This Row],[MCA_String]],cha_mc[VisualId],MC_Check!$H$2)</f>
        <v>0</v>
      </c>
    </row>
    <row r="8" spans="1:52" x14ac:dyDescent="0.3">
      <c r="D8">
        <v>1</v>
      </c>
      <c r="F8">
        <v>0</v>
      </c>
      <c r="G8">
        <v>5</v>
      </c>
      <c r="H8" s="61">
        <f>IF(MC_Check!$AN$2="PHY",misc[[#This Row],[location]],misc[[#This Row],[Module_log]])</f>
        <v>5</v>
      </c>
      <c r="I8" s="61">
        <f>misc[[#This Row],[Module]]</f>
        <v>5</v>
      </c>
      <c r="J8" s="61">
        <v>0</v>
      </c>
      <c r="K8" s="61">
        <f t="shared" ref="K8:K34" si="0">K4+1</f>
        <v>1</v>
      </c>
      <c r="L8" s="61">
        <v>1</v>
      </c>
      <c r="M8" s="61" t="str">
        <f>_xlfn.TEXTJOIN("",,misc[[#This Row],[ROW]],misc[[#This Row],[ROW]])</f>
        <v>11</v>
      </c>
      <c r="N8" s="5" t="b">
        <f>misc[[#This Row],[Core_Hitter_Count]]&gt;0</f>
        <v>0</v>
      </c>
      <c r="O8" t="b">
        <f>misc[[#This Row],[LLC_Hitter_Count]]&gt;0</f>
        <v>0</v>
      </c>
      <c r="P8" t="b">
        <f>misc[[#This Row],[CHA_Hitter_Count]]&gt;0</f>
        <v>0</v>
      </c>
      <c r="Q8" t="str">
        <f>_xlfn.TEXTJOIN("",,"*SOCKET0**CBB",misc[[#This Row],[CBB]],"**BASE**I_CCF_ENV",misc[[#This Row],[ENV]],splitchar,"CBREGS_ALL",misc[[#This Row],[CBO]],splitchar,"MC_STATUS*")</f>
        <v>*SOCKET0**CBB0**BASE**I_CCF_ENV1__CBREGS_ALL11__MC_STATUS*</v>
      </c>
      <c r="R8">
        <f>COUNTIFS(cha_mc[TestName],misc[[#This Row],[CBO_MCA_String]],cha_mc[VisualId],MC_Check!$H$2)</f>
        <v>0</v>
      </c>
      <c r="S8" t="str">
        <f>_xlfn.TEXTJOIN("",,"*SOCKET0**CBB",misc[[#This Row],[CBB]],"**COMPUTE",misc[[#This Row],[Compute]],"**MODULE",misc[[#This Row],[Module]],splitchar,"**CORE**IFU*CR*MC0*STATUS**")</f>
        <v>*SOCKET0**CBB0**COMPUTE0**MODULE5__**CORE**IFU*CR*MC0*STATUS**</v>
      </c>
      <c r="T8">
        <f>COUNTIFS(core_mc[TestName],misc[[#This Row],[IFU_MCA_String]],core_mc[VisualId],MC_Check!$H$2)</f>
        <v>0</v>
      </c>
      <c r="U8" t="str">
        <f>_xlfn.TEXTJOIN("",,"*SOCKET0**CBB",misc[[#This Row],[CBB]],"**COMPUTE",misc[[#This Row],[Compute]],"**MODULE",misc[[#This Row],[Module]],splitchar,"**CORE**ROB1*CR*MC*STATUS**")</f>
        <v>*SOCKET0**CBB0**COMPUTE0**MODULE5__**CORE**ROB1*CR*MC*STATUS**</v>
      </c>
      <c r="V8">
        <f>COUNTIFS(core_mc[TestName],misc[[#This Row],[ROB_MCA_String]],core_mc[VisualId],MC_Check!$H$2)</f>
        <v>0</v>
      </c>
      <c r="W8" t="str">
        <f>_xlfn.TEXTJOIN("",,"*SOCKET0**CBB",misc[[#This Row],[CBB]],"**COMPUTE",misc[[#This Row],[Compute]],"**MODULE",misc[[#This Row],[Module]],splitchar,"**CORE**DCU*CR*MC1*STATUS**")</f>
        <v>*SOCKET0**CBB0**COMPUTE0**MODULE5__**CORE**DCU*CR*MC1*STATUS**</v>
      </c>
      <c r="X8">
        <f>COUNTIFS(core_mc[TestName],misc[[#This Row],[DCU_MCA_String]],core_mc[VisualId],MC_Check!$H$2)</f>
        <v>0</v>
      </c>
      <c r="Y8" t="str">
        <f>_xlfn.TEXTJOIN("",,"*SOCKET0**CBB",misc[[#This Row],[CBB]],"**COMPUTE",misc[[#This Row],[Compute]],"**MODULE",misc[[#This Row],[Module]],splitchar,"**CORE**DTLB*CR*MC2*STATUS**")</f>
        <v>*SOCKET0**CBB0**COMPUTE0**MODULE5__**CORE**DTLB*CR*MC2*STATUS**</v>
      </c>
      <c r="Z8">
        <f>COUNTIFS(core_mc[TestName],misc[[#This Row],[CORE_DTLB_String]],core_mc[VisualId],MC_Check!$H$2)</f>
        <v>0</v>
      </c>
      <c r="AA8" t="str">
        <f>_xlfn.TEXTJOIN("",,"*SOCKET0**CBB",misc[[#This Row],[CBB]],"**COMPUTE",misc[[#This Row],[Compute]],"**MODULE",misc[[#This Row],[Module]],splitchar,"**ML2*CR*MC3*STATUS**")</f>
        <v>*SOCKET0**CBB0**COMPUTE0**MODULE5__**ML2*CR*MC3*STATUS**</v>
      </c>
      <c r="AB8">
        <f>COUNTIFS(core_mc[TestName],misc[[#This Row],[Core_ML2_String]],core_mc[VisualId],MC_Check!$H$2)</f>
        <v>0</v>
      </c>
      <c r="AC8" t="str">
        <f>_xlfn.TEXTJOIN("",,"*SOCKET0**CBB",misc[[#This Row],[CBB]],"**COMPUTE",misc[[#This Row],[Compute]],"**MODULE",misc[[#This Row],[Module]],splitchar,"SPARE")</f>
        <v>*SOCKET0**CBB0**COMPUTE0**MODULE5__SPARE</v>
      </c>
      <c r="AD8">
        <f>COUNTIFS(core_mc[TestName],misc[[#This Row],[Core_L2_String - SPARE]],core_mc[VisualId],MC_Check!$H$2)</f>
        <v>0</v>
      </c>
      <c r="AE8">
        <f>misc[[#This Row],[Core_DTLB_Count]]+misc[[#This Row],[Core_DCU_Count]]+misc[[#This Row],[Core_IFU_Count]]+misc[[#This Row],[Core_ROB_Count]]+misc[[#This Row],[Core_L2_Count - SPARE]]+misc[[#This Row],[Core_ML2_Count]]</f>
        <v>0</v>
      </c>
      <c r="AF8" t="str">
        <f>_xlfn.TEXTJOIN(", ",,IF(misc[[#This Row],[Core_IFU_Count]]&gt;0,"IFU",""),IF(misc[[#This Row],[Core_DCU_Count]]&gt;0,"DCU",""),IF(misc[[#This Row],[Core_DTLB_Count]]&gt;0,"DTLB",""),IF(misc[[#This Row],[Core_ROB_Count]]&gt;0,"ROB",""),IF(misc[[#This Row],[Core_ML2_Count]]&gt;0,"ML2",""),IF(misc[[#This Row],[Core_L2_Count - SPARE]]&gt;0,"L2",""))</f>
        <v/>
      </c>
      <c r="AG8" t="str">
        <f>_xlfn.TEXTJOIN("",,"*SOCKET0**CBB",misc[[#This Row],[CBB]],"**BASE**I_CCF**ENV",misc[[#This Row],[ENV]],splitchar,"CBREGS_ALL",misc[[#This Row],[CBO]],splitchar,"SPARE")</f>
        <v>*SOCKET0**CBB0**BASE**I_CCF**ENV1__CBREGS_ALL11__SPARE</v>
      </c>
      <c r="AH8">
        <f>COUNTIFS(cha_mc[TestName],misc[[#This Row],[LLC_MCA_String - Not Used]],cha_mc[VisualId],MC_Check!$H$2)</f>
        <v>0</v>
      </c>
      <c r="AK8" s="36">
        <v>2</v>
      </c>
      <c r="AL8" s="36">
        <v>5</v>
      </c>
      <c r="AM8" s="37" t="str">
        <f>"CH"&amp;memss[[#This Row],[location]]</f>
        <v>CH5</v>
      </c>
      <c r="AN8" s="37" t="b">
        <f>memss[[#This Row],[MEMSS_Hitter_Count]]&gt;0</f>
        <v>0</v>
      </c>
      <c r="AO8" s="37" t="str">
        <f>_xlfn.TEXTJOIN("",,"*SOCKET0**SOC**MEMSS**B2CMI",memss[[#This Row],[location]],splitchar,"MCI*STATUS*SHADOW*")</f>
        <v>*SOCKET0**SOC**MEMSS**B2CMI5__MCI*STATUS*SHADOW*</v>
      </c>
      <c r="AP8" s="37">
        <f>COUNTIFS(cha_mc[TestName],memss[[#This Row],[MEMMS_MCA_String]],cha_mc[VisualId],MC_Check!$H$2)</f>
        <v>0</v>
      </c>
    </row>
    <row r="9" spans="1:52" x14ac:dyDescent="0.3">
      <c r="D9">
        <v>2</v>
      </c>
      <c r="F9">
        <v>0</v>
      </c>
      <c r="G9">
        <v>6</v>
      </c>
      <c r="H9" s="61">
        <f>IF(MC_Check!$AN$2="PHY",misc[[#This Row],[location]],misc[[#This Row],[Module_log]])</f>
        <v>6</v>
      </c>
      <c r="I9" s="61">
        <f>misc[[#This Row],[Module]]</f>
        <v>6</v>
      </c>
      <c r="J9" s="61">
        <v>0</v>
      </c>
      <c r="K9" s="61">
        <f t="shared" si="0"/>
        <v>1</v>
      </c>
      <c r="L9" s="61">
        <v>2</v>
      </c>
      <c r="M9" s="61" t="str">
        <f>_xlfn.TEXTJOIN("",,misc[[#This Row],[ROW]],misc[[#This Row],[ROW]])</f>
        <v>11</v>
      </c>
      <c r="N9" s="5" t="b">
        <f>misc[[#This Row],[Core_Hitter_Count]]&gt;0</f>
        <v>0</v>
      </c>
      <c r="O9" t="b">
        <f>misc[[#This Row],[LLC_Hitter_Count]]&gt;0</f>
        <v>0</v>
      </c>
      <c r="P9" t="b">
        <f>misc[[#This Row],[CHA_Hitter_Count]]&gt;0</f>
        <v>0</v>
      </c>
      <c r="Q9" t="str">
        <f>_xlfn.TEXTJOIN("",,"*SOCKET0**CBB",misc[[#This Row],[CBB]],"**BASE**I_CCF_ENV",misc[[#This Row],[ENV]],splitchar,"CBREGS_ALL",misc[[#This Row],[CBO]],splitchar,"MC_STATUS*")</f>
        <v>*SOCKET0**CBB0**BASE**I_CCF_ENV2__CBREGS_ALL11__MC_STATUS*</v>
      </c>
      <c r="R9">
        <f>COUNTIFS(cha_mc[TestName],misc[[#This Row],[CBO_MCA_String]],cha_mc[VisualId],MC_Check!$H$2)</f>
        <v>0</v>
      </c>
      <c r="S9" t="str">
        <f>_xlfn.TEXTJOIN("",,"*SOCKET0**CBB",misc[[#This Row],[CBB]],"**COMPUTE",misc[[#This Row],[Compute]],"**MODULE",misc[[#This Row],[Module]],splitchar,"**CORE**IFU*CR*MC0*STATUS**")</f>
        <v>*SOCKET0**CBB0**COMPUTE0**MODULE6__**CORE**IFU*CR*MC0*STATUS**</v>
      </c>
      <c r="T9">
        <f>COUNTIFS(core_mc[TestName],misc[[#This Row],[IFU_MCA_String]],core_mc[VisualId],MC_Check!$H$2)</f>
        <v>0</v>
      </c>
      <c r="U9" t="str">
        <f>_xlfn.TEXTJOIN("",,"*SOCKET0**CBB",misc[[#This Row],[CBB]],"**COMPUTE",misc[[#This Row],[Compute]],"**MODULE",misc[[#This Row],[Module]],splitchar,"**CORE**ROB1*CR*MC*STATUS**")</f>
        <v>*SOCKET0**CBB0**COMPUTE0**MODULE6__**CORE**ROB1*CR*MC*STATUS**</v>
      </c>
      <c r="V9">
        <f>COUNTIFS(core_mc[TestName],misc[[#This Row],[ROB_MCA_String]],core_mc[VisualId],MC_Check!$H$2)</f>
        <v>0</v>
      </c>
      <c r="W9" t="str">
        <f>_xlfn.TEXTJOIN("",,"*SOCKET0**CBB",misc[[#This Row],[CBB]],"**COMPUTE",misc[[#This Row],[Compute]],"**MODULE",misc[[#This Row],[Module]],splitchar,"**CORE**DCU*CR*MC1*STATUS**")</f>
        <v>*SOCKET0**CBB0**COMPUTE0**MODULE6__**CORE**DCU*CR*MC1*STATUS**</v>
      </c>
      <c r="X9">
        <f>COUNTIFS(core_mc[TestName],misc[[#This Row],[DCU_MCA_String]],core_mc[VisualId],MC_Check!$H$2)</f>
        <v>0</v>
      </c>
      <c r="Y9" t="str">
        <f>_xlfn.TEXTJOIN("",,"*SOCKET0**CBB",misc[[#This Row],[CBB]],"**COMPUTE",misc[[#This Row],[Compute]],"**MODULE",misc[[#This Row],[Module]],splitchar,"**CORE**DTLB*CR*MC2*STATUS**")</f>
        <v>*SOCKET0**CBB0**COMPUTE0**MODULE6__**CORE**DTLB*CR*MC2*STATUS**</v>
      </c>
      <c r="Z9">
        <f>COUNTIFS(core_mc[TestName],misc[[#This Row],[CORE_DTLB_String]],core_mc[VisualId],MC_Check!$H$2)</f>
        <v>0</v>
      </c>
      <c r="AA9" t="str">
        <f>_xlfn.TEXTJOIN("",,"*SOCKET0**CBB",misc[[#This Row],[CBB]],"**COMPUTE",misc[[#This Row],[Compute]],"**MODULE",misc[[#This Row],[Module]],splitchar,"**ML2*CR*MC3*STATUS**")</f>
        <v>*SOCKET0**CBB0**COMPUTE0**MODULE6__**ML2*CR*MC3*STATUS**</v>
      </c>
      <c r="AB9">
        <f>COUNTIFS(core_mc[TestName],misc[[#This Row],[Core_ML2_String]],core_mc[VisualId],MC_Check!$H$2)</f>
        <v>0</v>
      </c>
      <c r="AC9" t="str">
        <f>_xlfn.TEXTJOIN("",,"*SOCKET0**CBB",misc[[#This Row],[CBB]],"**COMPUTE",misc[[#This Row],[Compute]],"**MODULE",misc[[#This Row],[Module]],splitchar,"SPARE")</f>
        <v>*SOCKET0**CBB0**COMPUTE0**MODULE6__SPARE</v>
      </c>
      <c r="AD9">
        <f>COUNTIFS(core_mc[TestName],misc[[#This Row],[Core_L2_String - SPARE]],core_mc[VisualId],MC_Check!$H$2)</f>
        <v>0</v>
      </c>
      <c r="AE9">
        <f>misc[[#This Row],[Core_DTLB_Count]]+misc[[#This Row],[Core_DCU_Count]]+misc[[#This Row],[Core_IFU_Count]]+misc[[#This Row],[Core_ROB_Count]]+misc[[#This Row],[Core_L2_Count - SPARE]]+misc[[#This Row],[Core_ML2_Count]]</f>
        <v>0</v>
      </c>
      <c r="AF9" t="str">
        <f>_xlfn.TEXTJOIN(", ",,IF(misc[[#This Row],[Core_IFU_Count]]&gt;0,"IFU",""),IF(misc[[#This Row],[Core_DCU_Count]]&gt;0,"DCU",""),IF(misc[[#This Row],[Core_DTLB_Count]]&gt;0,"DTLB",""),IF(misc[[#This Row],[Core_ROB_Count]]&gt;0,"ROB",""),IF(misc[[#This Row],[Core_ML2_Count]]&gt;0,"ML2",""),IF(misc[[#This Row],[Core_L2_Count - SPARE]]&gt;0,"L2",""))</f>
        <v/>
      </c>
      <c r="AG9" t="str">
        <f>_xlfn.TEXTJOIN("",,"*SOCKET0**CBB",misc[[#This Row],[CBB]],"**BASE**I_CCF**ENV",misc[[#This Row],[ENV]],splitchar,"CBREGS_ALL",misc[[#This Row],[CBO]],splitchar,"SPARE")</f>
        <v>*SOCKET0**CBB0**BASE**I_CCF**ENV2__CBREGS_ALL11__SPARE</v>
      </c>
      <c r="AH9">
        <f>COUNTIFS(cha_mc[TestName],misc[[#This Row],[LLC_MCA_String - Not Used]],cha_mc[VisualId],MC_Check!$H$2)</f>
        <v>0</v>
      </c>
      <c r="AK9" s="36">
        <v>1</v>
      </c>
      <c r="AL9" s="36">
        <v>6</v>
      </c>
      <c r="AM9" s="37" t="str">
        <f>"CH"&amp;memss[[#This Row],[location]]</f>
        <v>CH6</v>
      </c>
      <c r="AN9" s="37" t="b">
        <f>memss[[#This Row],[MEMSS_Hitter_Count]]&gt;0</f>
        <v>0</v>
      </c>
      <c r="AO9" s="37" t="str">
        <f>_xlfn.TEXTJOIN("",,"*SOCKET0**SOC**MEMSS**B2CMI",memss[[#This Row],[location]],splitchar,"MCI*STATUS*SHADOW*")</f>
        <v>*SOCKET0**SOC**MEMSS**B2CMI6__MCI*STATUS*SHADOW*</v>
      </c>
      <c r="AP9" s="37">
        <f>COUNTIFS(cha_mc[TestName],memss[[#This Row],[MEMMS_MCA_String]],cha_mc[VisualId],MC_Check!$H$2)</f>
        <v>0</v>
      </c>
    </row>
    <row r="10" spans="1:52" x14ac:dyDescent="0.3">
      <c r="D10">
        <v>3</v>
      </c>
      <c r="F10">
        <v>0</v>
      </c>
      <c r="G10">
        <v>7</v>
      </c>
      <c r="H10" s="61">
        <f>IF(MC_Check!$AN$2="PHY",misc[[#This Row],[location]],misc[[#This Row],[Module_log]])</f>
        <v>7</v>
      </c>
      <c r="I10" s="61">
        <f>misc[[#This Row],[Module]]</f>
        <v>7</v>
      </c>
      <c r="J10" s="61">
        <v>0</v>
      </c>
      <c r="K10" s="61">
        <f t="shared" si="0"/>
        <v>1</v>
      </c>
      <c r="L10" s="61">
        <v>3</v>
      </c>
      <c r="M10" s="61" t="str">
        <f>_xlfn.TEXTJOIN("",,misc[[#This Row],[ROW]],misc[[#This Row],[ROW]])</f>
        <v>11</v>
      </c>
      <c r="N10" s="5" t="b">
        <f>misc[[#This Row],[Core_Hitter_Count]]&gt;0</f>
        <v>0</v>
      </c>
      <c r="O10" t="b">
        <f>misc[[#This Row],[LLC_Hitter_Count]]&gt;0</f>
        <v>0</v>
      </c>
      <c r="P10" t="b">
        <f>misc[[#This Row],[CHA_Hitter_Count]]&gt;0</f>
        <v>0</v>
      </c>
      <c r="Q10" t="str">
        <f>_xlfn.TEXTJOIN("",,"*SOCKET0**CBB",misc[[#This Row],[CBB]],"**BASE**I_CCF_ENV",misc[[#This Row],[ENV]],splitchar,"CBREGS_ALL",misc[[#This Row],[CBO]],splitchar,"MC_STATUS*")</f>
        <v>*SOCKET0**CBB0**BASE**I_CCF_ENV3__CBREGS_ALL11__MC_STATUS*</v>
      </c>
      <c r="R10">
        <f>COUNTIFS(cha_mc[TestName],misc[[#This Row],[CBO_MCA_String]],cha_mc[VisualId],MC_Check!$H$2)</f>
        <v>0</v>
      </c>
      <c r="S10" t="str">
        <f>_xlfn.TEXTJOIN("",,"*SOCKET0**CBB",misc[[#This Row],[CBB]],"**COMPUTE",misc[[#This Row],[Compute]],"**MODULE",misc[[#This Row],[Module]],splitchar,"**CORE**IFU*CR*MC0*STATUS**")</f>
        <v>*SOCKET0**CBB0**COMPUTE0**MODULE7__**CORE**IFU*CR*MC0*STATUS**</v>
      </c>
      <c r="T10">
        <f>COUNTIFS(core_mc[TestName],misc[[#This Row],[IFU_MCA_String]],core_mc[VisualId],MC_Check!$H$2)</f>
        <v>0</v>
      </c>
      <c r="U10" t="str">
        <f>_xlfn.TEXTJOIN("",,"*SOCKET0**CBB",misc[[#This Row],[CBB]],"**COMPUTE",misc[[#This Row],[Compute]],"**MODULE",misc[[#This Row],[Module]],splitchar,"**CORE**ROB1*CR*MC*STATUS**")</f>
        <v>*SOCKET0**CBB0**COMPUTE0**MODULE7__**CORE**ROB1*CR*MC*STATUS**</v>
      </c>
      <c r="V10">
        <f>COUNTIFS(core_mc[TestName],misc[[#This Row],[ROB_MCA_String]],core_mc[VisualId],MC_Check!$H$2)</f>
        <v>0</v>
      </c>
      <c r="W10" t="str">
        <f>_xlfn.TEXTJOIN("",,"*SOCKET0**CBB",misc[[#This Row],[CBB]],"**COMPUTE",misc[[#This Row],[Compute]],"**MODULE",misc[[#This Row],[Module]],splitchar,"**CORE**DCU*CR*MC1*STATUS**")</f>
        <v>*SOCKET0**CBB0**COMPUTE0**MODULE7__**CORE**DCU*CR*MC1*STATUS**</v>
      </c>
      <c r="X10">
        <f>COUNTIFS(core_mc[TestName],misc[[#This Row],[DCU_MCA_String]],core_mc[VisualId],MC_Check!$H$2)</f>
        <v>0</v>
      </c>
      <c r="Y10" t="str">
        <f>_xlfn.TEXTJOIN("",,"*SOCKET0**CBB",misc[[#This Row],[CBB]],"**COMPUTE",misc[[#This Row],[Compute]],"**MODULE",misc[[#This Row],[Module]],splitchar,"**CORE**DTLB*CR*MC2*STATUS**")</f>
        <v>*SOCKET0**CBB0**COMPUTE0**MODULE7__**CORE**DTLB*CR*MC2*STATUS**</v>
      </c>
      <c r="Z10">
        <f>COUNTIFS(core_mc[TestName],misc[[#This Row],[CORE_DTLB_String]],core_mc[VisualId],MC_Check!$H$2)</f>
        <v>0</v>
      </c>
      <c r="AA10" t="str">
        <f>_xlfn.TEXTJOIN("",,"*SOCKET0**CBB",misc[[#This Row],[CBB]],"**COMPUTE",misc[[#This Row],[Compute]],"**MODULE",misc[[#This Row],[Module]],splitchar,"**ML2*CR*MC3*STATUS**")</f>
        <v>*SOCKET0**CBB0**COMPUTE0**MODULE7__**ML2*CR*MC3*STATUS**</v>
      </c>
      <c r="AB10">
        <f>COUNTIFS(core_mc[TestName],misc[[#This Row],[Core_ML2_String]],core_mc[VisualId],MC_Check!$H$2)</f>
        <v>0</v>
      </c>
      <c r="AC10" t="str">
        <f>_xlfn.TEXTJOIN("",,"*SOCKET0**CBB",misc[[#This Row],[CBB]],"**COMPUTE",misc[[#This Row],[Compute]],"**MODULE",misc[[#This Row],[Module]],splitchar,"SPARE")</f>
        <v>*SOCKET0**CBB0**COMPUTE0**MODULE7__SPARE</v>
      </c>
      <c r="AD10">
        <f>COUNTIFS(core_mc[TestName],misc[[#This Row],[Core_L2_String - SPARE]],core_mc[VisualId],MC_Check!$H$2)</f>
        <v>0</v>
      </c>
      <c r="AE10">
        <f>misc[[#This Row],[Core_DTLB_Count]]+misc[[#This Row],[Core_DCU_Count]]+misc[[#This Row],[Core_IFU_Count]]+misc[[#This Row],[Core_ROB_Count]]+misc[[#This Row],[Core_L2_Count - SPARE]]+misc[[#This Row],[Core_ML2_Count]]</f>
        <v>0</v>
      </c>
      <c r="AF10" t="str">
        <f>_xlfn.TEXTJOIN(", ",,IF(misc[[#This Row],[Core_IFU_Count]]&gt;0,"IFU",""),IF(misc[[#This Row],[Core_DCU_Count]]&gt;0,"DCU",""),IF(misc[[#This Row],[Core_DTLB_Count]]&gt;0,"DTLB",""),IF(misc[[#This Row],[Core_ROB_Count]]&gt;0,"ROB",""),IF(misc[[#This Row],[Core_ML2_Count]]&gt;0,"ML2",""),IF(misc[[#This Row],[Core_L2_Count - SPARE]]&gt;0,"L2",""))</f>
        <v/>
      </c>
      <c r="AG10" t="str">
        <f>_xlfn.TEXTJOIN("",,"*SOCKET0**CBB",misc[[#This Row],[CBB]],"**BASE**I_CCF**ENV",misc[[#This Row],[ENV]],splitchar,"CBREGS_ALL",misc[[#This Row],[CBO]],splitchar,"SPARE")</f>
        <v>*SOCKET0**CBB0**BASE**I_CCF**ENV3__CBREGS_ALL11__SPARE</v>
      </c>
      <c r="AH10">
        <f>COUNTIFS(cha_mc[TestName],misc[[#This Row],[LLC_MCA_String - Not Used]],cha_mc[VisualId],MC_Check!$H$2)</f>
        <v>0</v>
      </c>
      <c r="AK10" s="36">
        <v>1</v>
      </c>
      <c r="AL10" s="36">
        <v>7</v>
      </c>
      <c r="AM10" s="37" t="str">
        <f>"CH"&amp;memss[[#This Row],[location]]</f>
        <v>CH7</v>
      </c>
      <c r="AN10" s="37" t="b">
        <f>memss[[#This Row],[MEMSS_Hitter_Count]]&gt;0</f>
        <v>0</v>
      </c>
      <c r="AO10" s="37" t="str">
        <f>_xlfn.TEXTJOIN("",,"*SOCKET0**SOC**MEMSS**B2CMI",memss[[#This Row],[location]],splitchar,"MCI*STATUS*SHADOW*")</f>
        <v>*SOCKET0**SOC**MEMSS**B2CMI7__MCI*STATUS*SHADOW*</v>
      </c>
      <c r="AP10" s="37">
        <f>COUNTIFS(cha_mc[TestName],memss[[#This Row],[MEMMS_MCA_String]],cha_mc[VisualId],MC_Check!$H$2)</f>
        <v>0</v>
      </c>
    </row>
    <row r="11" spans="1:52" x14ac:dyDescent="0.3">
      <c r="D11">
        <v>10</v>
      </c>
      <c r="F11">
        <v>0</v>
      </c>
      <c r="G11">
        <v>8</v>
      </c>
      <c r="H11" s="61">
        <f>IF(MC_Check!$AN$2="PHY",misc[[#This Row],[location]],misc[[#This Row],[Module_log]])</f>
        <v>8</v>
      </c>
      <c r="I11" s="61">
        <f>misc[[#This Row],[Module]]</f>
        <v>8</v>
      </c>
      <c r="J11" s="61">
        <f>J3+1</f>
        <v>1</v>
      </c>
      <c r="K11" s="61">
        <f>K7+1</f>
        <v>2</v>
      </c>
      <c r="L11" s="61">
        <v>0</v>
      </c>
      <c r="M11" s="61" t="str">
        <f>_xlfn.TEXTJOIN("",,misc[[#This Row],[ROW]],misc[[#This Row],[ROW]])</f>
        <v>22</v>
      </c>
      <c r="N11" s="5" t="b">
        <f>misc[[#This Row],[Core_Hitter_Count]]&gt;0</f>
        <v>0</v>
      </c>
      <c r="O11" t="b">
        <f>misc[[#This Row],[LLC_Hitter_Count]]&gt;0</f>
        <v>0</v>
      </c>
      <c r="P11" t="b">
        <f>misc[[#This Row],[CHA_Hitter_Count]]&gt;0</f>
        <v>0</v>
      </c>
      <c r="Q11" t="str">
        <f>_xlfn.TEXTJOIN("",,"*SOCKET0**CBB",misc[[#This Row],[CBB]],"**BASE**I_CCF_ENV",misc[[#This Row],[ENV]],splitchar,"CBREGS_ALL",misc[[#This Row],[CBO]],splitchar,"MC_STATUS*")</f>
        <v>*SOCKET0**CBB0**BASE**I_CCF_ENV0__CBREGS_ALL22__MC_STATUS*</v>
      </c>
      <c r="R11">
        <f>COUNTIFS(cha_mc[TestName],misc[[#This Row],[CBO_MCA_String]],cha_mc[VisualId],MC_Check!$H$2)</f>
        <v>0</v>
      </c>
      <c r="S11" t="str">
        <f>_xlfn.TEXTJOIN("",,"*SOCKET0**CBB",misc[[#This Row],[CBB]],"**COMPUTE",misc[[#This Row],[Compute]],"**MODULE",misc[[#This Row],[Module]],splitchar,"**CORE**IFU*CR*MC0*STATUS**")</f>
        <v>*SOCKET0**CBB0**COMPUTE1**MODULE8__**CORE**IFU*CR*MC0*STATUS**</v>
      </c>
      <c r="T11">
        <f>COUNTIFS(core_mc[TestName],misc[[#This Row],[IFU_MCA_String]],core_mc[VisualId],MC_Check!$H$2)</f>
        <v>0</v>
      </c>
      <c r="U11" t="str">
        <f>_xlfn.TEXTJOIN("",,"*SOCKET0**CBB",misc[[#This Row],[CBB]],"**COMPUTE",misc[[#This Row],[Compute]],"**MODULE",misc[[#This Row],[Module]],splitchar,"**CORE**ROB1*CR*MC*STATUS**")</f>
        <v>*SOCKET0**CBB0**COMPUTE1**MODULE8__**CORE**ROB1*CR*MC*STATUS**</v>
      </c>
      <c r="V11">
        <f>COUNTIFS(core_mc[TestName],misc[[#This Row],[ROB_MCA_String]],core_mc[VisualId],MC_Check!$H$2)</f>
        <v>0</v>
      </c>
      <c r="W11" t="str">
        <f>_xlfn.TEXTJOIN("",,"*SOCKET0**CBB",misc[[#This Row],[CBB]],"**COMPUTE",misc[[#This Row],[Compute]],"**MODULE",misc[[#This Row],[Module]],splitchar,"**CORE**DCU*CR*MC1*STATUS**")</f>
        <v>*SOCKET0**CBB0**COMPUTE1**MODULE8__**CORE**DCU*CR*MC1*STATUS**</v>
      </c>
      <c r="X11">
        <f>COUNTIFS(core_mc[TestName],misc[[#This Row],[DCU_MCA_String]],core_mc[VisualId],MC_Check!$H$2)</f>
        <v>0</v>
      </c>
      <c r="Y11" t="str">
        <f>_xlfn.TEXTJOIN("",,"*SOCKET0**CBB",misc[[#This Row],[CBB]],"**COMPUTE",misc[[#This Row],[Compute]],"**MODULE",misc[[#This Row],[Module]],splitchar,"**CORE**DTLB*CR*MC2*STATUS**")</f>
        <v>*SOCKET0**CBB0**COMPUTE1**MODULE8__**CORE**DTLB*CR*MC2*STATUS**</v>
      </c>
      <c r="Z11">
        <f>COUNTIFS(core_mc[TestName],misc[[#This Row],[CORE_DTLB_String]],core_mc[VisualId],MC_Check!$H$2)</f>
        <v>0</v>
      </c>
      <c r="AA11" t="str">
        <f>_xlfn.TEXTJOIN("",,"*SOCKET0**CBB",misc[[#This Row],[CBB]],"**COMPUTE",misc[[#This Row],[Compute]],"**MODULE",misc[[#This Row],[Module]],splitchar,"**ML2*CR*MC3*STATUS**")</f>
        <v>*SOCKET0**CBB0**COMPUTE1**MODULE8__**ML2*CR*MC3*STATUS**</v>
      </c>
      <c r="AB11">
        <f>COUNTIFS(core_mc[TestName],misc[[#This Row],[Core_ML2_String]],core_mc[VisualId],MC_Check!$H$2)</f>
        <v>0</v>
      </c>
      <c r="AC11" t="str">
        <f>_xlfn.TEXTJOIN("",,"*SOCKET0**CBB",misc[[#This Row],[CBB]],"**COMPUTE",misc[[#This Row],[Compute]],"**MODULE",misc[[#This Row],[Module]],splitchar,"SPARE")</f>
        <v>*SOCKET0**CBB0**COMPUTE1**MODULE8__SPARE</v>
      </c>
      <c r="AD11">
        <f>COUNTIFS(core_mc[TestName],misc[[#This Row],[Core_L2_String - SPARE]],core_mc[VisualId],MC_Check!$H$2)</f>
        <v>0</v>
      </c>
      <c r="AE11">
        <f>misc[[#This Row],[Core_DTLB_Count]]+misc[[#This Row],[Core_DCU_Count]]+misc[[#This Row],[Core_IFU_Count]]+misc[[#This Row],[Core_ROB_Count]]+misc[[#This Row],[Core_L2_Count - SPARE]]+misc[[#This Row],[Core_ML2_Count]]</f>
        <v>0</v>
      </c>
      <c r="AF11" t="str">
        <f>_xlfn.TEXTJOIN(", ",,IF(misc[[#This Row],[Core_IFU_Count]]&gt;0,"IFU",""),IF(misc[[#This Row],[Core_DCU_Count]]&gt;0,"DCU",""),IF(misc[[#This Row],[Core_DTLB_Count]]&gt;0,"DTLB",""),IF(misc[[#This Row],[Core_ROB_Count]]&gt;0,"ROB",""),IF(misc[[#This Row],[Core_ML2_Count]]&gt;0,"ML2",""),IF(misc[[#This Row],[Core_L2_Count - SPARE]]&gt;0,"L2",""))</f>
        <v/>
      </c>
      <c r="AG11" t="str">
        <f>_xlfn.TEXTJOIN("",,"*SOCKET0**CBB",misc[[#This Row],[CBB]],"**BASE**I_CCF**ENV",misc[[#This Row],[ENV]],splitchar,"CBREGS_ALL",misc[[#This Row],[CBO]],splitchar,"SPARE")</f>
        <v>*SOCKET0**CBB0**BASE**I_CCF**ENV0__CBREGS_ALL22__SPARE</v>
      </c>
      <c r="AH11">
        <f>COUNTIFS(cha_mc[TestName],misc[[#This Row],[LLC_MCA_String - Not Used]],cha_mc[VisualId],MC_Check!$H$2)</f>
        <v>0</v>
      </c>
      <c r="AK11" s="36">
        <v>0</v>
      </c>
      <c r="AL11" s="36">
        <v>8</v>
      </c>
      <c r="AM11" s="37" t="str">
        <f>"CH"&amp;memss[[#This Row],[location]]</f>
        <v>CH8</v>
      </c>
      <c r="AN11" s="37" t="b">
        <f>memss[[#This Row],[MEMSS_Hitter_Count]]&gt;0</f>
        <v>0</v>
      </c>
      <c r="AO11" s="37" t="str">
        <f>_xlfn.TEXTJOIN("",,"*SOCKET0**SOC**MEMSS**B2CMI",memss[[#This Row],[location]],splitchar,"MCI*STATUS*SHADOW*")</f>
        <v>*SOCKET0**SOC**MEMSS**B2CMI8__MCI*STATUS*SHADOW*</v>
      </c>
      <c r="AP11" s="37">
        <f>COUNTIFS(cha_mc[TestName],memss[[#This Row],[MEMMS_MCA_String]],cha_mc[VisualId],MC_Check!$H$2)</f>
        <v>0</v>
      </c>
    </row>
    <row r="12" spans="1:52" x14ac:dyDescent="0.3">
      <c r="F12">
        <v>0</v>
      </c>
      <c r="G12">
        <v>9</v>
      </c>
      <c r="H12" s="61">
        <f>IF(MC_Check!$AN$2="PHY",misc[[#This Row],[location]],misc[[#This Row],[Module_log]])</f>
        <v>9</v>
      </c>
      <c r="I12" s="61">
        <f>misc[[#This Row],[Module]]</f>
        <v>9</v>
      </c>
      <c r="J12" s="61">
        <f t="shared" ref="J12:J66" si="1">J4+1</f>
        <v>1</v>
      </c>
      <c r="K12" s="61">
        <f t="shared" si="0"/>
        <v>2</v>
      </c>
      <c r="L12" s="61">
        <v>1</v>
      </c>
      <c r="M12" s="61" t="str">
        <f>_xlfn.TEXTJOIN("",,misc[[#This Row],[ROW]],misc[[#This Row],[ROW]])</f>
        <v>22</v>
      </c>
      <c r="N12" s="5" t="b">
        <f>misc[[#This Row],[Core_Hitter_Count]]&gt;0</f>
        <v>0</v>
      </c>
      <c r="O12" t="b">
        <f>misc[[#This Row],[LLC_Hitter_Count]]&gt;0</f>
        <v>0</v>
      </c>
      <c r="P12" t="b">
        <f>misc[[#This Row],[CHA_Hitter_Count]]&gt;0</f>
        <v>0</v>
      </c>
      <c r="Q12" t="str">
        <f>_xlfn.TEXTJOIN("",,"*SOCKET0**CBB",misc[[#This Row],[CBB]],"**BASE**I_CCF_ENV",misc[[#This Row],[ENV]],splitchar,"CBREGS_ALL",misc[[#This Row],[CBO]],splitchar,"MC_STATUS*")</f>
        <v>*SOCKET0**CBB0**BASE**I_CCF_ENV1__CBREGS_ALL22__MC_STATUS*</v>
      </c>
      <c r="R12">
        <f>COUNTIFS(cha_mc[TestName],misc[[#This Row],[CBO_MCA_String]],cha_mc[VisualId],MC_Check!$H$2)</f>
        <v>0</v>
      </c>
      <c r="S12" t="str">
        <f>_xlfn.TEXTJOIN("",,"*SOCKET0**CBB",misc[[#This Row],[CBB]],"**COMPUTE",misc[[#This Row],[Compute]],"**MODULE",misc[[#This Row],[Module]],splitchar,"**CORE**IFU*CR*MC0*STATUS**")</f>
        <v>*SOCKET0**CBB0**COMPUTE1**MODULE9__**CORE**IFU*CR*MC0*STATUS**</v>
      </c>
      <c r="T12">
        <f>COUNTIFS(core_mc[TestName],misc[[#This Row],[IFU_MCA_String]],core_mc[VisualId],MC_Check!$H$2)</f>
        <v>0</v>
      </c>
      <c r="U12" t="str">
        <f>_xlfn.TEXTJOIN("",,"*SOCKET0**CBB",misc[[#This Row],[CBB]],"**COMPUTE",misc[[#This Row],[Compute]],"**MODULE",misc[[#This Row],[Module]],splitchar,"**CORE**ROB1*CR*MC*STATUS**")</f>
        <v>*SOCKET0**CBB0**COMPUTE1**MODULE9__**CORE**ROB1*CR*MC*STATUS**</v>
      </c>
      <c r="V12">
        <f>COUNTIFS(core_mc[TestName],misc[[#This Row],[ROB_MCA_String]],core_mc[VisualId],MC_Check!$H$2)</f>
        <v>0</v>
      </c>
      <c r="W12" t="str">
        <f>_xlfn.TEXTJOIN("",,"*SOCKET0**CBB",misc[[#This Row],[CBB]],"**COMPUTE",misc[[#This Row],[Compute]],"**MODULE",misc[[#This Row],[Module]],splitchar,"**CORE**DCU*CR*MC1*STATUS**")</f>
        <v>*SOCKET0**CBB0**COMPUTE1**MODULE9__**CORE**DCU*CR*MC1*STATUS**</v>
      </c>
      <c r="X12">
        <f>COUNTIFS(core_mc[TestName],misc[[#This Row],[DCU_MCA_String]],core_mc[VisualId],MC_Check!$H$2)</f>
        <v>0</v>
      </c>
      <c r="Y12" t="str">
        <f>_xlfn.TEXTJOIN("",,"*SOCKET0**CBB",misc[[#This Row],[CBB]],"**COMPUTE",misc[[#This Row],[Compute]],"**MODULE",misc[[#This Row],[Module]],splitchar,"**CORE**DTLB*CR*MC2*STATUS**")</f>
        <v>*SOCKET0**CBB0**COMPUTE1**MODULE9__**CORE**DTLB*CR*MC2*STATUS**</v>
      </c>
      <c r="Z12">
        <f>COUNTIFS(core_mc[TestName],misc[[#This Row],[CORE_DTLB_String]],core_mc[VisualId],MC_Check!$H$2)</f>
        <v>0</v>
      </c>
      <c r="AA12" t="str">
        <f>_xlfn.TEXTJOIN("",,"*SOCKET0**CBB",misc[[#This Row],[CBB]],"**COMPUTE",misc[[#This Row],[Compute]],"**MODULE",misc[[#This Row],[Module]],splitchar,"**ML2*CR*MC3*STATUS**")</f>
        <v>*SOCKET0**CBB0**COMPUTE1**MODULE9__**ML2*CR*MC3*STATUS**</v>
      </c>
      <c r="AB12">
        <f>COUNTIFS(core_mc[TestName],misc[[#This Row],[Core_ML2_String]],core_mc[VisualId],MC_Check!$H$2)</f>
        <v>0</v>
      </c>
      <c r="AC12" t="str">
        <f>_xlfn.TEXTJOIN("",,"*SOCKET0**CBB",misc[[#This Row],[CBB]],"**COMPUTE",misc[[#This Row],[Compute]],"**MODULE",misc[[#This Row],[Module]],splitchar,"SPARE")</f>
        <v>*SOCKET0**CBB0**COMPUTE1**MODULE9__SPARE</v>
      </c>
      <c r="AD12">
        <f>COUNTIFS(core_mc[TestName],misc[[#This Row],[Core_L2_String - SPARE]],core_mc[VisualId],MC_Check!$H$2)</f>
        <v>0</v>
      </c>
      <c r="AE12">
        <f>misc[[#This Row],[Core_DTLB_Count]]+misc[[#This Row],[Core_DCU_Count]]+misc[[#This Row],[Core_IFU_Count]]+misc[[#This Row],[Core_ROB_Count]]+misc[[#This Row],[Core_L2_Count - SPARE]]+misc[[#This Row],[Core_ML2_Count]]</f>
        <v>0</v>
      </c>
      <c r="AF12" t="str">
        <f>_xlfn.TEXTJOIN(", ",,IF(misc[[#This Row],[Core_IFU_Count]]&gt;0,"IFU",""),IF(misc[[#This Row],[Core_DCU_Count]]&gt;0,"DCU",""),IF(misc[[#This Row],[Core_DTLB_Count]]&gt;0,"DTLB",""),IF(misc[[#This Row],[Core_ROB_Count]]&gt;0,"ROB",""),IF(misc[[#This Row],[Core_ML2_Count]]&gt;0,"ML2",""),IF(misc[[#This Row],[Core_L2_Count - SPARE]]&gt;0,"L2",""))</f>
        <v/>
      </c>
      <c r="AG12" t="str">
        <f>_xlfn.TEXTJOIN("",,"*SOCKET0**CBB",misc[[#This Row],[CBB]],"**BASE**I_CCF**ENV",misc[[#This Row],[ENV]],splitchar,"CBREGS_ALL",misc[[#This Row],[CBO]],splitchar,"SPARE")</f>
        <v>*SOCKET0**CBB0**BASE**I_CCF**ENV1__CBREGS_ALL22__SPARE</v>
      </c>
      <c r="AH12">
        <f>COUNTIFS(cha_mc[TestName],misc[[#This Row],[LLC_MCA_String - Not Used]],cha_mc[VisualId],MC_Check!$H$2)</f>
        <v>0</v>
      </c>
      <c r="AK12" s="36">
        <v>0</v>
      </c>
      <c r="AL12" s="36">
        <v>9</v>
      </c>
      <c r="AM12" s="37" t="str">
        <f>"CH"&amp;memss[[#This Row],[location]]</f>
        <v>CH9</v>
      </c>
      <c r="AN12" s="37" t="b">
        <f>memss[[#This Row],[MEMSS_Hitter_Count]]&gt;0</f>
        <v>0</v>
      </c>
      <c r="AO12" s="37" t="str">
        <f>_xlfn.TEXTJOIN("",,"*SOCKET0**SOC**MEMSS**B2CMI",memss[[#This Row],[location]],splitchar,"MCI*STATUS*SHADOW*")</f>
        <v>*SOCKET0**SOC**MEMSS**B2CMI9__MCI*STATUS*SHADOW*</v>
      </c>
      <c r="AP12" s="37">
        <f>COUNTIFS(cha_mc[TestName],memss[[#This Row],[MEMMS_MCA_String]],cha_mc[VisualId],MC_Check!$H$2)</f>
        <v>0</v>
      </c>
    </row>
    <row r="13" spans="1:52" x14ac:dyDescent="0.3">
      <c r="D13" t="s">
        <v>78</v>
      </c>
      <c r="F13">
        <v>0</v>
      </c>
      <c r="G13">
        <v>10</v>
      </c>
      <c r="H13" s="61">
        <f>IF(MC_Check!$AN$2="PHY",misc[[#This Row],[location]],misc[[#This Row],[Module_log]])</f>
        <v>10</v>
      </c>
      <c r="I13" s="61">
        <f>misc[[#This Row],[Module]]</f>
        <v>10</v>
      </c>
      <c r="J13" s="61">
        <f t="shared" si="1"/>
        <v>1</v>
      </c>
      <c r="K13" s="61">
        <f t="shared" si="0"/>
        <v>2</v>
      </c>
      <c r="L13" s="61">
        <v>2</v>
      </c>
      <c r="M13" s="61" t="str">
        <f>_xlfn.TEXTJOIN("",,misc[[#This Row],[ROW]],misc[[#This Row],[ROW]])</f>
        <v>22</v>
      </c>
      <c r="N13" s="5" t="b">
        <f>misc[[#This Row],[Core_Hitter_Count]]&gt;0</f>
        <v>0</v>
      </c>
      <c r="O13" t="b">
        <f>misc[[#This Row],[LLC_Hitter_Count]]&gt;0</f>
        <v>0</v>
      </c>
      <c r="P13" t="b">
        <f>misc[[#This Row],[CHA_Hitter_Count]]&gt;0</f>
        <v>0</v>
      </c>
      <c r="Q13" t="str">
        <f>_xlfn.TEXTJOIN("",,"*SOCKET0**CBB",misc[[#This Row],[CBB]],"**BASE**I_CCF_ENV",misc[[#This Row],[ENV]],splitchar,"CBREGS_ALL",misc[[#This Row],[CBO]],splitchar,"MC_STATUS*")</f>
        <v>*SOCKET0**CBB0**BASE**I_CCF_ENV2__CBREGS_ALL22__MC_STATUS*</v>
      </c>
      <c r="R13">
        <f>COUNTIFS(cha_mc[TestName],misc[[#This Row],[CBO_MCA_String]],cha_mc[VisualId],MC_Check!$H$2)</f>
        <v>0</v>
      </c>
      <c r="S13" t="str">
        <f>_xlfn.TEXTJOIN("",,"*SOCKET0**CBB",misc[[#This Row],[CBB]],"**COMPUTE",misc[[#This Row],[Compute]],"**MODULE",misc[[#This Row],[Module]],splitchar,"**CORE**IFU*CR*MC0*STATUS**")</f>
        <v>*SOCKET0**CBB0**COMPUTE1**MODULE10__**CORE**IFU*CR*MC0*STATUS**</v>
      </c>
      <c r="T13">
        <f>COUNTIFS(core_mc[TestName],misc[[#This Row],[IFU_MCA_String]],core_mc[VisualId],MC_Check!$H$2)</f>
        <v>0</v>
      </c>
      <c r="U13" t="str">
        <f>_xlfn.TEXTJOIN("",,"*SOCKET0**CBB",misc[[#This Row],[CBB]],"**COMPUTE",misc[[#This Row],[Compute]],"**MODULE",misc[[#This Row],[Module]],splitchar,"**CORE**ROB1*CR*MC*STATUS**")</f>
        <v>*SOCKET0**CBB0**COMPUTE1**MODULE10__**CORE**ROB1*CR*MC*STATUS**</v>
      </c>
      <c r="V13">
        <f>COUNTIFS(core_mc[TestName],misc[[#This Row],[ROB_MCA_String]],core_mc[VisualId],MC_Check!$H$2)</f>
        <v>0</v>
      </c>
      <c r="W13" t="str">
        <f>_xlfn.TEXTJOIN("",,"*SOCKET0**CBB",misc[[#This Row],[CBB]],"**COMPUTE",misc[[#This Row],[Compute]],"**MODULE",misc[[#This Row],[Module]],splitchar,"**CORE**DCU*CR*MC1*STATUS**")</f>
        <v>*SOCKET0**CBB0**COMPUTE1**MODULE10__**CORE**DCU*CR*MC1*STATUS**</v>
      </c>
      <c r="X13">
        <f>COUNTIFS(core_mc[TestName],misc[[#This Row],[DCU_MCA_String]],core_mc[VisualId],MC_Check!$H$2)</f>
        <v>0</v>
      </c>
      <c r="Y13" t="str">
        <f>_xlfn.TEXTJOIN("",,"*SOCKET0**CBB",misc[[#This Row],[CBB]],"**COMPUTE",misc[[#This Row],[Compute]],"**MODULE",misc[[#This Row],[Module]],splitchar,"**CORE**DTLB*CR*MC2*STATUS**")</f>
        <v>*SOCKET0**CBB0**COMPUTE1**MODULE10__**CORE**DTLB*CR*MC2*STATUS**</v>
      </c>
      <c r="Z13">
        <f>COUNTIFS(core_mc[TestName],misc[[#This Row],[CORE_DTLB_String]],core_mc[VisualId],MC_Check!$H$2)</f>
        <v>0</v>
      </c>
      <c r="AA13" t="str">
        <f>_xlfn.TEXTJOIN("",,"*SOCKET0**CBB",misc[[#This Row],[CBB]],"**COMPUTE",misc[[#This Row],[Compute]],"**MODULE",misc[[#This Row],[Module]],splitchar,"**ML2*CR*MC3*STATUS**")</f>
        <v>*SOCKET0**CBB0**COMPUTE1**MODULE10__**ML2*CR*MC3*STATUS**</v>
      </c>
      <c r="AB13">
        <f>COUNTIFS(core_mc[TestName],misc[[#This Row],[Core_ML2_String]],core_mc[VisualId],MC_Check!$H$2)</f>
        <v>0</v>
      </c>
      <c r="AC13" t="str">
        <f>_xlfn.TEXTJOIN("",,"*SOCKET0**CBB",misc[[#This Row],[CBB]],"**COMPUTE",misc[[#This Row],[Compute]],"**MODULE",misc[[#This Row],[Module]],splitchar,"SPARE")</f>
        <v>*SOCKET0**CBB0**COMPUTE1**MODULE10__SPARE</v>
      </c>
      <c r="AD13">
        <f>COUNTIFS(core_mc[TestName],misc[[#This Row],[Core_L2_String - SPARE]],core_mc[VisualId],MC_Check!$H$2)</f>
        <v>0</v>
      </c>
      <c r="AE13">
        <f>misc[[#This Row],[Core_DTLB_Count]]+misc[[#This Row],[Core_DCU_Count]]+misc[[#This Row],[Core_IFU_Count]]+misc[[#This Row],[Core_ROB_Count]]+misc[[#This Row],[Core_L2_Count - SPARE]]+misc[[#This Row],[Core_ML2_Count]]</f>
        <v>0</v>
      </c>
      <c r="AF13" t="str">
        <f>_xlfn.TEXTJOIN(", ",,IF(misc[[#This Row],[Core_IFU_Count]]&gt;0,"IFU",""),IF(misc[[#This Row],[Core_DCU_Count]]&gt;0,"DCU",""),IF(misc[[#This Row],[Core_DTLB_Count]]&gt;0,"DTLB",""),IF(misc[[#This Row],[Core_ROB_Count]]&gt;0,"ROB",""),IF(misc[[#This Row],[Core_ML2_Count]]&gt;0,"ML2",""),IF(misc[[#This Row],[Core_L2_Count - SPARE]]&gt;0,"L2",""))</f>
        <v/>
      </c>
      <c r="AG13" t="str">
        <f>_xlfn.TEXTJOIN("",,"*SOCKET0**CBB",misc[[#This Row],[CBB]],"**BASE**I_CCF**ENV",misc[[#This Row],[ENV]],splitchar,"CBREGS_ALL",misc[[#This Row],[CBO]],splitchar,"SPARE")</f>
        <v>*SOCKET0**CBB0**BASE**I_CCF**ENV2__CBREGS_ALL22__SPARE</v>
      </c>
      <c r="AH13">
        <f>COUNTIFS(cha_mc[TestName],misc[[#This Row],[LLC_MCA_String - Not Used]],cha_mc[VisualId],MC_Check!$H$2)</f>
        <v>0</v>
      </c>
      <c r="AK13" s="36">
        <v>2</v>
      </c>
      <c r="AL13" s="36">
        <v>10</v>
      </c>
      <c r="AM13" s="37" t="str">
        <f>"CH"&amp;memss[[#This Row],[location]]</f>
        <v>CH10</v>
      </c>
      <c r="AN13" s="37" t="b">
        <f>memss[[#This Row],[MEMSS_Hitter_Count]]&gt;0</f>
        <v>0</v>
      </c>
      <c r="AO13" s="37" t="str">
        <f>_xlfn.TEXTJOIN("",,"*SOCKET0**SOC**MEMSS**B2CMI",memss[[#This Row],[location]],splitchar,"MCI*STATUS*SHADOW*")</f>
        <v>*SOCKET0**SOC**MEMSS**B2CMI10__MCI*STATUS*SHADOW*</v>
      </c>
      <c r="AP13" s="37">
        <f>COUNTIFS(cha_mc[TestName],memss[[#This Row],[MEMMS_MCA_String]],cha_mc[VisualId],MC_Check!$H$2)</f>
        <v>0</v>
      </c>
    </row>
    <row r="14" spans="1:52" x14ac:dyDescent="0.3">
      <c r="D14" t="s">
        <v>81</v>
      </c>
      <c r="F14">
        <v>0</v>
      </c>
      <c r="G14">
        <v>11</v>
      </c>
      <c r="H14" s="61">
        <f>IF(MC_Check!$AN$2="PHY",misc[[#This Row],[location]],misc[[#This Row],[Module_log]])</f>
        <v>11</v>
      </c>
      <c r="I14" s="61">
        <f>misc[[#This Row],[Module]]</f>
        <v>11</v>
      </c>
      <c r="J14" s="61">
        <f t="shared" si="1"/>
        <v>1</v>
      </c>
      <c r="K14" s="61">
        <f t="shared" si="0"/>
        <v>2</v>
      </c>
      <c r="L14" s="61">
        <v>3</v>
      </c>
      <c r="M14" s="61" t="str">
        <f>_xlfn.TEXTJOIN("",,misc[[#This Row],[ROW]],misc[[#This Row],[ROW]])</f>
        <v>22</v>
      </c>
      <c r="N14" s="5" t="b">
        <f>misc[[#This Row],[Core_Hitter_Count]]&gt;0</f>
        <v>0</v>
      </c>
      <c r="O14" t="b">
        <f>misc[[#This Row],[LLC_Hitter_Count]]&gt;0</f>
        <v>0</v>
      </c>
      <c r="P14" t="b">
        <f>misc[[#This Row],[CHA_Hitter_Count]]&gt;0</f>
        <v>0</v>
      </c>
      <c r="Q14" t="str">
        <f>_xlfn.TEXTJOIN("",,"*SOCKET0**CBB",misc[[#This Row],[CBB]],"**BASE**I_CCF_ENV",misc[[#This Row],[ENV]],splitchar,"CBREGS_ALL",misc[[#This Row],[CBO]],splitchar,"MC_STATUS*")</f>
        <v>*SOCKET0**CBB0**BASE**I_CCF_ENV3__CBREGS_ALL22__MC_STATUS*</v>
      </c>
      <c r="R14">
        <f>COUNTIFS(cha_mc[TestName],misc[[#This Row],[CBO_MCA_String]],cha_mc[VisualId],MC_Check!$H$2)</f>
        <v>0</v>
      </c>
      <c r="S14" t="str">
        <f>_xlfn.TEXTJOIN("",,"*SOCKET0**CBB",misc[[#This Row],[CBB]],"**COMPUTE",misc[[#This Row],[Compute]],"**MODULE",misc[[#This Row],[Module]],splitchar,"**CORE**IFU*CR*MC0*STATUS**")</f>
        <v>*SOCKET0**CBB0**COMPUTE1**MODULE11__**CORE**IFU*CR*MC0*STATUS**</v>
      </c>
      <c r="T14">
        <f>COUNTIFS(core_mc[TestName],misc[[#This Row],[IFU_MCA_String]],core_mc[VisualId],MC_Check!$H$2)</f>
        <v>0</v>
      </c>
      <c r="U14" t="str">
        <f>_xlfn.TEXTJOIN("",,"*SOCKET0**CBB",misc[[#This Row],[CBB]],"**COMPUTE",misc[[#This Row],[Compute]],"**MODULE",misc[[#This Row],[Module]],splitchar,"**CORE**ROB1*CR*MC*STATUS**")</f>
        <v>*SOCKET0**CBB0**COMPUTE1**MODULE11__**CORE**ROB1*CR*MC*STATUS**</v>
      </c>
      <c r="V14">
        <f>COUNTIFS(core_mc[TestName],misc[[#This Row],[ROB_MCA_String]],core_mc[VisualId],MC_Check!$H$2)</f>
        <v>0</v>
      </c>
      <c r="W14" t="str">
        <f>_xlfn.TEXTJOIN("",,"*SOCKET0**CBB",misc[[#This Row],[CBB]],"**COMPUTE",misc[[#This Row],[Compute]],"**MODULE",misc[[#This Row],[Module]],splitchar,"**CORE**DCU*CR*MC1*STATUS**")</f>
        <v>*SOCKET0**CBB0**COMPUTE1**MODULE11__**CORE**DCU*CR*MC1*STATUS**</v>
      </c>
      <c r="X14">
        <f>COUNTIFS(core_mc[TestName],misc[[#This Row],[DCU_MCA_String]],core_mc[VisualId],MC_Check!$H$2)</f>
        <v>0</v>
      </c>
      <c r="Y14" t="str">
        <f>_xlfn.TEXTJOIN("",,"*SOCKET0**CBB",misc[[#This Row],[CBB]],"**COMPUTE",misc[[#This Row],[Compute]],"**MODULE",misc[[#This Row],[Module]],splitchar,"**CORE**DTLB*CR*MC2*STATUS**")</f>
        <v>*SOCKET0**CBB0**COMPUTE1**MODULE11__**CORE**DTLB*CR*MC2*STATUS**</v>
      </c>
      <c r="Z14">
        <f>COUNTIFS(core_mc[TestName],misc[[#This Row],[CORE_DTLB_String]],core_mc[VisualId],MC_Check!$H$2)</f>
        <v>0</v>
      </c>
      <c r="AA14" t="str">
        <f>_xlfn.TEXTJOIN("",,"*SOCKET0**CBB",misc[[#This Row],[CBB]],"**COMPUTE",misc[[#This Row],[Compute]],"**MODULE",misc[[#This Row],[Module]],splitchar,"**ML2*CR*MC3*STATUS**")</f>
        <v>*SOCKET0**CBB0**COMPUTE1**MODULE11__**ML2*CR*MC3*STATUS**</v>
      </c>
      <c r="AB14">
        <f>COUNTIFS(core_mc[TestName],misc[[#This Row],[Core_ML2_String]],core_mc[VisualId],MC_Check!$H$2)</f>
        <v>0</v>
      </c>
      <c r="AC14" t="str">
        <f>_xlfn.TEXTJOIN("",,"*SOCKET0**CBB",misc[[#This Row],[CBB]],"**COMPUTE",misc[[#This Row],[Compute]],"**MODULE",misc[[#This Row],[Module]],splitchar,"SPARE")</f>
        <v>*SOCKET0**CBB0**COMPUTE1**MODULE11__SPARE</v>
      </c>
      <c r="AD14">
        <f>COUNTIFS(core_mc[TestName],misc[[#This Row],[Core_L2_String - SPARE]],core_mc[VisualId],MC_Check!$H$2)</f>
        <v>0</v>
      </c>
      <c r="AE14">
        <f>misc[[#This Row],[Core_DTLB_Count]]+misc[[#This Row],[Core_DCU_Count]]+misc[[#This Row],[Core_IFU_Count]]+misc[[#This Row],[Core_ROB_Count]]+misc[[#This Row],[Core_L2_Count - SPARE]]+misc[[#This Row],[Core_ML2_Count]]</f>
        <v>0</v>
      </c>
      <c r="AF14" t="str">
        <f>_xlfn.TEXTJOIN(", ",,IF(misc[[#This Row],[Core_IFU_Count]]&gt;0,"IFU",""),IF(misc[[#This Row],[Core_DCU_Count]]&gt;0,"DCU",""),IF(misc[[#This Row],[Core_DTLB_Count]]&gt;0,"DTLB",""),IF(misc[[#This Row],[Core_ROB_Count]]&gt;0,"ROB",""),IF(misc[[#This Row],[Core_ML2_Count]]&gt;0,"ML2",""),IF(misc[[#This Row],[Core_L2_Count - SPARE]]&gt;0,"L2",""))</f>
        <v/>
      </c>
      <c r="AG14" t="str">
        <f>_xlfn.TEXTJOIN("",,"*SOCKET0**CBB",misc[[#This Row],[CBB]],"**BASE**I_CCF**ENV",misc[[#This Row],[ENV]],splitchar,"CBREGS_ALL",misc[[#This Row],[CBO]],splitchar,"SPARE")</f>
        <v>*SOCKET0**CBB0**BASE**I_CCF**ENV3__CBREGS_ALL22__SPARE</v>
      </c>
      <c r="AH14">
        <f>COUNTIFS(cha_mc[TestName],misc[[#This Row],[LLC_MCA_String - Not Used]],cha_mc[VisualId],MC_Check!$H$2)</f>
        <v>0</v>
      </c>
      <c r="AK14" s="36">
        <v>2</v>
      </c>
      <c r="AL14" s="36">
        <v>11</v>
      </c>
      <c r="AM14" s="37" t="str">
        <f>"CH"&amp;memss[[#This Row],[location]]</f>
        <v>CH11</v>
      </c>
      <c r="AN14" s="37" t="b">
        <f>memss[[#This Row],[MEMSS_Hitter_Count]]&gt;0</f>
        <v>0</v>
      </c>
      <c r="AO14" s="37" t="str">
        <f>_xlfn.TEXTJOIN("",,"*SOCKET0**SOC**MEMSS**B2CMI",memss[[#This Row],[location]],splitchar,"MCI*STATUS*SHADOW*")</f>
        <v>*SOCKET0**SOC**MEMSS**B2CMI11__MCI*STATUS*SHADOW*</v>
      </c>
      <c r="AP14" s="37">
        <f>COUNTIFS(cha_mc[TestName],memss[[#This Row],[MEMMS_MCA_String]],cha_mc[VisualId],MC_Check!$H$2)</f>
        <v>0</v>
      </c>
    </row>
    <row r="15" spans="1:52" x14ac:dyDescent="0.3">
      <c r="D15" t="s">
        <v>82</v>
      </c>
      <c r="F15">
        <v>0</v>
      </c>
      <c r="G15">
        <v>12</v>
      </c>
      <c r="H15" s="61">
        <f>IF(MC_Check!$AN$2="PHY",misc[[#This Row],[location]],misc[[#This Row],[Module_log]])</f>
        <v>12</v>
      </c>
      <c r="I15" s="61">
        <f>misc[[#This Row],[Module]]</f>
        <v>12</v>
      </c>
      <c r="J15" s="61">
        <f t="shared" si="1"/>
        <v>1</v>
      </c>
      <c r="K15" s="61">
        <f>K11+1</f>
        <v>3</v>
      </c>
      <c r="L15" s="61">
        <v>0</v>
      </c>
      <c r="M15" s="61" t="str">
        <f>_xlfn.TEXTJOIN("",,misc[[#This Row],[ROW]],misc[[#This Row],[ROW]])</f>
        <v>33</v>
      </c>
      <c r="N15" s="5" t="b">
        <f>misc[[#This Row],[Core_Hitter_Count]]&gt;0</f>
        <v>0</v>
      </c>
      <c r="O15" t="b">
        <f>misc[[#This Row],[LLC_Hitter_Count]]&gt;0</f>
        <v>0</v>
      </c>
      <c r="P15" t="b">
        <f>misc[[#This Row],[CHA_Hitter_Count]]&gt;0</f>
        <v>0</v>
      </c>
      <c r="Q15" t="str">
        <f>_xlfn.TEXTJOIN("",,"*SOCKET0**CBB",misc[[#This Row],[CBB]],"**BASE**I_CCF_ENV",misc[[#This Row],[ENV]],splitchar,"CBREGS_ALL",misc[[#This Row],[CBO]],splitchar,"MC_STATUS*")</f>
        <v>*SOCKET0**CBB0**BASE**I_CCF_ENV0__CBREGS_ALL33__MC_STATUS*</v>
      </c>
      <c r="R15">
        <f>COUNTIFS(cha_mc[TestName],misc[[#This Row],[CBO_MCA_String]],cha_mc[VisualId],MC_Check!$H$2)</f>
        <v>0</v>
      </c>
      <c r="S15" t="str">
        <f>_xlfn.TEXTJOIN("",,"*SOCKET0**CBB",misc[[#This Row],[CBB]],"**COMPUTE",misc[[#This Row],[Compute]],"**MODULE",misc[[#This Row],[Module]],splitchar,"**CORE**IFU*CR*MC0*STATUS**")</f>
        <v>*SOCKET0**CBB0**COMPUTE1**MODULE12__**CORE**IFU*CR*MC0*STATUS**</v>
      </c>
      <c r="T15">
        <f>COUNTIFS(core_mc[TestName],misc[[#This Row],[IFU_MCA_String]],core_mc[VisualId],MC_Check!$H$2)</f>
        <v>0</v>
      </c>
      <c r="U15" t="str">
        <f>_xlfn.TEXTJOIN("",,"*SOCKET0**CBB",misc[[#This Row],[CBB]],"**COMPUTE",misc[[#This Row],[Compute]],"**MODULE",misc[[#This Row],[Module]],splitchar,"**CORE**ROB1*CR*MC*STATUS**")</f>
        <v>*SOCKET0**CBB0**COMPUTE1**MODULE12__**CORE**ROB1*CR*MC*STATUS**</v>
      </c>
      <c r="V15">
        <f>COUNTIFS(core_mc[TestName],misc[[#This Row],[ROB_MCA_String]],core_mc[VisualId],MC_Check!$H$2)</f>
        <v>0</v>
      </c>
      <c r="W15" t="str">
        <f>_xlfn.TEXTJOIN("",,"*SOCKET0**CBB",misc[[#This Row],[CBB]],"**COMPUTE",misc[[#This Row],[Compute]],"**MODULE",misc[[#This Row],[Module]],splitchar,"**CORE**DCU*CR*MC1*STATUS**")</f>
        <v>*SOCKET0**CBB0**COMPUTE1**MODULE12__**CORE**DCU*CR*MC1*STATUS**</v>
      </c>
      <c r="X15">
        <f>COUNTIFS(core_mc[TestName],misc[[#This Row],[DCU_MCA_String]],core_mc[VisualId],MC_Check!$H$2)</f>
        <v>0</v>
      </c>
      <c r="Y15" t="str">
        <f>_xlfn.TEXTJOIN("",,"*SOCKET0**CBB",misc[[#This Row],[CBB]],"**COMPUTE",misc[[#This Row],[Compute]],"**MODULE",misc[[#This Row],[Module]],splitchar,"**CORE**DTLB*CR*MC2*STATUS**")</f>
        <v>*SOCKET0**CBB0**COMPUTE1**MODULE12__**CORE**DTLB*CR*MC2*STATUS**</v>
      </c>
      <c r="Z15">
        <f>COUNTIFS(core_mc[TestName],misc[[#This Row],[CORE_DTLB_String]],core_mc[VisualId],MC_Check!$H$2)</f>
        <v>0</v>
      </c>
      <c r="AA15" t="str">
        <f>_xlfn.TEXTJOIN("",,"*SOCKET0**CBB",misc[[#This Row],[CBB]],"**COMPUTE",misc[[#This Row],[Compute]],"**MODULE",misc[[#This Row],[Module]],splitchar,"**ML2*CR*MC3*STATUS**")</f>
        <v>*SOCKET0**CBB0**COMPUTE1**MODULE12__**ML2*CR*MC3*STATUS**</v>
      </c>
      <c r="AB15">
        <f>COUNTIFS(core_mc[TestName],misc[[#This Row],[Core_ML2_String]],core_mc[VisualId],MC_Check!$H$2)</f>
        <v>0</v>
      </c>
      <c r="AC15" t="str">
        <f>_xlfn.TEXTJOIN("",,"*SOCKET0**CBB",misc[[#This Row],[CBB]],"**COMPUTE",misc[[#This Row],[Compute]],"**MODULE",misc[[#This Row],[Module]],splitchar,"SPARE")</f>
        <v>*SOCKET0**CBB0**COMPUTE1**MODULE12__SPARE</v>
      </c>
      <c r="AD15">
        <f>COUNTIFS(core_mc[TestName],misc[[#This Row],[Core_L2_String - SPARE]],core_mc[VisualId],MC_Check!$H$2)</f>
        <v>0</v>
      </c>
      <c r="AE15">
        <f>misc[[#This Row],[Core_DTLB_Count]]+misc[[#This Row],[Core_DCU_Count]]+misc[[#This Row],[Core_IFU_Count]]+misc[[#This Row],[Core_ROB_Count]]+misc[[#This Row],[Core_L2_Count - SPARE]]+misc[[#This Row],[Core_ML2_Count]]</f>
        <v>0</v>
      </c>
      <c r="AF15" t="str">
        <f>_xlfn.TEXTJOIN(", ",,IF(misc[[#This Row],[Core_IFU_Count]]&gt;0,"IFU",""),IF(misc[[#This Row],[Core_DCU_Count]]&gt;0,"DCU",""),IF(misc[[#This Row],[Core_DTLB_Count]]&gt;0,"DTLB",""),IF(misc[[#This Row],[Core_ROB_Count]]&gt;0,"ROB",""),IF(misc[[#This Row],[Core_ML2_Count]]&gt;0,"ML2",""),IF(misc[[#This Row],[Core_L2_Count - SPARE]]&gt;0,"L2",""))</f>
        <v/>
      </c>
      <c r="AG15" t="str">
        <f>_xlfn.TEXTJOIN("",,"*SOCKET0**CBB",misc[[#This Row],[CBB]],"**BASE**I_CCF**ENV",misc[[#This Row],[ENV]],splitchar,"CBREGS_ALL",misc[[#This Row],[CBO]],splitchar,"SPARE")</f>
        <v>*SOCKET0**CBB0**BASE**I_CCF**ENV0__CBREGS_ALL33__SPARE</v>
      </c>
      <c r="AH15">
        <f>COUNTIFS(cha_mc[TestName],misc[[#This Row],[LLC_MCA_String - Not Used]],cha_mc[VisualId],MC_Check!$H$2)</f>
        <v>0</v>
      </c>
      <c r="AK15" s="36"/>
      <c r="AL15" s="36"/>
      <c r="AM15" s="37"/>
      <c r="AN15" s="37"/>
      <c r="AO15" s="37"/>
      <c r="AP15" s="37"/>
    </row>
    <row r="16" spans="1:52" x14ac:dyDescent="0.3">
      <c r="F16">
        <v>0</v>
      </c>
      <c r="G16">
        <v>13</v>
      </c>
      <c r="H16" s="61">
        <f>IF(MC_Check!$AN$2="PHY",misc[[#This Row],[location]],misc[[#This Row],[Module_log]])</f>
        <v>13</v>
      </c>
      <c r="I16" s="61">
        <f>misc[[#This Row],[Module]]</f>
        <v>13</v>
      </c>
      <c r="J16" s="61">
        <f t="shared" si="1"/>
        <v>1</v>
      </c>
      <c r="K16" s="61">
        <f t="shared" si="0"/>
        <v>3</v>
      </c>
      <c r="L16" s="61">
        <v>1</v>
      </c>
      <c r="M16" s="61" t="str">
        <f>_xlfn.TEXTJOIN("",,misc[[#This Row],[ROW]],misc[[#This Row],[ROW]])</f>
        <v>33</v>
      </c>
      <c r="N16" s="5" t="b">
        <f>misc[[#This Row],[Core_Hitter_Count]]&gt;0</f>
        <v>0</v>
      </c>
      <c r="O16" t="b">
        <f>misc[[#This Row],[LLC_Hitter_Count]]&gt;0</f>
        <v>0</v>
      </c>
      <c r="P16" t="b">
        <f>misc[[#This Row],[CHA_Hitter_Count]]&gt;0</f>
        <v>0</v>
      </c>
      <c r="Q16" t="str">
        <f>_xlfn.TEXTJOIN("",,"*SOCKET0**CBB",misc[[#This Row],[CBB]],"**BASE**I_CCF_ENV",misc[[#This Row],[ENV]],splitchar,"CBREGS_ALL",misc[[#This Row],[CBO]],splitchar,"MC_STATUS*")</f>
        <v>*SOCKET0**CBB0**BASE**I_CCF_ENV1__CBREGS_ALL33__MC_STATUS*</v>
      </c>
      <c r="R16">
        <f>COUNTIFS(cha_mc[TestName],misc[[#This Row],[CBO_MCA_String]],cha_mc[VisualId],MC_Check!$H$2)</f>
        <v>0</v>
      </c>
      <c r="S16" t="str">
        <f>_xlfn.TEXTJOIN("",,"*SOCKET0**CBB",misc[[#This Row],[CBB]],"**COMPUTE",misc[[#This Row],[Compute]],"**MODULE",misc[[#This Row],[Module]],splitchar,"**CORE**IFU*CR*MC0*STATUS**")</f>
        <v>*SOCKET0**CBB0**COMPUTE1**MODULE13__**CORE**IFU*CR*MC0*STATUS**</v>
      </c>
      <c r="T16">
        <f>COUNTIFS(core_mc[TestName],misc[[#This Row],[IFU_MCA_String]],core_mc[VisualId],MC_Check!$H$2)</f>
        <v>0</v>
      </c>
      <c r="U16" t="str">
        <f>_xlfn.TEXTJOIN("",,"*SOCKET0**CBB",misc[[#This Row],[CBB]],"**COMPUTE",misc[[#This Row],[Compute]],"**MODULE",misc[[#This Row],[Module]],splitchar,"**CORE**ROB1*CR*MC*STATUS**")</f>
        <v>*SOCKET0**CBB0**COMPUTE1**MODULE13__**CORE**ROB1*CR*MC*STATUS**</v>
      </c>
      <c r="V16">
        <f>COUNTIFS(core_mc[TestName],misc[[#This Row],[ROB_MCA_String]],core_mc[VisualId],MC_Check!$H$2)</f>
        <v>0</v>
      </c>
      <c r="W16" t="str">
        <f>_xlfn.TEXTJOIN("",,"*SOCKET0**CBB",misc[[#This Row],[CBB]],"**COMPUTE",misc[[#This Row],[Compute]],"**MODULE",misc[[#This Row],[Module]],splitchar,"**CORE**DCU*CR*MC1*STATUS**")</f>
        <v>*SOCKET0**CBB0**COMPUTE1**MODULE13__**CORE**DCU*CR*MC1*STATUS**</v>
      </c>
      <c r="X16">
        <f>COUNTIFS(core_mc[TestName],misc[[#This Row],[DCU_MCA_String]],core_mc[VisualId],MC_Check!$H$2)</f>
        <v>0</v>
      </c>
      <c r="Y16" t="str">
        <f>_xlfn.TEXTJOIN("",,"*SOCKET0**CBB",misc[[#This Row],[CBB]],"**COMPUTE",misc[[#This Row],[Compute]],"**MODULE",misc[[#This Row],[Module]],splitchar,"**CORE**DTLB*CR*MC2*STATUS**")</f>
        <v>*SOCKET0**CBB0**COMPUTE1**MODULE13__**CORE**DTLB*CR*MC2*STATUS**</v>
      </c>
      <c r="Z16">
        <f>COUNTIFS(core_mc[TestName],misc[[#This Row],[CORE_DTLB_String]],core_mc[VisualId],MC_Check!$H$2)</f>
        <v>0</v>
      </c>
      <c r="AA16" t="str">
        <f>_xlfn.TEXTJOIN("",,"*SOCKET0**CBB",misc[[#This Row],[CBB]],"**COMPUTE",misc[[#This Row],[Compute]],"**MODULE",misc[[#This Row],[Module]],splitchar,"**ML2*CR*MC3*STATUS**")</f>
        <v>*SOCKET0**CBB0**COMPUTE1**MODULE13__**ML2*CR*MC3*STATUS**</v>
      </c>
      <c r="AB16">
        <f>COUNTIFS(core_mc[TestName],misc[[#This Row],[Core_ML2_String]],core_mc[VisualId],MC_Check!$H$2)</f>
        <v>0</v>
      </c>
      <c r="AC16" t="str">
        <f>_xlfn.TEXTJOIN("",,"*SOCKET0**CBB",misc[[#This Row],[CBB]],"**COMPUTE",misc[[#This Row],[Compute]],"**MODULE",misc[[#This Row],[Module]],splitchar,"SPARE")</f>
        <v>*SOCKET0**CBB0**COMPUTE1**MODULE13__SPARE</v>
      </c>
      <c r="AD16">
        <f>COUNTIFS(core_mc[TestName],misc[[#This Row],[Core_L2_String - SPARE]],core_mc[VisualId],MC_Check!$H$2)</f>
        <v>0</v>
      </c>
      <c r="AE16">
        <f>misc[[#This Row],[Core_DTLB_Count]]+misc[[#This Row],[Core_DCU_Count]]+misc[[#This Row],[Core_IFU_Count]]+misc[[#This Row],[Core_ROB_Count]]+misc[[#This Row],[Core_L2_Count - SPARE]]+misc[[#This Row],[Core_ML2_Count]]</f>
        <v>0</v>
      </c>
      <c r="AF16" t="str">
        <f>_xlfn.TEXTJOIN(", ",,IF(misc[[#This Row],[Core_IFU_Count]]&gt;0,"IFU",""),IF(misc[[#This Row],[Core_DCU_Count]]&gt;0,"DCU",""),IF(misc[[#This Row],[Core_DTLB_Count]]&gt;0,"DTLB",""),IF(misc[[#This Row],[Core_ROB_Count]]&gt;0,"ROB",""),IF(misc[[#This Row],[Core_ML2_Count]]&gt;0,"ML2",""),IF(misc[[#This Row],[Core_L2_Count - SPARE]]&gt;0,"L2",""))</f>
        <v/>
      </c>
      <c r="AG16" t="str">
        <f>_xlfn.TEXTJOIN("",,"*SOCKET0**CBB",misc[[#This Row],[CBB]],"**BASE**I_CCF**ENV",misc[[#This Row],[ENV]],splitchar,"CBREGS_ALL",misc[[#This Row],[CBO]],splitchar,"SPARE")</f>
        <v>*SOCKET0**CBB0**BASE**I_CCF**ENV1__CBREGS_ALL33__SPARE</v>
      </c>
      <c r="AH16">
        <f>COUNTIFS(cha_mc[TestName],misc[[#This Row],[LLC_MCA_String - Not Used]],cha_mc[VisualId],MC_Check!$H$2)</f>
        <v>0</v>
      </c>
    </row>
    <row r="17" spans="6:34" x14ac:dyDescent="0.3">
      <c r="F17">
        <v>0</v>
      </c>
      <c r="G17">
        <v>14</v>
      </c>
      <c r="H17" s="61">
        <f>IF(MC_Check!$AN$2="PHY",misc[[#This Row],[location]],misc[[#This Row],[Module_log]])</f>
        <v>14</v>
      </c>
      <c r="I17" s="61">
        <f>misc[[#This Row],[Module]]</f>
        <v>14</v>
      </c>
      <c r="J17" s="61">
        <f t="shared" si="1"/>
        <v>1</v>
      </c>
      <c r="K17" s="61">
        <f t="shared" si="0"/>
        <v>3</v>
      </c>
      <c r="L17" s="61">
        <v>2</v>
      </c>
      <c r="M17" s="61" t="str">
        <f>_xlfn.TEXTJOIN("",,misc[[#This Row],[ROW]],misc[[#This Row],[ROW]])</f>
        <v>33</v>
      </c>
      <c r="N17" s="5" t="b">
        <f>misc[[#This Row],[Core_Hitter_Count]]&gt;0</f>
        <v>0</v>
      </c>
      <c r="O17" t="b">
        <f>misc[[#This Row],[LLC_Hitter_Count]]&gt;0</f>
        <v>0</v>
      </c>
      <c r="P17" t="b">
        <f>misc[[#This Row],[CHA_Hitter_Count]]&gt;0</f>
        <v>0</v>
      </c>
      <c r="Q17" t="str">
        <f>_xlfn.TEXTJOIN("",,"*SOCKET0**CBB",misc[[#This Row],[CBB]],"**BASE**I_CCF_ENV",misc[[#This Row],[ENV]],splitchar,"CBREGS_ALL",misc[[#This Row],[CBO]],splitchar,"MC_STATUS*")</f>
        <v>*SOCKET0**CBB0**BASE**I_CCF_ENV2__CBREGS_ALL33__MC_STATUS*</v>
      </c>
      <c r="R17">
        <f>COUNTIFS(cha_mc[TestName],misc[[#This Row],[CBO_MCA_String]],cha_mc[VisualId],MC_Check!$H$2)</f>
        <v>0</v>
      </c>
      <c r="S17" t="str">
        <f>_xlfn.TEXTJOIN("",,"*SOCKET0**CBB",misc[[#This Row],[CBB]],"**COMPUTE",misc[[#This Row],[Compute]],"**MODULE",misc[[#This Row],[Module]],splitchar,"**CORE**IFU*CR*MC0*STATUS**")</f>
        <v>*SOCKET0**CBB0**COMPUTE1**MODULE14__**CORE**IFU*CR*MC0*STATUS**</v>
      </c>
      <c r="T17">
        <f>COUNTIFS(core_mc[TestName],misc[[#This Row],[IFU_MCA_String]],core_mc[VisualId],MC_Check!$H$2)</f>
        <v>0</v>
      </c>
      <c r="U17" t="str">
        <f>_xlfn.TEXTJOIN("",,"*SOCKET0**CBB",misc[[#This Row],[CBB]],"**COMPUTE",misc[[#This Row],[Compute]],"**MODULE",misc[[#This Row],[Module]],splitchar,"**CORE**ROB1*CR*MC*STATUS**")</f>
        <v>*SOCKET0**CBB0**COMPUTE1**MODULE14__**CORE**ROB1*CR*MC*STATUS**</v>
      </c>
      <c r="V17">
        <f>COUNTIFS(core_mc[TestName],misc[[#This Row],[ROB_MCA_String]],core_mc[VisualId],MC_Check!$H$2)</f>
        <v>0</v>
      </c>
      <c r="W17" t="str">
        <f>_xlfn.TEXTJOIN("",,"*SOCKET0**CBB",misc[[#This Row],[CBB]],"**COMPUTE",misc[[#This Row],[Compute]],"**MODULE",misc[[#This Row],[Module]],splitchar,"**CORE**DCU*CR*MC1*STATUS**")</f>
        <v>*SOCKET0**CBB0**COMPUTE1**MODULE14__**CORE**DCU*CR*MC1*STATUS**</v>
      </c>
      <c r="X17">
        <f>COUNTIFS(core_mc[TestName],misc[[#This Row],[DCU_MCA_String]],core_mc[VisualId],MC_Check!$H$2)</f>
        <v>0</v>
      </c>
      <c r="Y17" t="str">
        <f>_xlfn.TEXTJOIN("",,"*SOCKET0**CBB",misc[[#This Row],[CBB]],"**COMPUTE",misc[[#This Row],[Compute]],"**MODULE",misc[[#This Row],[Module]],splitchar,"**CORE**DTLB*CR*MC2*STATUS**")</f>
        <v>*SOCKET0**CBB0**COMPUTE1**MODULE14__**CORE**DTLB*CR*MC2*STATUS**</v>
      </c>
      <c r="Z17">
        <f>COUNTIFS(core_mc[TestName],misc[[#This Row],[CORE_DTLB_String]],core_mc[VisualId],MC_Check!$H$2)</f>
        <v>0</v>
      </c>
      <c r="AA17" t="str">
        <f>_xlfn.TEXTJOIN("",,"*SOCKET0**CBB",misc[[#This Row],[CBB]],"**COMPUTE",misc[[#This Row],[Compute]],"**MODULE",misc[[#This Row],[Module]],splitchar,"**ML2*CR*MC3*STATUS**")</f>
        <v>*SOCKET0**CBB0**COMPUTE1**MODULE14__**ML2*CR*MC3*STATUS**</v>
      </c>
      <c r="AB17">
        <f>COUNTIFS(core_mc[TestName],misc[[#This Row],[Core_ML2_String]],core_mc[VisualId],MC_Check!$H$2)</f>
        <v>0</v>
      </c>
      <c r="AC17" t="str">
        <f>_xlfn.TEXTJOIN("",,"*SOCKET0**CBB",misc[[#This Row],[CBB]],"**COMPUTE",misc[[#This Row],[Compute]],"**MODULE",misc[[#This Row],[Module]],splitchar,"SPARE")</f>
        <v>*SOCKET0**CBB0**COMPUTE1**MODULE14__SPARE</v>
      </c>
      <c r="AD17">
        <f>COUNTIFS(core_mc[TestName],misc[[#This Row],[Core_L2_String - SPARE]],core_mc[VisualId],MC_Check!$H$2)</f>
        <v>0</v>
      </c>
      <c r="AE17">
        <f>misc[[#This Row],[Core_DTLB_Count]]+misc[[#This Row],[Core_DCU_Count]]+misc[[#This Row],[Core_IFU_Count]]+misc[[#This Row],[Core_ROB_Count]]+misc[[#This Row],[Core_L2_Count - SPARE]]+misc[[#This Row],[Core_ML2_Count]]</f>
        <v>0</v>
      </c>
      <c r="AF17" t="str">
        <f>_xlfn.TEXTJOIN(", ",,IF(misc[[#This Row],[Core_IFU_Count]]&gt;0,"IFU",""),IF(misc[[#This Row],[Core_DCU_Count]]&gt;0,"DCU",""),IF(misc[[#This Row],[Core_DTLB_Count]]&gt;0,"DTLB",""),IF(misc[[#This Row],[Core_ROB_Count]]&gt;0,"ROB",""),IF(misc[[#This Row],[Core_ML2_Count]]&gt;0,"ML2",""),IF(misc[[#This Row],[Core_L2_Count - SPARE]]&gt;0,"L2",""))</f>
        <v/>
      </c>
      <c r="AG17" t="str">
        <f>_xlfn.TEXTJOIN("",,"*SOCKET0**CBB",misc[[#This Row],[CBB]],"**BASE**I_CCF**ENV",misc[[#This Row],[ENV]],splitchar,"CBREGS_ALL",misc[[#This Row],[CBO]],splitchar,"SPARE")</f>
        <v>*SOCKET0**CBB0**BASE**I_CCF**ENV2__CBREGS_ALL33__SPARE</v>
      </c>
      <c r="AH17">
        <f>COUNTIFS(cha_mc[TestName],misc[[#This Row],[LLC_MCA_String - Not Used]],cha_mc[VisualId],MC_Check!$H$2)</f>
        <v>0</v>
      </c>
    </row>
    <row r="18" spans="6:34" x14ac:dyDescent="0.3">
      <c r="F18">
        <v>0</v>
      </c>
      <c r="G18">
        <v>15</v>
      </c>
      <c r="H18" s="61">
        <f>IF(MC_Check!$AN$2="PHY",misc[[#This Row],[location]],misc[[#This Row],[Module_log]])</f>
        <v>15</v>
      </c>
      <c r="I18" s="61">
        <f>misc[[#This Row],[Module]]</f>
        <v>15</v>
      </c>
      <c r="J18" s="61">
        <f t="shared" si="1"/>
        <v>1</v>
      </c>
      <c r="K18" s="61">
        <f t="shared" si="0"/>
        <v>3</v>
      </c>
      <c r="L18" s="61">
        <v>3</v>
      </c>
      <c r="M18" s="61" t="str">
        <f>_xlfn.TEXTJOIN("",,misc[[#This Row],[ROW]],misc[[#This Row],[ROW]])</f>
        <v>33</v>
      </c>
      <c r="N18" s="5" t="b">
        <f>misc[[#This Row],[Core_Hitter_Count]]&gt;0</f>
        <v>0</v>
      </c>
      <c r="O18" t="b">
        <f>misc[[#This Row],[LLC_Hitter_Count]]&gt;0</f>
        <v>0</v>
      </c>
      <c r="P18" t="b">
        <f>misc[[#This Row],[CHA_Hitter_Count]]&gt;0</f>
        <v>0</v>
      </c>
      <c r="Q18" t="str">
        <f>_xlfn.TEXTJOIN("",,"*SOCKET0**CBB",misc[[#This Row],[CBB]],"**BASE**I_CCF_ENV",misc[[#This Row],[ENV]],splitchar,"CBREGS_ALL",misc[[#This Row],[CBO]],splitchar,"MC_STATUS*")</f>
        <v>*SOCKET0**CBB0**BASE**I_CCF_ENV3__CBREGS_ALL33__MC_STATUS*</v>
      </c>
      <c r="R18">
        <f>COUNTIFS(cha_mc[TestName],misc[[#This Row],[CBO_MCA_String]],cha_mc[VisualId],MC_Check!$H$2)</f>
        <v>0</v>
      </c>
      <c r="S18" t="str">
        <f>_xlfn.TEXTJOIN("",,"*SOCKET0**CBB",misc[[#This Row],[CBB]],"**COMPUTE",misc[[#This Row],[Compute]],"**MODULE",misc[[#This Row],[Module]],splitchar,"**CORE**IFU*CR*MC0*STATUS**")</f>
        <v>*SOCKET0**CBB0**COMPUTE1**MODULE15__**CORE**IFU*CR*MC0*STATUS**</v>
      </c>
      <c r="T18">
        <f>COUNTIFS(core_mc[TestName],misc[[#This Row],[IFU_MCA_String]],core_mc[VisualId],MC_Check!$H$2)</f>
        <v>0</v>
      </c>
      <c r="U18" t="str">
        <f>_xlfn.TEXTJOIN("",,"*SOCKET0**CBB",misc[[#This Row],[CBB]],"**COMPUTE",misc[[#This Row],[Compute]],"**MODULE",misc[[#This Row],[Module]],splitchar,"**CORE**ROB1*CR*MC*STATUS**")</f>
        <v>*SOCKET0**CBB0**COMPUTE1**MODULE15__**CORE**ROB1*CR*MC*STATUS**</v>
      </c>
      <c r="V18">
        <f>COUNTIFS(core_mc[TestName],misc[[#This Row],[ROB_MCA_String]],core_mc[VisualId],MC_Check!$H$2)</f>
        <v>0</v>
      </c>
      <c r="W18" t="str">
        <f>_xlfn.TEXTJOIN("",,"*SOCKET0**CBB",misc[[#This Row],[CBB]],"**COMPUTE",misc[[#This Row],[Compute]],"**MODULE",misc[[#This Row],[Module]],splitchar,"**CORE**DCU*CR*MC1*STATUS**")</f>
        <v>*SOCKET0**CBB0**COMPUTE1**MODULE15__**CORE**DCU*CR*MC1*STATUS**</v>
      </c>
      <c r="X18">
        <f>COUNTIFS(core_mc[TestName],misc[[#This Row],[DCU_MCA_String]],core_mc[VisualId],MC_Check!$H$2)</f>
        <v>0</v>
      </c>
      <c r="Y18" t="str">
        <f>_xlfn.TEXTJOIN("",,"*SOCKET0**CBB",misc[[#This Row],[CBB]],"**COMPUTE",misc[[#This Row],[Compute]],"**MODULE",misc[[#This Row],[Module]],splitchar,"**CORE**DTLB*CR*MC2*STATUS**")</f>
        <v>*SOCKET0**CBB0**COMPUTE1**MODULE15__**CORE**DTLB*CR*MC2*STATUS**</v>
      </c>
      <c r="Z18">
        <f>COUNTIFS(core_mc[TestName],misc[[#This Row],[CORE_DTLB_String]],core_mc[VisualId],MC_Check!$H$2)</f>
        <v>0</v>
      </c>
      <c r="AA18" t="str">
        <f>_xlfn.TEXTJOIN("",,"*SOCKET0**CBB",misc[[#This Row],[CBB]],"**COMPUTE",misc[[#This Row],[Compute]],"**MODULE",misc[[#This Row],[Module]],splitchar,"**ML2*CR*MC3*STATUS**")</f>
        <v>*SOCKET0**CBB0**COMPUTE1**MODULE15__**ML2*CR*MC3*STATUS**</v>
      </c>
      <c r="AB18">
        <f>COUNTIFS(core_mc[TestName],misc[[#This Row],[Core_ML2_String]],core_mc[VisualId],MC_Check!$H$2)</f>
        <v>0</v>
      </c>
      <c r="AC18" t="str">
        <f>_xlfn.TEXTJOIN("",,"*SOCKET0**CBB",misc[[#This Row],[CBB]],"**COMPUTE",misc[[#This Row],[Compute]],"**MODULE",misc[[#This Row],[Module]],splitchar,"SPARE")</f>
        <v>*SOCKET0**CBB0**COMPUTE1**MODULE15__SPARE</v>
      </c>
      <c r="AD18">
        <f>COUNTIFS(core_mc[TestName],misc[[#This Row],[Core_L2_String - SPARE]],core_mc[VisualId],MC_Check!$H$2)</f>
        <v>0</v>
      </c>
      <c r="AE18">
        <f>misc[[#This Row],[Core_DTLB_Count]]+misc[[#This Row],[Core_DCU_Count]]+misc[[#This Row],[Core_IFU_Count]]+misc[[#This Row],[Core_ROB_Count]]+misc[[#This Row],[Core_L2_Count - SPARE]]+misc[[#This Row],[Core_ML2_Count]]</f>
        <v>0</v>
      </c>
      <c r="AF18" t="str">
        <f>_xlfn.TEXTJOIN(", ",,IF(misc[[#This Row],[Core_IFU_Count]]&gt;0,"IFU",""),IF(misc[[#This Row],[Core_DCU_Count]]&gt;0,"DCU",""),IF(misc[[#This Row],[Core_DTLB_Count]]&gt;0,"DTLB",""),IF(misc[[#This Row],[Core_ROB_Count]]&gt;0,"ROB",""),IF(misc[[#This Row],[Core_ML2_Count]]&gt;0,"ML2",""),IF(misc[[#This Row],[Core_L2_Count - SPARE]]&gt;0,"L2",""))</f>
        <v/>
      </c>
      <c r="AG18" t="str">
        <f>_xlfn.TEXTJOIN("",,"*SOCKET0**CBB",misc[[#This Row],[CBB]],"**BASE**I_CCF**ENV",misc[[#This Row],[ENV]],splitchar,"CBREGS_ALL",misc[[#This Row],[CBO]],splitchar,"SPARE")</f>
        <v>*SOCKET0**CBB0**BASE**I_CCF**ENV3__CBREGS_ALL33__SPARE</v>
      </c>
      <c r="AH18">
        <f>COUNTIFS(cha_mc[TestName],misc[[#This Row],[LLC_MCA_String - Not Used]],cha_mc[VisualId],MC_Check!$H$2)</f>
        <v>0</v>
      </c>
    </row>
    <row r="19" spans="6:34" x14ac:dyDescent="0.3">
      <c r="F19">
        <v>0</v>
      </c>
      <c r="G19">
        <v>16</v>
      </c>
      <c r="H19" s="61">
        <f>IF(MC_Check!$AN$2="PHY",misc[[#This Row],[location]],misc[[#This Row],[Module_log]])</f>
        <v>16</v>
      </c>
      <c r="I19" s="61">
        <f>misc[[#This Row],[Module]]</f>
        <v>16</v>
      </c>
      <c r="J19" s="61">
        <f t="shared" si="1"/>
        <v>2</v>
      </c>
      <c r="K19" s="61">
        <f>K15+1</f>
        <v>4</v>
      </c>
      <c r="L19" s="61">
        <v>0</v>
      </c>
      <c r="M19" s="61" t="str">
        <f>_xlfn.TEXTJOIN("",,misc[[#This Row],[ROW]],misc[[#This Row],[ROW]])</f>
        <v>44</v>
      </c>
      <c r="N19" s="5" t="b">
        <f>misc[[#This Row],[Core_Hitter_Count]]&gt;0</f>
        <v>0</v>
      </c>
      <c r="O19" t="b">
        <f>misc[[#This Row],[LLC_Hitter_Count]]&gt;0</f>
        <v>0</v>
      </c>
      <c r="P19" t="b">
        <f>misc[[#This Row],[CHA_Hitter_Count]]&gt;0</f>
        <v>0</v>
      </c>
      <c r="Q19" t="str">
        <f>_xlfn.TEXTJOIN("",,"*SOCKET0**CBB",misc[[#This Row],[CBB]],"**BASE**I_CCF_ENV",misc[[#This Row],[ENV]],splitchar,"CBREGS_ALL",misc[[#This Row],[CBO]],splitchar,"MC_STATUS*")</f>
        <v>*SOCKET0**CBB0**BASE**I_CCF_ENV0__CBREGS_ALL44__MC_STATUS*</v>
      </c>
      <c r="R19">
        <f>COUNTIFS(cha_mc[TestName],misc[[#This Row],[CBO_MCA_String]],cha_mc[VisualId],MC_Check!$H$2)</f>
        <v>0</v>
      </c>
      <c r="S19" t="str">
        <f>_xlfn.TEXTJOIN("",,"*SOCKET0**CBB",misc[[#This Row],[CBB]],"**COMPUTE",misc[[#This Row],[Compute]],"**MODULE",misc[[#This Row],[Module]],splitchar,"**CORE**IFU*CR*MC0*STATUS**")</f>
        <v>*SOCKET0**CBB0**COMPUTE2**MODULE16__**CORE**IFU*CR*MC0*STATUS**</v>
      </c>
      <c r="T19">
        <f>COUNTIFS(core_mc[TestName],misc[[#This Row],[IFU_MCA_String]],core_mc[VisualId],MC_Check!$H$2)</f>
        <v>0</v>
      </c>
      <c r="U19" t="str">
        <f>_xlfn.TEXTJOIN("",,"*SOCKET0**CBB",misc[[#This Row],[CBB]],"**COMPUTE",misc[[#This Row],[Compute]],"**MODULE",misc[[#This Row],[Module]],splitchar,"**CORE**ROB1*CR*MC*STATUS**")</f>
        <v>*SOCKET0**CBB0**COMPUTE2**MODULE16__**CORE**ROB1*CR*MC*STATUS**</v>
      </c>
      <c r="V19">
        <f>COUNTIFS(core_mc[TestName],misc[[#This Row],[ROB_MCA_String]],core_mc[VisualId],MC_Check!$H$2)</f>
        <v>0</v>
      </c>
      <c r="W19" t="str">
        <f>_xlfn.TEXTJOIN("",,"*SOCKET0**CBB",misc[[#This Row],[CBB]],"**COMPUTE",misc[[#This Row],[Compute]],"**MODULE",misc[[#This Row],[Module]],splitchar,"**CORE**DCU*CR*MC1*STATUS**")</f>
        <v>*SOCKET0**CBB0**COMPUTE2**MODULE16__**CORE**DCU*CR*MC1*STATUS**</v>
      </c>
      <c r="X19">
        <f>COUNTIFS(core_mc[TestName],misc[[#This Row],[DCU_MCA_String]],core_mc[VisualId],MC_Check!$H$2)</f>
        <v>0</v>
      </c>
      <c r="Y19" t="str">
        <f>_xlfn.TEXTJOIN("",,"*SOCKET0**CBB",misc[[#This Row],[CBB]],"**COMPUTE",misc[[#This Row],[Compute]],"**MODULE",misc[[#This Row],[Module]],splitchar,"**CORE**DTLB*CR*MC2*STATUS**")</f>
        <v>*SOCKET0**CBB0**COMPUTE2**MODULE16__**CORE**DTLB*CR*MC2*STATUS**</v>
      </c>
      <c r="Z19">
        <f>COUNTIFS(core_mc[TestName],misc[[#This Row],[CORE_DTLB_String]],core_mc[VisualId],MC_Check!$H$2)</f>
        <v>0</v>
      </c>
      <c r="AA19" t="str">
        <f>_xlfn.TEXTJOIN("",,"*SOCKET0**CBB",misc[[#This Row],[CBB]],"**COMPUTE",misc[[#This Row],[Compute]],"**MODULE",misc[[#This Row],[Module]],splitchar,"**ML2*CR*MC3*STATUS**")</f>
        <v>*SOCKET0**CBB0**COMPUTE2**MODULE16__**ML2*CR*MC3*STATUS**</v>
      </c>
      <c r="AB19">
        <f>COUNTIFS(core_mc[TestName],misc[[#This Row],[Core_ML2_String]],core_mc[VisualId],MC_Check!$H$2)</f>
        <v>0</v>
      </c>
      <c r="AC19" t="str">
        <f>_xlfn.TEXTJOIN("",,"*SOCKET0**CBB",misc[[#This Row],[CBB]],"**COMPUTE",misc[[#This Row],[Compute]],"**MODULE",misc[[#This Row],[Module]],splitchar,"SPARE")</f>
        <v>*SOCKET0**CBB0**COMPUTE2**MODULE16__SPARE</v>
      </c>
      <c r="AD19">
        <f>COUNTIFS(core_mc[TestName],misc[[#This Row],[Core_L2_String - SPARE]],core_mc[VisualId],MC_Check!$H$2)</f>
        <v>0</v>
      </c>
      <c r="AE19">
        <f>misc[[#This Row],[Core_DTLB_Count]]+misc[[#This Row],[Core_DCU_Count]]+misc[[#This Row],[Core_IFU_Count]]+misc[[#This Row],[Core_ROB_Count]]+misc[[#This Row],[Core_L2_Count - SPARE]]+misc[[#This Row],[Core_ML2_Count]]</f>
        <v>0</v>
      </c>
      <c r="AF19" t="str">
        <f>_xlfn.TEXTJOIN(", ",,IF(misc[[#This Row],[Core_IFU_Count]]&gt;0,"IFU",""),IF(misc[[#This Row],[Core_DCU_Count]]&gt;0,"DCU",""),IF(misc[[#This Row],[Core_DTLB_Count]]&gt;0,"DTLB",""),IF(misc[[#This Row],[Core_ROB_Count]]&gt;0,"ROB",""),IF(misc[[#This Row],[Core_ML2_Count]]&gt;0,"ML2",""),IF(misc[[#This Row],[Core_L2_Count - SPARE]]&gt;0,"L2",""))</f>
        <v/>
      </c>
      <c r="AG19" t="str">
        <f>_xlfn.TEXTJOIN("",,"*SOCKET0**CBB",misc[[#This Row],[CBB]],"**BASE**I_CCF**ENV",misc[[#This Row],[ENV]],splitchar,"CBREGS_ALL",misc[[#This Row],[CBO]],splitchar,"SPARE")</f>
        <v>*SOCKET0**CBB0**BASE**I_CCF**ENV0__CBREGS_ALL44__SPARE</v>
      </c>
      <c r="AH19">
        <f>COUNTIFS(cha_mc[TestName],misc[[#This Row],[LLC_MCA_String - Not Used]],cha_mc[VisualId],MC_Check!$H$2)</f>
        <v>0</v>
      </c>
    </row>
    <row r="20" spans="6:34" x14ac:dyDescent="0.3">
      <c r="F20">
        <v>0</v>
      </c>
      <c r="G20">
        <v>17</v>
      </c>
      <c r="H20" s="61">
        <f>IF(MC_Check!$AN$2="PHY",misc[[#This Row],[location]],misc[[#This Row],[Module_log]])</f>
        <v>17</v>
      </c>
      <c r="I20" s="61">
        <f>misc[[#This Row],[Module]]</f>
        <v>17</v>
      </c>
      <c r="J20" s="61">
        <f t="shared" si="1"/>
        <v>2</v>
      </c>
      <c r="K20" s="61">
        <f t="shared" si="0"/>
        <v>4</v>
      </c>
      <c r="L20" s="61">
        <v>1</v>
      </c>
      <c r="M20" s="61" t="str">
        <f>_xlfn.TEXTJOIN("",,misc[[#This Row],[ROW]],misc[[#This Row],[ROW]])</f>
        <v>44</v>
      </c>
      <c r="N20" s="5" t="b">
        <f>misc[[#This Row],[Core_Hitter_Count]]&gt;0</f>
        <v>0</v>
      </c>
      <c r="O20" t="b">
        <f>misc[[#This Row],[LLC_Hitter_Count]]&gt;0</f>
        <v>0</v>
      </c>
      <c r="P20" t="b">
        <f>misc[[#This Row],[CHA_Hitter_Count]]&gt;0</f>
        <v>0</v>
      </c>
      <c r="Q20" t="str">
        <f>_xlfn.TEXTJOIN("",,"*SOCKET0**CBB",misc[[#This Row],[CBB]],"**BASE**I_CCF_ENV",misc[[#This Row],[ENV]],splitchar,"CBREGS_ALL",misc[[#This Row],[CBO]],splitchar,"MC_STATUS*")</f>
        <v>*SOCKET0**CBB0**BASE**I_CCF_ENV1__CBREGS_ALL44__MC_STATUS*</v>
      </c>
      <c r="R20">
        <f>COUNTIFS(cha_mc[TestName],misc[[#This Row],[CBO_MCA_String]],cha_mc[VisualId],MC_Check!$H$2)</f>
        <v>0</v>
      </c>
      <c r="S20" t="str">
        <f>_xlfn.TEXTJOIN("",,"*SOCKET0**CBB",misc[[#This Row],[CBB]],"**COMPUTE",misc[[#This Row],[Compute]],"**MODULE",misc[[#This Row],[Module]],splitchar,"**CORE**IFU*CR*MC0*STATUS**")</f>
        <v>*SOCKET0**CBB0**COMPUTE2**MODULE17__**CORE**IFU*CR*MC0*STATUS**</v>
      </c>
      <c r="T20">
        <f>COUNTIFS(core_mc[TestName],misc[[#This Row],[IFU_MCA_String]],core_mc[VisualId],MC_Check!$H$2)</f>
        <v>0</v>
      </c>
      <c r="U20" t="str">
        <f>_xlfn.TEXTJOIN("",,"*SOCKET0**CBB",misc[[#This Row],[CBB]],"**COMPUTE",misc[[#This Row],[Compute]],"**MODULE",misc[[#This Row],[Module]],splitchar,"**CORE**ROB1*CR*MC*STATUS**")</f>
        <v>*SOCKET0**CBB0**COMPUTE2**MODULE17__**CORE**ROB1*CR*MC*STATUS**</v>
      </c>
      <c r="V20">
        <f>COUNTIFS(core_mc[TestName],misc[[#This Row],[ROB_MCA_String]],core_mc[VisualId],MC_Check!$H$2)</f>
        <v>0</v>
      </c>
      <c r="W20" t="str">
        <f>_xlfn.TEXTJOIN("",,"*SOCKET0**CBB",misc[[#This Row],[CBB]],"**COMPUTE",misc[[#This Row],[Compute]],"**MODULE",misc[[#This Row],[Module]],splitchar,"**CORE**DCU*CR*MC1*STATUS**")</f>
        <v>*SOCKET0**CBB0**COMPUTE2**MODULE17__**CORE**DCU*CR*MC1*STATUS**</v>
      </c>
      <c r="X20">
        <f>COUNTIFS(core_mc[TestName],misc[[#This Row],[DCU_MCA_String]],core_mc[VisualId],MC_Check!$H$2)</f>
        <v>0</v>
      </c>
      <c r="Y20" t="str">
        <f>_xlfn.TEXTJOIN("",,"*SOCKET0**CBB",misc[[#This Row],[CBB]],"**COMPUTE",misc[[#This Row],[Compute]],"**MODULE",misc[[#This Row],[Module]],splitchar,"**CORE**DTLB*CR*MC2*STATUS**")</f>
        <v>*SOCKET0**CBB0**COMPUTE2**MODULE17__**CORE**DTLB*CR*MC2*STATUS**</v>
      </c>
      <c r="Z20">
        <f>COUNTIFS(core_mc[TestName],misc[[#This Row],[CORE_DTLB_String]],core_mc[VisualId],MC_Check!$H$2)</f>
        <v>0</v>
      </c>
      <c r="AA20" t="str">
        <f>_xlfn.TEXTJOIN("",,"*SOCKET0**CBB",misc[[#This Row],[CBB]],"**COMPUTE",misc[[#This Row],[Compute]],"**MODULE",misc[[#This Row],[Module]],splitchar,"**ML2*CR*MC3*STATUS**")</f>
        <v>*SOCKET0**CBB0**COMPUTE2**MODULE17__**ML2*CR*MC3*STATUS**</v>
      </c>
      <c r="AB20">
        <f>COUNTIFS(core_mc[TestName],misc[[#This Row],[Core_ML2_String]],core_mc[VisualId],MC_Check!$H$2)</f>
        <v>0</v>
      </c>
      <c r="AC20" t="str">
        <f>_xlfn.TEXTJOIN("",,"*SOCKET0**CBB",misc[[#This Row],[CBB]],"**COMPUTE",misc[[#This Row],[Compute]],"**MODULE",misc[[#This Row],[Module]],splitchar,"SPARE")</f>
        <v>*SOCKET0**CBB0**COMPUTE2**MODULE17__SPARE</v>
      </c>
      <c r="AD20">
        <f>COUNTIFS(core_mc[TestName],misc[[#This Row],[Core_L2_String - SPARE]],core_mc[VisualId],MC_Check!$H$2)</f>
        <v>0</v>
      </c>
      <c r="AE20">
        <f>misc[[#This Row],[Core_DTLB_Count]]+misc[[#This Row],[Core_DCU_Count]]+misc[[#This Row],[Core_IFU_Count]]+misc[[#This Row],[Core_ROB_Count]]+misc[[#This Row],[Core_L2_Count - SPARE]]+misc[[#This Row],[Core_ML2_Count]]</f>
        <v>0</v>
      </c>
      <c r="AF20" t="str">
        <f>_xlfn.TEXTJOIN(", ",,IF(misc[[#This Row],[Core_IFU_Count]]&gt;0,"IFU",""),IF(misc[[#This Row],[Core_DCU_Count]]&gt;0,"DCU",""),IF(misc[[#This Row],[Core_DTLB_Count]]&gt;0,"DTLB",""),IF(misc[[#This Row],[Core_ROB_Count]]&gt;0,"ROB",""),IF(misc[[#This Row],[Core_ML2_Count]]&gt;0,"ML2",""),IF(misc[[#This Row],[Core_L2_Count - SPARE]]&gt;0,"L2",""))</f>
        <v/>
      </c>
      <c r="AG20" t="str">
        <f>_xlfn.TEXTJOIN("",,"*SOCKET0**CBB",misc[[#This Row],[CBB]],"**BASE**I_CCF**ENV",misc[[#This Row],[ENV]],splitchar,"CBREGS_ALL",misc[[#This Row],[CBO]],splitchar,"SPARE")</f>
        <v>*SOCKET0**CBB0**BASE**I_CCF**ENV1__CBREGS_ALL44__SPARE</v>
      </c>
      <c r="AH20">
        <f>COUNTIFS(cha_mc[TestName],misc[[#This Row],[LLC_MCA_String - Not Used]],cha_mc[VisualId],MC_Check!$H$2)</f>
        <v>0</v>
      </c>
    </row>
    <row r="21" spans="6:34" x14ac:dyDescent="0.3">
      <c r="F21">
        <v>0</v>
      </c>
      <c r="G21">
        <v>18</v>
      </c>
      <c r="H21" s="61">
        <f>IF(MC_Check!$AN$2="PHY",misc[[#This Row],[location]],misc[[#This Row],[Module_log]])</f>
        <v>18</v>
      </c>
      <c r="I21" s="61">
        <f>misc[[#This Row],[Module]]</f>
        <v>18</v>
      </c>
      <c r="J21" s="61">
        <f t="shared" si="1"/>
        <v>2</v>
      </c>
      <c r="K21" s="61">
        <f t="shared" si="0"/>
        <v>4</v>
      </c>
      <c r="L21" s="61">
        <v>2</v>
      </c>
      <c r="M21" s="61" t="str">
        <f>_xlfn.TEXTJOIN("",,misc[[#This Row],[ROW]],misc[[#This Row],[ROW]])</f>
        <v>44</v>
      </c>
      <c r="N21" s="5" t="b">
        <f>misc[[#This Row],[Core_Hitter_Count]]&gt;0</f>
        <v>0</v>
      </c>
      <c r="O21" t="b">
        <f>misc[[#This Row],[LLC_Hitter_Count]]&gt;0</f>
        <v>0</v>
      </c>
      <c r="P21" t="b">
        <f>misc[[#This Row],[CHA_Hitter_Count]]&gt;0</f>
        <v>0</v>
      </c>
      <c r="Q21" t="str">
        <f>_xlfn.TEXTJOIN("",,"*SOCKET0**CBB",misc[[#This Row],[CBB]],"**BASE**I_CCF_ENV",misc[[#This Row],[ENV]],splitchar,"CBREGS_ALL",misc[[#This Row],[CBO]],splitchar,"MC_STATUS*")</f>
        <v>*SOCKET0**CBB0**BASE**I_CCF_ENV2__CBREGS_ALL44__MC_STATUS*</v>
      </c>
      <c r="R21">
        <f>COUNTIFS(cha_mc[TestName],misc[[#This Row],[CBO_MCA_String]],cha_mc[VisualId],MC_Check!$H$2)</f>
        <v>0</v>
      </c>
      <c r="S21" t="str">
        <f>_xlfn.TEXTJOIN("",,"*SOCKET0**CBB",misc[[#This Row],[CBB]],"**COMPUTE",misc[[#This Row],[Compute]],"**MODULE",misc[[#This Row],[Module]],splitchar,"**CORE**IFU*CR*MC0*STATUS**")</f>
        <v>*SOCKET0**CBB0**COMPUTE2**MODULE18__**CORE**IFU*CR*MC0*STATUS**</v>
      </c>
      <c r="T21">
        <f>COUNTIFS(core_mc[TestName],misc[[#This Row],[IFU_MCA_String]],core_mc[VisualId],MC_Check!$H$2)</f>
        <v>0</v>
      </c>
      <c r="U21" t="str">
        <f>_xlfn.TEXTJOIN("",,"*SOCKET0**CBB",misc[[#This Row],[CBB]],"**COMPUTE",misc[[#This Row],[Compute]],"**MODULE",misc[[#This Row],[Module]],splitchar,"**CORE**ROB1*CR*MC*STATUS**")</f>
        <v>*SOCKET0**CBB0**COMPUTE2**MODULE18__**CORE**ROB1*CR*MC*STATUS**</v>
      </c>
      <c r="V21">
        <f>COUNTIFS(core_mc[TestName],misc[[#This Row],[ROB_MCA_String]],core_mc[VisualId],MC_Check!$H$2)</f>
        <v>0</v>
      </c>
      <c r="W21" t="str">
        <f>_xlfn.TEXTJOIN("",,"*SOCKET0**CBB",misc[[#This Row],[CBB]],"**COMPUTE",misc[[#This Row],[Compute]],"**MODULE",misc[[#This Row],[Module]],splitchar,"**CORE**DCU*CR*MC1*STATUS**")</f>
        <v>*SOCKET0**CBB0**COMPUTE2**MODULE18__**CORE**DCU*CR*MC1*STATUS**</v>
      </c>
      <c r="X21">
        <f>COUNTIFS(core_mc[TestName],misc[[#This Row],[DCU_MCA_String]],core_mc[VisualId],MC_Check!$H$2)</f>
        <v>0</v>
      </c>
      <c r="Y21" t="str">
        <f>_xlfn.TEXTJOIN("",,"*SOCKET0**CBB",misc[[#This Row],[CBB]],"**COMPUTE",misc[[#This Row],[Compute]],"**MODULE",misc[[#This Row],[Module]],splitchar,"**CORE**DTLB*CR*MC2*STATUS**")</f>
        <v>*SOCKET0**CBB0**COMPUTE2**MODULE18__**CORE**DTLB*CR*MC2*STATUS**</v>
      </c>
      <c r="Z21">
        <f>COUNTIFS(core_mc[TestName],misc[[#This Row],[CORE_DTLB_String]],core_mc[VisualId],MC_Check!$H$2)</f>
        <v>0</v>
      </c>
      <c r="AA21" t="str">
        <f>_xlfn.TEXTJOIN("",,"*SOCKET0**CBB",misc[[#This Row],[CBB]],"**COMPUTE",misc[[#This Row],[Compute]],"**MODULE",misc[[#This Row],[Module]],splitchar,"**ML2*CR*MC3*STATUS**")</f>
        <v>*SOCKET0**CBB0**COMPUTE2**MODULE18__**ML2*CR*MC3*STATUS**</v>
      </c>
      <c r="AB21">
        <f>COUNTIFS(core_mc[TestName],misc[[#This Row],[Core_ML2_String]],core_mc[VisualId],MC_Check!$H$2)</f>
        <v>0</v>
      </c>
      <c r="AC21" t="str">
        <f>_xlfn.TEXTJOIN("",,"*SOCKET0**CBB",misc[[#This Row],[CBB]],"**COMPUTE",misc[[#This Row],[Compute]],"**MODULE",misc[[#This Row],[Module]],splitchar,"SPARE")</f>
        <v>*SOCKET0**CBB0**COMPUTE2**MODULE18__SPARE</v>
      </c>
      <c r="AD21">
        <f>COUNTIFS(core_mc[TestName],misc[[#This Row],[Core_L2_String - SPARE]],core_mc[VisualId],MC_Check!$H$2)</f>
        <v>0</v>
      </c>
      <c r="AE21">
        <f>misc[[#This Row],[Core_DTLB_Count]]+misc[[#This Row],[Core_DCU_Count]]+misc[[#This Row],[Core_IFU_Count]]+misc[[#This Row],[Core_ROB_Count]]+misc[[#This Row],[Core_L2_Count - SPARE]]+misc[[#This Row],[Core_ML2_Count]]</f>
        <v>0</v>
      </c>
      <c r="AF21" t="str">
        <f>_xlfn.TEXTJOIN(", ",,IF(misc[[#This Row],[Core_IFU_Count]]&gt;0,"IFU",""),IF(misc[[#This Row],[Core_DCU_Count]]&gt;0,"DCU",""),IF(misc[[#This Row],[Core_DTLB_Count]]&gt;0,"DTLB",""),IF(misc[[#This Row],[Core_ROB_Count]]&gt;0,"ROB",""),IF(misc[[#This Row],[Core_ML2_Count]]&gt;0,"ML2",""),IF(misc[[#This Row],[Core_L2_Count - SPARE]]&gt;0,"L2",""))</f>
        <v/>
      </c>
      <c r="AG21" t="str">
        <f>_xlfn.TEXTJOIN("",,"*SOCKET0**CBB",misc[[#This Row],[CBB]],"**BASE**I_CCF**ENV",misc[[#This Row],[ENV]],splitchar,"CBREGS_ALL",misc[[#This Row],[CBO]],splitchar,"SPARE")</f>
        <v>*SOCKET0**CBB0**BASE**I_CCF**ENV2__CBREGS_ALL44__SPARE</v>
      </c>
      <c r="AH21">
        <f>COUNTIFS(cha_mc[TestName],misc[[#This Row],[LLC_MCA_String - Not Used]],cha_mc[VisualId],MC_Check!$H$2)</f>
        <v>0</v>
      </c>
    </row>
    <row r="22" spans="6:34" x14ac:dyDescent="0.3">
      <c r="F22">
        <v>0</v>
      </c>
      <c r="G22">
        <v>19</v>
      </c>
      <c r="H22" s="61">
        <f>IF(MC_Check!$AN$2="PHY",misc[[#This Row],[location]],misc[[#This Row],[Module_log]])</f>
        <v>19</v>
      </c>
      <c r="I22" s="61">
        <f>misc[[#This Row],[Module]]</f>
        <v>19</v>
      </c>
      <c r="J22" s="61">
        <f t="shared" si="1"/>
        <v>2</v>
      </c>
      <c r="K22" s="61">
        <f t="shared" si="0"/>
        <v>4</v>
      </c>
      <c r="L22" s="61">
        <v>3</v>
      </c>
      <c r="M22" s="61" t="str">
        <f>_xlfn.TEXTJOIN("",,misc[[#This Row],[ROW]],misc[[#This Row],[ROW]])</f>
        <v>44</v>
      </c>
      <c r="N22" s="5" t="b">
        <f>misc[[#This Row],[Core_Hitter_Count]]&gt;0</f>
        <v>0</v>
      </c>
      <c r="O22" t="b">
        <f>misc[[#This Row],[LLC_Hitter_Count]]&gt;0</f>
        <v>0</v>
      </c>
      <c r="P22" t="b">
        <f>misc[[#This Row],[CHA_Hitter_Count]]&gt;0</f>
        <v>0</v>
      </c>
      <c r="Q22" t="str">
        <f>_xlfn.TEXTJOIN("",,"*SOCKET0**CBB",misc[[#This Row],[CBB]],"**BASE**I_CCF_ENV",misc[[#This Row],[ENV]],splitchar,"CBREGS_ALL",misc[[#This Row],[CBO]],splitchar,"MC_STATUS*")</f>
        <v>*SOCKET0**CBB0**BASE**I_CCF_ENV3__CBREGS_ALL44__MC_STATUS*</v>
      </c>
      <c r="R22">
        <f>COUNTIFS(cha_mc[TestName],misc[[#This Row],[CBO_MCA_String]],cha_mc[VisualId],MC_Check!$H$2)</f>
        <v>0</v>
      </c>
      <c r="S22" t="str">
        <f>_xlfn.TEXTJOIN("",,"*SOCKET0**CBB",misc[[#This Row],[CBB]],"**COMPUTE",misc[[#This Row],[Compute]],"**MODULE",misc[[#This Row],[Module]],splitchar,"**CORE**IFU*CR*MC0*STATUS**")</f>
        <v>*SOCKET0**CBB0**COMPUTE2**MODULE19__**CORE**IFU*CR*MC0*STATUS**</v>
      </c>
      <c r="T22">
        <f>COUNTIFS(core_mc[TestName],misc[[#This Row],[IFU_MCA_String]],core_mc[VisualId],MC_Check!$H$2)</f>
        <v>0</v>
      </c>
      <c r="U22" t="str">
        <f>_xlfn.TEXTJOIN("",,"*SOCKET0**CBB",misc[[#This Row],[CBB]],"**COMPUTE",misc[[#This Row],[Compute]],"**MODULE",misc[[#This Row],[Module]],splitchar,"**CORE**ROB1*CR*MC*STATUS**")</f>
        <v>*SOCKET0**CBB0**COMPUTE2**MODULE19__**CORE**ROB1*CR*MC*STATUS**</v>
      </c>
      <c r="V22">
        <f>COUNTIFS(core_mc[TestName],misc[[#This Row],[ROB_MCA_String]],core_mc[VisualId],MC_Check!$H$2)</f>
        <v>0</v>
      </c>
      <c r="W22" t="str">
        <f>_xlfn.TEXTJOIN("",,"*SOCKET0**CBB",misc[[#This Row],[CBB]],"**COMPUTE",misc[[#This Row],[Compute]],"**MODULE",misc[[#This Row],[Module]],splitchar,"**CORE**DCU*CR*MC1*STATUS**")</f>
        <v>*SOCKET0**CBB0**COMPUTE2**MODULE19__**CORE**DCU*CR*MC1*STATUS**</v>
      </c>
      <c r="X22">
        <f>COUNTIFS(core_mc[TestName],misc[[#This Row],[DCU_MCA_String]],core_mc[VisualId],MC_Check!$H$2)</f>
        <v>0</v>
      </c>
      <c r="Y22" t="str">
        <f>_xlfn.TEXTJOIN("",,"*SOCKET0**CBB",misc[[#This Row],[CBB]],"**COMPUTE",misc[[#This Row],[Compute]],"**MODULE",misc[[#This Row],[Module]],splitchar,"**CORE**DTLB*CR*MC2*STATUS**")</f>
        <v>*SOCKET0**CBB0**COMPUTE2**MODULE19__**CORE**DTLB*CR*MC2*STATUS**</v>
      </c>
      <c r="Z22">
        <f>COUNTIFS(core_mc[TestName],misc[[#This Row],[CORE_DTLB_String]],core_mc[VisualId],MC_Check!$H$2)</f>
        <v>0</v>
      </c>
      <c r="AA22" t="str">
        <f>_xlfn.TEXTJOIN("",,"*SOCKET0**CBB",misc[[#This Row],[CBB]],"**COMPUTE",misc[[#This Row],[Compute]],"**MODULE",misc[[#This Row],[Module]],splitchar,"**ML2*CR*MC3*STATUS**")</f>
        <v>*SOCKET0**CBB0**COMPUTE2**MODULE19__**ML2*CR*MC3*STATUS**</v>
      </c>
      <c r="AB22">
        <f>COUNTIFS(core_mc[TestName],misc[[#This Row],[Core_ML2_String]],core_mc[VisualId],MC_Check!$H$2)</f>
        <v>0</v>
      </c>
      <c r="AC22" t="str">
        <f>_xlfn.TEXTJOIN("",,"*SOCKET0**CBB",misc[[#This Row],[CBB]],"**COMPUTE",misc[[#This Row],[Compute]],"**MODULE",misc[[#This Row],[Module]],splitchar,"SPARE")</f>
        <v>*SOCKET0**CBB0**COMPUTE2**MODULE19__SPARE</v>
      </c>
      <c r="AD22">
        <f>COUNTIFS(core_mc[TestName],misc[[#This Row],[Core_L2_String - SPARE]],core_mc[VisualId],MC_Check!$H$2)</f>
        <v>0</v>
      </c>
      <c r="AE22">
        <f>misc[[#This Row],[Core_DTLB_Count]]+misc[[#This Row],[Core_DCU_Count]]+misc[[#This Row],[Core_IFU_Count]]+misc[[#This Row],[Core_ROB_Count]]+misc[[#This Row],[Core_L2_Count - SPARE]]+misc[[#This Row],[Core_ML2_Count]]</f>
        <v>0</v>
      </c>
      <c r="AF22" t="str">
        <f>_xlfn.TEXTJOIN(", ",,IF(misc[[#This Row],[Core_IFU_Count]]&gt;0,"IFU",""),IF(misc[[#This Row],[Core_DCU_Count]]&gt;0,"DCU",""),IF(misc[[#This Row],[Core_DTLB_Count]]&gt;0,"DTLB",""),IF(misc[[#This Row],[Core_ROB_Count]]&gt;0,"ROB",""),IF(misc[[#This Row],[Core_ML2_Count]]&gt;0,"ML2",""),IF(misc[[#This Row],[Core_L2_Count - SPARE]]&gt;0,"L2",""))</f>
        <v/>
      </c>
      <c r="AG22" t="str">
        <f>_xlfn.TEXTJOIN("",,"*SOCKET0**CBB",misc[[#This Row],[CBB]],"**BASE**I_CCF**ENV",misc[[#This Row],[ENV]],splitchar,"CBREGS_ALL",misc[[#This Row],[CBO]],splitchar,"SPARE")</f>
        <v>*SOCKET0**CBB0**BASE**I_CCF**ENV3__CBREGS_ALL44__SPARE</v>
      </c>
      <c r="AH22">
        <f>COUNTIFS(cha_mc[TestName],misc[[#This Row],[LLC_MCA_String - Not Used]],cha_mc[VisualId],MC_Check!$H$2)</f>
        <v>0</v>
      </c>
    </row>
    <row r="23" spans="6:34" x14ac:dyDescent="0.3">
      <c r="F23">
        <v>0</v>
      </c>
      <c r="G23">
        <v>20</v>
      </c>
      <c r="H23" s="61">
        <f>IF(MC_Check!$AN$2="PHY",misc[[#This Row],[location]],misc[[#This Row],[Module_log]])</f>
        <v>20</v>
      </c>
      <c r="I23" s="61">
        <f>misc[[#This Row],[Module]]</f>
        <v>20</v>
      </c>
      <c r="J23" s="61">
        <f t="shared" si="1"/>
        <v>2</v>
      </c>
      <c r="K23" s="61">
        <f>K19+1</f>
        <v>5</v>
      </c>
      <c r="L23" s="61">
        <v>0</v>
      </c>
      <c r="M23" s="61" t="str">
        <f>_xlfn.TEXTJOIN("",,misc[[#This Row],[ROW]],misc[[#This Row],[ROW]])</f>
        <v>55</v>
      </c>
      <c r="N23" s="5" t="b">
        <f>misc[[#This Row],[Core_Hitter_Count]]&gt;0</f>
        <v>0</v>
      </c>
      <c r="O23" t="b">
        <f>misc[[#This Row],[LLC_Hitter_Count]]&gt;0</f>
        <v>0</v>
      </c>
      <c r="P23" t="b">
        <f>misc[[#This Row],[CHA_Hitter_Count]]&gt;0</f>
        <v>0</v>
      </c>
      <c r="Q23" t="str">
        <f>_xlfn.TEXTJOIN("",,"*SOCKET0**CBB",misc[[#This Row],[CBB]],"**BASE**I_CCF_ENV",misc[[#This Row],[ENV]],splitchar,"CBREGS_ALL",misc[[#This Row],[CBO]],splitchar,"MC_STATUS*")</f>
        <v>*SOCKET0**CBB0**BASE**I_CCF_ENV0__CBREGS_ALL55__MC_STATUS*</v>
      </c>
      <c r="R23">
        <f>COUNTIFS(cha_mc[TestName],misc[[#This Row],[CBO_MCA_String]],cha_mc[VisualId],MC_Check!$H$2)</f>
        <v>0</v>
      </c>
      <c r="S23" t="str">
        <f>_xlfn.TEXTJOIN("",,"*SOCKET0**CBB",misc[[#This Row],[CBB]],"**COMPUTE",misc[[#This Row],[Compute]],"**MODULE",misc[[#This Row],[Module]],splitchar,"**CORE**IFU*CR*MC0*STATUS**")</f>
        <v>*SOCKET0**CBB0**COMPUTE2**MODULE20__**CORE**IFU*CR*MC0*STATUS**</v>
      </c>
      <c r="T23">
        <f>COUNTIFS(core_mc[TestName],misc[[#This Row],[IFU_MCA_String]],core_mc[VisualId],MC_Check!$H$2)</f>
        <v>0</v>
      </c>
      <c r="U23" t="str">
        <f>_xlfn.TEXTJOIN("",,"*SOCKET0**CBB",misc[[#This Row],[CBB]],"**COMPUTE",misc[[#This Row],[Compute]],"**MODULE",misc[[#This Row],[Module]],splitchar,"**CORE**ROB1*CR*MC*STATUS**")</f>
        <v>*SOCKET0**CBB0**COMPUTE2**MODULE20__**CORE**ROB1*CR*MC*STATUS**</v>
      </c>
      <c r="V23">
        <f>COUNTIFS(core_mc[TestName],misc[[#This Row],[ROB_MCA_String]],core_mc[VisualId],MC_Check!$H$2)</f>
        <v>0</v>
      </c>
      <c r="W23" t="str">
        <f>_xlfn.TEXTJOIN("",,"*SOCKET0**CBB",misc[[#This Row],[CBB]],"**COMPUTE",misc[[#This Row],[Compute]],"**MODULE",misc[[#This Row],[Module]],splitchar,"**CORE**DCU*CR*MC1*STATUS**")</f>
        <v>*SOCKET0**CBB0**COMPUTE2**MODULE20__**CORE**DCU*CR*MC1*STATUS**</v>
      </c>
      <c r="X23">
        <f>COUNTIFS(core_mc[TestName],misc[[#This Row],[DCU_MCA_String]],core_mc[VisualId],MC_Check!$H$2)</f>
        <v>0</v>
      </c>
      <c r="Y23" t="str">
        <f>_xlfn.TEXTJOIN("",,"*SOCKET0**CBB",misc[[#This Row],[CBB]],"**COMPUTE",misc[[#This Row],[Compute]],"**MODULE",misc[[#This Row],[Module]],splitchar,"**CORE**DTLB*CR*MC2*STATUS**")</f>
        <v>*SOCKET0**CBB0**COMPUTE2**MODULE20__**CORE**DTLB*CR*MC2*STATUS**</v>
      </c>
      <c r="Z23">
        <f>COUNTIFS(core_mc[TestName],misc[[#This Row],[CORE_DTLB_String]],core_mc[VisualId],MC_Check!$H$2)</f>
        <v>0</v>
      </c>
      <c r="AA23" t="str">
        <f>_xlfn.TEXTJOIN("",,"*SOCKET0**CBB",misc[[#This Row],[CBB]],"**COMPUTE",misc[[#This Row],[Compute]],"**MODULE",misc[[#This Row],[Module]],splitchar,"**ML2*CR*MC3*STATUS**")</f>
        <v>*SOCKET0**CBB0**COMPUTE2**MODULE20__**ML2*CR*MC3*STATUS**</v>
      </c>
      <c r="AB23">
        <f>COUNTIFS(core_mc[TestName],misc[[#This Row],[Core_ML2_String]],core_mc[VisualId],MC_Check!$H$2)</f>
        <v>0</v>
      </c>
      <c r="AC23" t="str">
        <f>_xlfn.TEXTJOIN("",,"*SOCKET0**CBB",misc[[#This Row],[CBB]],"**COMPUTE",misc[[#This Row],[Compute]],"**MODULE",misc[[#This Row],[Module]],splitchar,"SPARE")</f>
        <v>*SOCKET0**CBB0**COMPUTE2**MODULE20__SPARE</v>
      </c>
      <c r="AD23">
        <f>COUNTIFS(core_mc[TestName],misc[[#This Row],[Core_L2_String - SPARE]],core_mc[VisualId],MC_Check!$H$2)</f>
        <v>0</v>
      </c>
      <c r="AE23">
        <f>misc[[#This Row],[Core_DTLB_Count]]+misc[[#This Row],[Core_DCU_Count]]+misc[[#This Row],[Core_IFU_Count]]+misc[[#This Row],[Core_ROB_Count]]+misc[[#This Row],[Core_L2_Count - SPARE]]+misc[[#This Row],[Core_ML2_Count]]</f>
        <v>0</v>
      </c>
      <c r="AF23" t="str">
        <f>_xlfn.TEXTJOIN(", ",,IF(misc[[#This Row],[Core_IFU_Count]]&gt;0,"IFU",""),IF(misc[[#This Row],[Core_DCU_Count]]&gt;0,"DCU",""),IF(misc[[#This Row],[Core_DTLB_Count]]&gt;0,"DTLB",""),IF(misc[[#This Row],[Core_ROB_Count]]&gt;0,"ROB",""),IF(misc[[#This Row],[Core_ML2_Count]]&gt;0,"ML2",""),IF(misc[[#This Row],[Core_L2_Count - SPARE]]&gt;0,"L2",""))</f>
        <v/>
      </c>
      <c r="AG23" t="str">
        <f>_xlfn.TEXTJOIN("",,"*SOCKET0**CBB",misc[[#This Row],[CBB]],"**BASE**I_CCF**ENV",misc[[#This Row],[ENV]],splitchar,"CBREGS_ALL",misc[[#This Row],[CBO]],splitchar,"SPARE")</f>
        <v>*SOCKET0**CBB0**BASE**I_CCF**ENV0__CBREGS_ALL55__SPARE</v>
      </c>
      <c r="AH23">
        <f>COUNTIFS(cha_mc[TestName],misc[[#This Row],[LLC_MCA_String - Not Used]],cha_mc[VisualId],MC_Check!$H$2)</f>
        <v>0</v>
      </c>
    </row>
    <row r="24" spans="6:34" x14ac:dyDescent="0.3">
      <c r="F24">
        <v>0</v>
      </c>
      <c r="G24">
        <v>21</v>
      </c>
      <c r="H24" s="61">
        <f>IF(MC_Check!$AN$2="PHY",misc[[#This Row],[location]],misc[[#This Row],[Module_log]])</f>
        <v>21</v>
      </c>
      <c r="I24" s="61">
        <f>misc[[#This Row],[Module]]</f>
        <v>21</v>
      </c>
      <c r="J24" s="61">
        <f t="shared" si="1"/>
        <v>2</v>
      </c>
      <c r="K24" s="61">
        <f t="shared" si="0"/>
        <v>5</v>
      </c>
      <c r="L24" s="61">
        <v>1</v>
      </c>
      <c r="M24" s="61" t="str">
        <f>_xlfn.TEXTJOIN("",,misc[[#This Row],[ROW]],misc[[#This Row],[ROW]])</f>
        <v>55</v>
      </c>
      <c r="N24" s="5" t="b">
        <f>misc[[#This Row],[Core_Hitter_Count]]&gt;0</f>
        <v>0</v>
      </c>
      <c r="O24" t="b">
        <f>misc[[#This Row],[LLC_Hitter_Count]]&gt;0</f>
        <v>0</v>
      </c>
      <c r="P24" t="b">
        <f>misc[[#This Row],[CHA_Hitter_Count]]&gt;0</f>
        <v>0</v>
      </c>
      <c r="Q24" t="str">
        <f>_xlfn.TEXTJOIN("",,"*SOCKET0**CBB",misc[[#This Row],[CBB]],"**BASE**I_CCF_ENV",misc[[#This Row],[ENV]],splitchar,"CBREGS_ALL",misc[[#This Row],[CBO]],splitchar,"MC_STATUS*")</f>
        <v>*SOCKET0**CBB0**BASE**I_CCF_ENV1__CBREGS_ALL55__MC_STATUS*</v>
      </c>
      <c r="R24">
        <f>COUNTIFS(cha_mc[TestName],misc[[#This Row],[CBO_MCA_String]],cha_mc[VisualId],MC_Check!$H$2)</f>
        <v>0</v>
      </c>
      <c r="S24" t="str">
        <f>_xlfn.TEXTJOIN("",,"*SOCKET0**CBB",misc[[#This Row],[CBB]],"**COMPUTE",misc[[#This Row],[Compute]],"**MODULE",misc[[#This Row],[Module]],splitchar,"**CORE**IFU*CR*MC0*STATUS**")</f>
        <v>*SOCKET0**CBB0**COMPUTE2**MODULE21__**CORE**IFU*CR*MC0*STATUS**</v>
      </c>
      <c r="T24">
        <f>COUNTIFS(core_mc[TestName],misc[[#This Row],[IFU_MCA_String]],core_mc[VisualId],MC_Check!$H$2)</f>
        <v>0</v>
      </c>
      <c r="U24" t="str">
        <f>_xlfn.TEXTJOIN("",,"*SOCKET0**CBB",misc[[#This Row],[CBB]],"**COMPUTE",misc[[#This Row],[Compute]],"**MODULE",misc[[#This Row],[Module]],splitchar,"**CORE**ROB1*CR*MC*STATUS**")</f>
        <v>*SOCKET0**CBB0**COMPUTE2**MODULE21__**CORE**ROB1*CR*MC*STATUS**</v>
      </c>
      <c r="V24">
        <f>COUNTIFS(core_mc[TestName],misc[[#This Row],[ROB_MCA_String]],core_mc[VisualId],MC_Check!$H$2)</f>
        <v>0</v>
      </c>
      <c r="W24" t="str">
        <f>_xlfn.TEXTJOIN("",,"*SOCKET0**CBB",misc[[#This Row],[CBB]],"**COMPUTE",misc[[#This Row],[Compute]],"**MODULE",misc[[#This Row],[Module]],splitchar,"**CORE**DCU*CR*MC1*STATUS**")</f>
        <v>*SOCKET0**CBB0**COMPUTE2**MODULE21__**CORE**DCU*CR*MC1*STATUS**</v>
      </c>
      <c r="X24">
        <f>COUNTIFS(core_mc[TestName],misc[[#This Row],[DCU_MCA_String]],core_mc[VisualId],MC_Check!$H$2)</f>
        <v>0</v>
      </c>
      <c r="Y24" t="str">
        <f>_xlfn.TEXTJOIN("",,"*SOCKET0**CBB",misc[[#This Row],[CBB]],"**COMPUTE",misc[[#This Row],[Compute]],"**MODULE",misc[[#This Row],[Module]],splitchar,"**CORE**DTLB*CR*MC2*STATUS**")</f>
        <v>*SOCKET0**CBB0**COMPUTE2**MODULE21__**CORE**DTLB*CR*MC2*STATUS**</v>
      </c>
      <c r="Z24">
        <f>COUNTIFS(core_mc[TestName],misc[[#This Row],[CORE_DTLB_String]],core_mc[VisualId],MC_Check!$H$2)</f>
        <v>0</v>
      </c>
      <c r="AA24" t="str">
        <f>_xlfn.TEXTJOIN("",,"*SOCKET0**CBB",misc[[#This Row],[CBB]],"**COMPUTE",misc[[#This Row],[Compute]],"**MODULE",misc[[#This Row],[Module]],splitchar,"**ML2*CR*MC3*STATUS**")</f>
        <v>*SOCKET0**CBB0**COMPUTE2**MODULE21__**ML2*CR*MC3*STATUS**</v>
      </c>
      <c r="AB24">
        <f>COUNTIFS(core_mc[TestName],misc[[#This Row],[Core_ML2_String]],core_mc[VisualId],MC_Check!$H$2)</f>
        <v>0</v>
      </c>
      <c r="AC24" t="str">
        <f>_xlfn.TEXTJOIN("",,"*SOCKET0**CBB",misc[[#This Row],[CBB]],"**COMPUTE",misc[[#This Row],[Compute]],"**MODULE",misc[[#This Row],[Module]],splitchar,"SPARE")</f>
        <v>*SOCKET0**CBB0**COMPUTE2**MODULE21__SPARE</v>
      </c>
      <c r="AD24">
        <f>COUNTIFS(core_mc[TestName],misc[[#This Row],[Core_L2_String - SPARE]],core_mc[VisualId],MC_Check!$H$2)</f>
        <v>0</v>
      </c>
      <c r="AE24">
        <f>misc[[#This Row],[Core_DTLB_Count]]+misc[[#This Row],[Core_DCU_Count]]+misc[[#This Row],[Core_IFU_Count]]+misc[[#This Row],[Core_ROB_Count]]+misc[[#This Row],[Core_L2_Count - SPARE]]+misc[[#This Row],[Core_ML2_Count]]</f>
        <v>0</v>
      </c>
      <c r="AF24" t="str">
        <f>_xlfn.TEXTJOIN(", ",,IF(misc[[#This Row],[Core_IFU_Count]]&gt;0,"IFU",""),IF(misc[[#This Row],[Core_DCU_Count]]&gt;0,"DCU",""),IF(misc[[#This Row],[Core_DTLB_Count]]&gt;0,"DTLB",""),IF(misc[[#This Row],[Core_ROB_Count]]&gt;0,"ROB",""),IF(misc[[#This Row],[Core_ML2_Count]]&gt;0,"ML2",""),IF(misc[[#This Row],[Core_L2_Count - SPARE]]&gt;0,"L2",""))</f>
        <v/>
      </c>
      <c r="AG24" t="str">
        <f>_xlfn.TEXTJOIN("",,"*SOCKET0**CBB",misc[[#This Row],[CBB]],"**BASE**I_CCF**ENV",misc[[#This Row],[ENV]],splitchar,"CBREGS_ALL",misc[[#This Row],[CBO]],splitchar,"SPARE")</f>
        <v>*SOCKET0**CBB0**BASE**I_CCF**ENV1__CBREGS_ALL55__SPARE</v>
      </c>
      <c r="AH24">
        <f>COUNTIFS(cha_mc[TestName],misc[[#This Row],[LLC_MCA_String - Not Used]],cha_mc[VisualId],MC_Check!$H$2)</f>
        <v>0</v>
      </c>
    </row>
    <row r="25" spans="6:34" x14ac:dyDescent="0.3">
      <c r="F25">
        <v>0</v>
      </c>
      <c r="G25">
        <v>22</v>
      </c>
      <c r="H25" s="61">
        <f>IF(MC_Check!$AN$2="PHY",misc[[#This Row],[location]],misc[[#This Row],[Module_log]])</f>
        <v>22</v>
      </c>
      <c r="I25" s="61">
        <f>misc[[#This Row],[Module]]</f>
        <v>22</v>
      </c>
      <c r="J25" s="61">
        <f t="shared" si="1"/>
        <v>2</v>
      </c>
      <c r="K25" s="61">
        <f t="shared" si="0"/>
        <v>5</v>
      </c>
      <c r="L25" s="61">
        <v>2</v>
      </c>
      <c r="M25" s="61" t="str">
        <f>_xlfn.TEXTJOIN("",,misc[[#This Row],[ROW]],misc[[#This Row],[ROW]])</f>
        <v>55</v>
      </c>
      <c r="N25" s="5" t="b">
        <f>misc[[#This Row],[Core_Hitter_Count]]&gt;0</f>
        <v>0</v>
      </c>
      <c r="O25" t="b">
        <f>misc[[#This Row],[LLC_Hitter_Count]]&gt;0</f>
        <v>0</v>
      </c>
      <c r="P25" t="b">
        <f>misc[[#This Row],[CHA_Hitter_Count]]&gt;0</f>
        <v>0</v>
      </c>
      <c r="Q25" t="str">
        <f>_xlfn.TEXTJOIN("",,"*SOCKET0**CBB",misc[[#This Row],[CBB]],"**BASE**I_CCF_ENV",misc[[#This Row],[ENV]],splitchar,"CBREGS_ALL",misc[[#This Row],[CBO]],splitchar,"MC_STATUS*")</f>
        <v>*SOCKET0**CBB0**BASE**I_CCF_ENV2__CBREGS_ALL55__MC_STATUS*</v>
      </c>
      <c r="R25">
        <f>COUNTIFS(cha_mc[TestName],misc[[#This Row],[CBO_MCA_String]],cha_mc[VisualId],MC_Check!$H$2)</f>
        <v>0</v>
      </c>
      <c r="S25" t="str">
        <f>_xlfn.TEXTJOIN("",,"*SOCKET0**CBB",misc[[#This Row],[CBB]],"**COMPUTE",misc[[#This Row],[Compute]],"**MODULE",misc[[#This Row],[Module]],splitchar,"**CORE**IFU*CR*MC0*STATUS**")</f>
        <v>*SOCKET0**CBB0**COMPUTE2**MODULE22__**CORE**IFU*CR*MC0*STATUS**</v>
      </c>
      <c r="T25">
        <f>COUNTIFS(core_mc[TestName],misc[[#This Row],[IFU_MCA_String]],core_mc[VisualId],MC_Check!$H$2)</f>
        <v>0</v>
      </c>
      <c r="U25" t="str">
        <f>_xlfn.TEXTJOIN("",,"*SOCKET0**CBB",misc[[#This Row],[CBB]],"**COMPUTE",misc[[#This Row],[Compute]],"**MODULE",misc[[#This Row],[Module]],splitchar,"**CORE**ROB1*CR*MC*STATUS**")</f>
        <v>*SOCKET0**CBB0**COMPUTE2**MODULE22__**CORE**ROB1*CR*MC*STATUS**</v>
      </c>
      <c r="V25">
        <f>COUNTIFS(core_mc[TestName],misc[[#This Row],[ROB_MCA_String]],core_mc[VisualId],MC_Check!$H$2)</f>
        <v>0</v>
      </c>
      <c r="W25" t="str">
        <f>_xlfn.TEXTJOIN("",,"*SOCKET0**CBB",misc[[#This Row],[CBB]],"**COMPUTE",misc[[#This Row],[Compute]],"**MODULE",misc[[#This Row],[Module]],splitchar,"**CORE**DCU*CR*MC1*STATUS**")</f>
        <v>*SOCKET0**CBB0**COMPUTE2**MODULE22__**CORE**DCU*CR*MC1*STATUS**</v>
      </c>
      <c r="X25">
        <f>COUNTIFS(core_mc[TestName],misc[[#This Row],[DCU_MCA_String]],core_mc[VisualId],MC_Check!$H$2)</f>
        <v>0</v>
      </c>
      <c r="Y25" t="str">
        <f>_xlfn.TEXTJOIN("",,"*SOCKET0**CBB",misc[[#This Row],[CBB]],"**COMPUTE",misc[[#This Row],[Compute]],"**MODULE",misc[[#This Row],[Module]],splitchar,"**CORE**DTLB*CR*MC2*STATUS**")</f>
        <v>*SOCKET0**CBB0**COMPUTE2**MODULE22__**CORE**DTLB*CR*MC2*STATUS**</v>
      </c>
      <c r="Z25">
        <f>COUNTIFS(core_mc[TestName],misc[[#This Row],[CORE_DTLB_String]],core_mc[VisualId],MC_Check!$H$2)</f>
        <v>0</v>
      </c>
      <c r="AA25" t="str">
        <f>_xlfn.TEXTJOIN("",,"*SOCKET0**CBB",misc[[#This Row],[CBB]],"**COMPUTE",misc[[#This Row],[Compute]],"**MODULE",misc[[#This Row],[Module]],splitchar,"**ML2*CR*MC3*STATUS**")</f>
        <v>*SOCKET0**CBB0**COMPUTE2**MODULE22__**ML2*CR*MC3*STATUS**</v>
      </c>
      <c r="AB25">
        <f>COUNTIFS(core_mc[TestName],misc[[#This Row],[Core_ML2_String]],core_mc[VisualId],MC_Check!$H$2)</f>
        <v>0</v>
      </c>
      <c r="AC25" t="str">
        <f>_xlfn.TEXTJOIN("",,"*SOCKET0**CBB",misc[[#This Row],[CBB]],"**COMPUTE",misc[[#This Row],[Compute]],"**MODULE",misc[[#This Row],[Module]],splitchar,"SPARE")</f>
        <v>*SOCKET0**CBB0**COMPUTE2**MODULE22__SPARE</v>
      </c>
      <c r="AD25">
        <f>COUNTIFS(core_mc[TestName],misc[[#This Row],[Core_L2_String - SPARE]],core_mc[VisualId],MC_Check!$H$2)</f>
        <v>0</v>
      </c>
      <c r="AE25">
        <f>misc[[#This Row],[Core_DTLB_Count]]+misc[[#This Row],[Core_DCU_Count]]+misc[[#This Row],[Core_IFU_Count]]+misc[[#This Row],[Core_ROB_Count]]+misc[[#This Row],[Core_L2_Count - SPARE]]+misc[[#This Row],[Core_ML2_Count]]</f>
        <v>0</v>
      </c>
      <c r="AF25" t="str">
        <f>_xlfn.TEXTJOIN(", ",,IF(misc[[#This Row],[Core_IFU_Count]]&gt;0,"IFU",""),IF(misc[[#This Row],[Core_DCU_Count]]&gt;0,"DCU",""),IF(misc[[#This Row],[Core_DTLB_Count]]&gt;0,"DTLB",""),IF(misc[[#This Row],[Core_ROB_Count]]&gt;0,"ROB",""),IF(misc[[#This Row],[Core_ML2_Count]]&gt;0,"ML2",""),IF(misc[[#This Row],[Core_L2_Count - SPARE]]&gt;0,"L2",""))</f>
        <v/>
      </c>
      <c r="AG25" t="str">
        <f>_xlfn.TEXTJOIN("",,"*SOCKET0**CBB",misc[[#This Row],[CBB]],"**BASE**I_CCF**ENV",misc[[#This Row],[ENV]],splitchar,"CBREGS_ALL",misc[[#This Row],[CBO]],splitchar,"SPARE")</f>
        <v>*SOCKET0**CBB0**BASE**I_CCF**ENV2__CBREGS_ALL55__SPARE</v>
      </c>
      <c r="AH25">
        <f>COUNTIFS(cha_mc[TestName],misc[[#This Row],[LLC_MCA_String - Not Used]],cha_mc[VisualId],MC_Check!$H$2)</f>
        <v>0</v>
      </c>
    </row>
    <row r="26" spans="6:34" x14ac:dyDescent="0.3">
      <c r="F26">
        <v>0</v>
      </c>
      <c r="G26">
        <v>23</v>
      </c>
      <c r="H26" s="61">
        <f>IF(MC_Check!$AN$2="PHY",misc[[#This Row],[location]],misc[[#This Row],[Module_log]])</f>
        <v>23</v>
      </c>
      <c r="I26" s="61">
        <f>misc[[#This Row],[Module]]</f>
        <v>23</v>
      </c>
      <c r="J26" s="61">
        <f t="shared" si="1"/>
        <v>2</v>
      </c>
      <c r="K26" s="61">
        <f t="shared" si="0"/>
        <v>5</v>
      </c>
      <c r="L26" s="61">
        <v>3</v>
      </c>
      <c r="M26" s="61" t="str">
        <f>_xlfn.TEXTJOIN("",,misc[[#This Row],[ROW]],misc[[#This Row],[ROW]])</f>
        <v>55</v>
      </c>
      <c r="N26" s="5" t="b">
        <f>misc[[#This Row],[Core_Hitter_Count]]&gt;0</f>
        <v>0</v>
      </c>
      <c r="O26" t="b">
        <f>misc[[#This Row],[LLC_Hitter_Count]]&gt;0</f>
        <v>0</v>
      </c>
      <c r="P26" t="b">
        <f>misc[[#This Row],[CHA_Hitter_Count]]&gt;0</f>
        <v>0</v>
      </c>
      <c r="Q26" t="str">
        <f>_xlfn.TEXTJOIN("",,"*SOCKET0**CBB",misc[[#This Row],[CBB]],"**BASE**I_CCF_ENV",misc[[#This Row],[ENV]],splitchar,"CBREGS_ALL",misc[[#This Row],[CBO]],splitchar,"MC_STATUS*")</f>
        <v>*SOCKET0**CBB0**BASE**I_CCF_ENV3__CBREGS_ALL55__MC_STATUS*</v>
      </c>
      <c r="R26">
        <f>COUNTIFS(cha_mc[TestName],misc[[#This Row],[CBO_MCA_String]],cha_mc[VisualId],MC_Check!$H$2)</f>
        <v>0</v>
      </c>
      <c r="S26" t="str">
        <f>_xlfn.TEXTJOIN("",,"*SOCKET0**CBB",misc[[#This Row],[CBB]],"**COMPUTE",misc[[#This Row],[Compute]],"**MODULE",misc[[#This Row],[Module]],splitchar,"**CORE**IFU*CR*MC0*STATUS**")</f>
        <v>*SOCKET0**CBB0**COMPUTE2**MODULE23__**CORE**IFU*CR*MC0*STATUS**</v>
      </c>
      <c r="T26">
        <f>COUNTIFS(core_mc[TestName],misc[[#This Row],[IFU_MCA_String]],core_mc[VisualId],MC_Check!$H$2)</f>
        <v>0</v>
      </c>
      <c r="U26" t="str">
        <f>_xlfn.TEXTJOIN("",,"*SOCKET0**CBB",misc[[#This Row],[CBB]],"**COMPUTE",misc[[#This Row],[Compute]],"**MODULE",misc[[#This Row],[Module]],splitchar,"**CORE**ROB1*CR*MC*STATUS**")</f>
        <v>*SOCKET0**CBB0**COMPUTE2**MODULE23__**CORE**ROB1*CR*MC*STATUS**</v>
      </c>
      <c r="V26">
        <f>COUNTIFS(core_mc[TestName],misc[[#This Row],[ROB_MCA_String]],core_mc[VisualId],MC_Check!$H$2)</f>
        <v>0</v>
      </c>
      <c r="W26" t="str">
        <f>_xlfn.TEXTJOIN("",,"*SOCKET0**CBB",misc[[#This Row],[CBB]],"**COMPUTE",misc[[#This Row],[Compute]],"**MODULE",misc[[#This Row],[Module]],splitchar,"**CORE**DCU*CR*MC1*STATUS**")</f>
        <v>*SOCKET0**CBB0**COMPUTE2**MODULE23__**CORE**DCU*CR*MC1*STATUS**</v>
      </c>
      <c r="X26">
        <f>COUNTIFS(core_mc[TestName],misc[[#This Row],[DCU_MCA_String]],core_mc[VisualId],MC_Check!$H$2)</f>
        <v>0</v>
      </c>
      <c r="Y26" t="str">
        <f>_xlfn.TEXTJOIN("",,"*SOCKET0**CBB",misc[[#This Row],[CBB]],"**COMPUTE",misc[[#This Row],[Compute]],"**MODULE",misc[[#This Row],[Module]],splitchar,"**CORE**DTLB*CR*MC2*STATUS**")</f>
        <v>*SOCKET0**CBB0**COMPUTE2**MODULE23__**CORE**DTLB*CR*MC2*STATUS**</v>
      </c>
      <c r="Z26">
        <f>COUNTIFS(core_mc[TestName],misc[[#This Row],[CORE_DTLB_String]],core_mc[VisualId],MC_Check!$H$2)</f>
        <v>0</v>
      </c>
      <c r="AA26" t="str">
        <f>_xlfn.TEXTJOIN("",,"*SOCKET0**CBB",misc[[#This Row],[CBB]],"**COMPUTE",misc[[#This Row],[Compute]],"**MODULE",misc[[#This Row],[Module]],splitchar,"**ML2*CR*MC3*STATUS**")</f>
        <v>*SOCKET0**CBB0**COMPUTE2**MODULE23__**ML2*CR*MC3*STATUS**</v>
      </c>
      <c r="AB26">
        <f>COUNTIFS(core_mc[TestName],misc[[#This Row],[Core_ML2_String]],core_mc[VisualId],MC_Check!$H$2)</f>
        <v>0</v>
      </c>
      <c r="AC26" t="str">
        <f>_xlfn.TEXTJOIN("",,"*SOCKET0**CBB",misc[[#This Row],[CBB]],"**COMPUTE",misc[[#This Row],[Compute]],"**MODULE",misc[[#This Row],[Module]],splitchar,"SPARE")</f>
        <v>*SOCKET0**CBB0**COMPUTE2**MODULE23__SPARE</v>
      </c>
      <c r="AD26">
        <f>COUNTIFS(core_mc[TestName],misc[[#This Row],[Core_L2_String - SPARE]],core_mc[VisualId],MC_Check!$H$2)</f>
        <v>0</v>
      </c>
      <c r="AE26">
        <f>misc[[#This Row],[Core_DTLB_Count]]+misc[[#This Row],[Core_DCU_Count]]+misc[[#This Row],[Core_IFU_Count]]+misc[[#This Row],[Core_ROB_Count]]+misc[[#This Row],[Core_L2_Count - SPARE]]+misc[[#This Row],[Core_ML2_Count]]</f>
        <v>0</v>
      </c>
      <c r="AF26" t="str">
        <f>_xlfn.TEXTJOIN(", ",,IF(misc[[#This Row],[Core_IFU_Count]]&gt;0,"IFU",""),IF(misc[[#This Row],[Core_DCU_Count]]&gt;0,"DCU",""),IF(misc[[#This Row],[Core_DTLB_Count]]&gt;0,"DTLB",""),IF(misc[[#This Row],[Core_ROB_Count]]&gt;0,"ROB",""),IF(misc[[#This Row],[Core_ML2_Count]]&gt;0,"ML2",""),IF(misc[[#This Row],[Core_L2_Count - SPARE]]&gt;0,"L2",""))</f>
        <v/>
      </c>
      <c r="AG26" t="str">
        <f>_xlfn.TEXTJOIN("",,"*SOCKET0**CBB",misc[[#This Row],[CBB]],"**BASE**I_CCF**ENV",misc[[#This Row],[ENV]],splitchar,"CBREGS_ALL",misc[[#This Row],[CBO]],splitchar,"SPARE")</f>
        <v>*SOCKET0**CBB0**BASE**I_CCF**ENV3__CBREGS_ALL55__SPARE</v>
      </c>
      <c r="AH26">
        <f>COUNTIFS(cha_mc[TestName],misc[[#This Row],[LLC_MCA_String - Not Used]],cha_mc[VisualId],MC_Check!$H$2)</f>
        <v>0</v>
      </c>
    </row>
    <row r="27" spans="6:34" x14ac:dyDescent="0.3">
      <c r="F27">
        <v>0</v>
      </c>
      <c r="G27">
        <v>24</v>
      </c>
      <c r="H27" s="61">
        <f>IF(MC_Check!$AN$2="PHY",misc[[#This Row],[location]],misc[[#This Row],[Module_log]])</f>
        <v>24</v>
      </c>
      <c r="I27" s="61">
        <f>misc[[#This Row],[Module]]</f>
        <v>24</v>
      </c>
      <c r="J27" s="61">
        <f t="shared" si="1"/>
        <v>3</v>
      </c>
      <c r="K27" s="61">
        <f>K23+1</f>
        <v>6</v>
      </c>
      <c r="L27" s="61">
        <v>0</v>
      </c>
      <c r="M27" s="61" t="str">
        <f>_xlfn.TEXTJOIN("",,misc[[#This Row],[ROW]],misc[[#This Row],[ROW]])</f>
        <v>66</v>
      </c>
      <c r="N27" s="5" t="b">
        <f>misc[[#This Row],[Core_Hitter_Count]]&gt;0</f>
        <v>0</v>
      </c>
      <c r="O27" t="b">
        <f>misc[[#This Row],[LLC_Hitter_Count]]&gt;0</f>
        <v>0</v>
      </c>
      <c r="P27" t="b">
        <f>misc[[#This Row],[CHA_Hitter_Count]]&gt;0</f>
        <v>0</v>
      </c>
      <c r="Q27" t="str">
        <f>_xlfn.TEXTJOIN("",,"*SOCKET0**CBB",misc[[#This Row],[CBB]],"**BASE**I_CCF_ENV",misc[[#This Row],[ENV]],splitchar,"CBREGS_ALL",misc[[#This Row],[CBO]],splitchar,"MC_STATUS*")</f>
        <v>*SOCKET0**CBB0**BASE**I_CCF_ENV0__CBREGS_ALL66__MC_STATUS*</v>
      </c>
      <c r="R27">
        <f>COUNTIFS(cha_mc[TestName],misc[[#This Row],[CBO_MCA_String]],cha_mc[VisualId],MC_Check!$H$2)</f>
        <v>0</v>
      </c>
      <c r="S27" t="str">
        <f>_xlfn.TEXTJOIN("",,"*SOCKET0**CBB",misc[[#This Row],[CBB]],"**COMPUTE",misc[[#This Row],[Compute]],"**MODULE",misc[[#This Row],[Module]],splitchar,"**CORE**IFU*CR*MC0*STATUS**")</f>
        <v>*SOCKET0**CBB0**COMPUTE3**MODULE24__**CORE**IFU*CR*MC0*STATUS**</v>
      </c>
      <c r="T27">
        <f>COUNTIFS(core_mc[TestName],misc[[#This Row],[IFU_MCA_String]],core_mc[VisualId],MC_Check!$H$2)</f>
        <v>0</v>
      </c>
      <c r="U27" t="str">
        <f>_xlfn.TEXTJOIN("",,"*SOCKET0**CBB",misc[[#This Row],[CBB]],"**COMPUTE",misc[[#This Row],[Compute]],"**MODULE",misc[[#This Row],[Module]],splitchar,"**CORE**ROB1*CR*MC*STATUS**")</f>
        <v>*SOCKET0**CBB0**COMPUTE3**MODULE24__**CORE**ROB1*CR*MC*STATUS**</v>
      </c>
      <c r="V27">
        <f>COUNTIFS(core_mc[TestName],misc[[#This Row],[ROB_MCA_String]],core_mc[VisualId],MC_Check!$H$2)</f>
        <v>0</v>
      </c>
      <c r="W27" t="str">
        <f>_xlfn.TEXTJOIN("",,"*SOCKET0**CBB",misc[[#This Row],[CBB]],"**COMPUTE",misc[[#This Row],[Compute]],"**MODULE",misc[[#This Row],[Module]],splitchar,"**CORE**DCU*CR*MC1*STATUS**")</f>
        <v>*SOCKET0**CBB0**COMPUTE3**MODULE24__**CORE**DCU*CR*MC1*STATUS**</v>
      </c>
      <c r="X27">
        <f>COUNTIFS(core_mc[TestName],misc[[#This Row],[DCU_MCA_String]],core_mc[VisualId],MC_Check!$H$2)</f>
        <v>0</v>
      </c>
      <c r="Y27" t="str">
        <f>_xlfn.TEXTJOIN("",,"*SOCKET0**CBB",misc[[#This Row],[CBB]],"**COMPUTE",misc[[#This Row],[Compute]],"**MODULE",misc[[#This Row],[Module]],splitchar,"**CORE**DTLB*CR*MC2*STATUS**")</f>
        <v>*SOCKET0**CBB0**COMPUTE3**MODULE24__**CORE**DTLB*CR*MC2*STATUS**</v>
      </c>
      <c r="Z27">
        <f>COUNTIFS(core_mc[TestName],misc[[#This Row],[CORE_DTLB_String]],core_mc[VisualId],MC_Check!$H$2)</f>
        <v>0</v>
      </c>
      <c r="AA27" t="str">
        <f>_xlfn.TEXTJOIN("",,"*SOCKET0**CBB",misc[[#This Row],[CBB]],"**COMPUTE",misc[[#This Row],[Compute]],"**MODULE",misc[[#This Row],[Module]],splitchar,"**ML2*CR*MC3*STATUS**")</f>
        <v>*SOCKET0**CBB0**COMPUTE3**MODULE24__**ML2*CR*MC3*STATUS**</v>
      </c>
      <c r="AB27">
        <f>COUNTIFS(core_mc[TestName],misc[[#This Row],[Core_ML2_String]],core_mc[VisualId],MC_Check!$H$2)</f>
        <v>0</v>
      </c>
      <c r="AC27" t="str">
        <f>_xlfn.TEXTJOIN("",,"*SOCKET0**CBB",misc[[#This Row],[CBB]],"**COMPUTE",misc[[#This Row],[Compute]],"**MODULE",misc[[#This Row],[Module]],splitchar,"SPARE")</f>
        <v>*SOCKET0**CBB0**COMPUTE3**MODULE24__SPARE</v>
      </c>
      <c r="AD27">
        <f>COUNTIFS(core_mc[TestName],misc[[#This Row],[Core_L2_String - SPARE]],core_mc[VisualId],MC_Check!$H$2)</f>
        <v>0</v>
      </c>
      <c r="AE27">
        <f>misc[[#This Row],[Core_DTLB_Count]]+misc[[#This Row],[Core_DCU_Count]]+misc[[#This Row],[Core_IFU_Count]]+misc[[#This Row],[Core_ROB_Count]]+misc[[#This Row],[Core_L2_Count - SPARE]]+misc[[#This Row],[Core_ML2_Count]]</f>
        <v>0</v>
      </c>
      <c r="AF27" t="str">
        <f>_xlfn.TEXTJOIN(", ",,IF(misc[[#This Row],[Core_IFU_Count]]&gt;0,"IFU",""),IF(misc[[#This Row],[Core_DCU_Count]]&gt;0,"DCU",""),IF(misc[[#This Row],[Core_DTLB_Count]]&gt;0,"DTLB",""),IF(misc[[#This Row],[Core_ROB_Count]]&gt;0,"ROB",""),IF(misc[[#This Row],[Core_ML2_Count]]&gt;0,"ML2",""),IF(misc[[#This Row],[Core_L2_Count - SPARE]]&gt;0,"L2",""))</f>
        <v/>
      </c>
      <c r="AG27" t="str">
        <f>_xlfn.TEXTJOIN("",,"*SOCKET0**CBB",misc[[#This Row],[CBB]],"**BASE**I_CCF**ENV",misc[[#This Row],[ENV]],splitchar,"CBREGS_ALL",misc[[#This Row],[CBO]],splitchar,"SPARE")</f>
        <v>*SOCKET0**CBB0**BASE**I_CCF**ENV0__CBREGS_ALL66__SPARE</v>
      </c>
      <c r="AH27">
        <f>COUNTIFS(cha_mc[TestName],misc[[#This Row],[LLC_MCA_String - Not Used]],cha_mc[VisualId],MC_Check!$H$2)</f>
        <v>0</v>
      </c>
    </row>
    <row r="28" spans="6:34" x14ac:dyDescent="0.3">
      <c r="F28">
        <v>0</v>
      </c>
      <c r="G28">
        <v>25</v>
      </c>
      <c r="H28" s="61">
        <f>IF(MC_Check!$AN$2="PHY",misc[[#This Row],[location]],misc[[#This Row],[Module_log]])</f>
        <v>25</v>
      </c>
      <c r="I28" s="61">
        <f>misc[[#This Row],[Module]]</f>
        <v>25</v>
      </c>
      <c r="J28" s="61">
        <f t="shared" si="1"/>
        <v>3</v>
      </c>
      <c r="K28" s="61">
        <f t="shared" si="0"/>
        <v>6</v>
      </c>
      <c r="L28" s="61">
        <v>1</v>
      </c>
      <c r="M28" s="61" t="str">
        <f>_xlfn.TEXTJOIN("",,misc[[#This Row],[ROW]],misc[[#This Row],[ROW]])</f>
        <v>66</v>
      </c>
      <c r="N28" s="5" t="b">
        <f>misc[[#This Row],[Core_Hitter_Count]]&gt;0</f>
        <v>0</v>
      </c>
      <c r="O28" t="b">
        <f>misc[[#This Row],[LLC_Hitter_Count]]&gt;0</f>
        <v>0</v>
      </c>
      <c r="P28" t="b">
        <f>misc[[#This Row],[CHA_Hitter_Count]]&gt;0</f>
        <v>0</v>
      </c>
      <c r="Q28" t="str">
        <f>_xlfn.TEXTJOIN("",,"*SOCKET0**CBB",misc[[#This Row],[CBB]],"**BASE**I_CCF_ENV",misc[[#This Row],[ENV]],splitchar,"CBREGS_ALL",misc[[#This Row],[CBO]],splitchar,"MC_STATUS*")</f>
        <v>*SOCKET0**CBB0**BASE**I_CCF_ENV1__CBREGS_ALL66__MC_STATUS*</v>
      </c>
      <c r="R28">
        <f>COUNTIFS(cha_mc[TestName],misc[[#This Row],[CBO_MCA_String]],cha_mc[VisualId],MC_Check!$H$2)</f>
        <v>0</v>
      </c>
      <c r="S28" t="str">
        <f>_xlfn.TEXTJOIN("",,"*SOCKET0**CBB",misc[[#This Row],[CBB]],"**COMPUTE",misc[[#This Row],[Compute]],"**MODULE",misc[[#This Row],[Module]],splitchar,"**CORE**IFU*CR*MC0*STATUS**")</f>
        <v>*SOCKET0**CBB0**COMPUTE3**MODULE25__**CORE**IFU*CR*MC0*STATUS**</v>
      </c>
      <c r="T28">
        <f>COUNTIFS(core_mc[TestName],misc[[#This Row],[IFU_MCA_String]],core_mc[VisualId],MC_Check!$H$2)</f>
        <v>0</v>
      </c>
      <c r="U28" t="str">
        <f>_xlfn.TEXTJOIN("",,"*SOCKET0**CBB",misc[[#This Row],[CBB]],"**COMPUTE",misc[[#This Row],[Compute]],"**MODULE",misc[[#This Row],[Module]],splitchar,"**CORE**ROB1*CR*MC*STATUS**")</f>
        <v>*SOCKET0**CBB0**COMPUTE3**MODULE25__**CORE**ROB1*CR*MC*STATUS**</v>
      </c>
      <c r="V28">
        <f>COUNTIFS(core_mc[TestName],misc[[#This Row],[ROB_MCA_String]],core_mc[VisualId],MC_Check!$H$2)</f>
        <v>0</v>
      </c>
      <c r="W28" t="str">
        <f>_xlfn.TEXTJOIN("",,"*SOCKET0**CBB",misc[[#This Row],[CBB]],"**COMPUTE",misc[[#This Row],[Compute]],"**MODULE",misc[[#This Row],[Module]],splitchar,"**CORE**DCU*CR*MC1*STATUS**")</f>
        <v>*SOCKET0**CBB0**COMPUTE3**MODULE25__**CORE**DCU*CR*MC1*STATUS**</v>
      </c>
      <c r="X28">
        <f>COUNTIFS(core_mc[TestName],misc[[#This Row],[DCU_MCA_String]],core_mc[VisualId],MC_Check!$H$2)</f>
        <v>0</v>
      </c>
      <c r="Y28" t="str">
        <f>_xlfn.TEXTJOIN("",,"*SOCKET0**CBB",misc[[#This Row],[CBB]],"**COMPUTE",misc[[#This Row],[Compute]],"**MODULE",misc[[#This Row],[Module]],splitchar,"**CORE**DTLB*CR*MC2*STATUS**")</f>
        <v>*SOCKET0**CBB0**COMPUTE3**MODULE25__**CORE**DTLB*CR*MC2*STATUS**</v>
      </c>
      <c r="Z28">
        <f>COUNTIFS(core_mc[TestName],misc[[#This Row],[CORE_DTLB_String]],core_mc[VisualId],MC_Check!$H$2)</f>
        <v>0</v>
      </c>
      <c r="AA28" t="str">
        <f>_xlfn.TEXTJOIN("",,"*SOCKET0**CBB",misc[[#This Row],[CBB]],"**COMPUTE",misc[[#This Row],[Compute]],"**MODULE",misc[[#This Row],[Module]],splitchar,"**ML2*CR*MC3*STATUS**")</f>
        <v>*SOCKET0**CBB0**COMPUTE3**MODULE25__**ML2*CR*MC3*STATUS**</v>
      </c>
      <c r="AB28">
        <f>COUNTIFS(core_mc[TestName],misc[[#This Row],[Core_ML2_String]],core_mc[VisualId],MC_Check!$H$2)</f>
        <v>0</v>
      </c>
      <c r="AC28" t="str">
        <f>_xlfn.TEXTJOIN("",,"*SOCKET0**CBB",misc[[#This Row],[CBB]],"**COMPUTE",misc[[#This Row],[Compute]],"**MODULE",misc[[#This Row],[Module]],splitchar,"SPARE")</f>
        <v>*SOCKET0**CBB0**COMPUTE3**MODULE25__SPARE</v>
      </c>
      <c r="AD28">
        <f>COUNTIFS(core_mc[TestName],misc[[#This Row],[Core_L2_String - SPARE]],core_mc[VisualId],MC_Check!$H$2)</f>
        <v>0</v>
      </c>
      <c r="AE28">
        <f>misc[[#This Row],[Core_DTLB_Count]]+misc[[#This Row],[Core_DCU_Count]]+misc[[#This Row],[Core_IFU_Count]]+misc[[#This Row],[Core_ROB_Count]]+misc[[#This Row],[Core_L2_Count - SPARE]]+misc[[#This Row],[Core_ML2_Count]]</f>
        <v>0</v>
      </c>
      <c r="AF28" t="str">
        <f>_xlfn.TEXTJOIN(", ",,IF(misc[[#This Row],[Core_IFU_Count]]&gt;0,"IFU",""),IF(misc[[#This Row],[Core_DCU_Count]]&gt;0,"DCU",""),IF(misc[[#This Row],[Core_DTLB_Count]]&gt;0,"DTLB",""),IF(misc[[#This Row],[Core_ROB_Count]]&gt;0,"ROB",""),IF(misc[[#This Row],[Core_ML2_Count]]&gt;0,"ML2",""),IF(misc[[#This Row],[Core_L2_Count - SPARE]]&gt;0,"L2",""))</f>
        <v/>
      </c>
      <c r="AG28" t="str">
        <f>_xlfn.TEXTJOIN("",,"*SOCKET0**CBB",misc[[#This Row],[CBB]],"**BASE**I_CCF**ENV",misc[[#This Row],[ENV]],splitchar,"CBREGS_ALL",misc[[#This Row],[CBO]],splitchar,"SPARE")</f>
        <v>*SOCKET0**CBB0**BASE**I_CCF**ENV1__CBREGS_ALL66__SPARE</v>
      </c>
      <c r="AH28">
        <f>COUNTIFS(cha_mc[TestName],misc[[#This Row],[LLC_MCA_String - Not Used]],cha_mc[VisualId],MC_Check!$H$2)</f>
        <v>0</v>
      </c>
    </row>
    <row r="29" spans="6:34" x14ac:dyDescent="0.3">
      <c r="F29">
        <v>0</v>
      </c>
      <c r="G29">
        <v>26</v>
      </c>
      <c r="H29" s="61">
        <f>IF(MC_Check!$AN$2="PHY",misc[[#This Row],[location]],misc[[#This Row],[Module_log]])</f>
        <v>26</v>
      </c>
      <c r="I29" s="61">
        <f>misc[[#This Row],[Module]]</f>
        <v>26</v>
      </c>
      <c r="J29" s="61">
        <f t="shared" si="1"/>
        <v>3</v>
      </c>
      <c r="K29" s="61">
        <f t="shared" si="0"/>
        <v>6</v>
      </c>
      <c r="L29" s="61">
        <v>2</v>
      </c>
      <c r="M29" s="61" t="str">
        <f>_xlfn.TEXTJOIN("",,misc[[#This Row],[ROW]],misc[[#This Row],[ROW]])</f>
        <v>66</v>
      </c>
      <c r="N29" s="5" t="b">
        <f>misc[[#This Row],[Core_Hitter_Count]]&gt;0</f>
        <v>0</v>
      </c>
      <c r="O29" t="b">
        <f>misc[[#This Row],[LLC_Hitter_Count]]&gt;0</f>
        <v>0</v>
      </c>
      <c r="P29" t="b">
        <f>misc[[#This Row],[CHA_Hitter_Count]]&gt;0</f>
        <v>0</v>
      </c>
      <c r="Q29" t="str">
        <f>_xlfn.TEXTJOIN("",,"*SOCKET0**CBB",misc[[#This Row],[CBB]],"**BASE**I_CCF_ENV",misc[[#This Row],[ENV]],splitchar,"CBREGS_ALL",misc[[#This Row],[CBO]],splitchar,"MC_STATUS*")</f>
        <v>*SOCKET0**CBB0**BASE**I_CCF_ENV2__CBREGS_ALL66__MC_STATUS*</v>
      </c>
      <c r="R29">
        <f>COUNTIFS(cha_mc[TestName],misc[[#This Row],[CBO_MCA_String]],cha_mc[VisualId],MC_Check!$H$2)</f>
        <v>0</v>
      </c>
      <c r="S29" t="str">
        <f>_xlfn.TEXTJOIN("",,"*SOCKET0**CBB",misc[[#This Row],[CBB]],"**COMPUTE",misc[[#This Row],[Compute]],"**MODULE",misc[[#This Row],[Module]],splitchar,"**CORE**IFU*CR*MC0*STATUS**")</f>
        <v>*SOCKET0**CBB0**COMPUTE3**MODULE26__**CORE**IFU*CR*MC0*STATUS**</v>
      </c>
      <c r="T29">
        <f>COUNTIFS(core_mc[TestName],misc[[#This Row],[IFU_MCA_String]],core_mc[VisualId],MC_Check!$H$2)</f>
        <v>0</v>
      </c>
      <c r="U29" t="str">
        <f>_xlfn.TEXTJOIN("",,"*SOCKET0**CBB",misc[[#This Row],[CBB]],"**COMPUTE",misc[[#This Row],[Compute]],"**MODULE",misc[[#This Row],[Module]],splitchar,"**CORE**ROB1*CR*MC*STATUS**")</f>
        <v>*SOCKET0**CBB0**COMPUTE3**MODULE26__**CORE**ROB1*CR*MC*STATUS**</v>
      </c>
      <c r="V29">
        <f>COUNTIFS(core_mc[TestName],misc[[#This Row],[ROB_MCA_String]],core_mc[VisualId],MC_Check!$H$2)</f>
        <v>0</v>
      </c>
      <c r="W29" t="str">
        <f>_xlfn.TEXTJOIN("",,"*SOCKET0**CBB",misc[[#This Row],[CBB]],"**COMPUTE",misc[[#This Row],[Compute]],"**MODULE",misc[[#This Row],[Module]],splitchar,"**CORE**DCU*CR*MC1*STATUS**")</f>
        <v>*SOCKET0**CBB0**COMPUTE3**MODULE26__**CORE**DCU*CR*MC1*STATUS**</v>
      </c>
      <c r="X29">
        <f>COUNTIFS(core_mc[TestName],misc[[#This Row],[DCU_MCA_String]],core_mc[VisualId],MC_Check!$H$2)</f>
        <v>0</v>
      </c>
      <c r="Y29" t="str">
        <f>_xlfn.TEXTJOIN("",,"*SOCKET0**CBB",misc[[#This Row],[CBB]],"**COMPUTE",misc[[#This Row],[Compute]],"**MODULE",misc[[#This Row],[Module]],splitchar,"**CORE**DTLB*CR*MC2*STATUS**")</f>
        <v>*SOCKET0**CBB0**COMPUTE3**MODULE26__**CORE**DTLB*CR*MC2*STATUS**</v>
      </c>
      <c r="Z29">
        <f>COUNTIFS(core_mc[TestName],misc[[#This Row],[CORE_DTLB_String]],core_mc[VisualId],MC_Check!$H$2)</f>
        <v>0</v>
      </c>
      <c r="AA29" t="str">
        <f>_xlfn.TEXTJOIN("",,"*SOCKET0**CBB",misc[[#This Row],[CBB]],"**COMPUTE",misc[[#This Row],[Compute]],"**MODULE",misc[[#This Row],[Module]],splitchar,"**ML2*CR*MC3*STATUS**")</f>
        <v>*SOCKET0**CBB0**COMPUTE3**MODULE26__**ML2*CR*MC3*STATUS**</v>
      </c>
      <c r="AB29">
        <f>COUNTIFS(core_mc[TestName],misc[[#This Row],[Core_ML2_String]],core_mc[VisualId],MC_Check!$H$2)</f>
        <v>0</v>
      </c>
      <c r="AC29" t="str">
        <f>_xlfn.TEXTJOIN("",,"*SOCKET0**CBB",misc[[#This Row],[CBB]],"**COMPUTE",misc[[#This Row],[Compute]],"**MODULE",misc[[#This Row],[Module]],splitchar,"SPARE")</f>
        <v>*SOCKET0**CBB0**COMPUTE3**MODULE26__SPARE</v>
      </c>
      <c r="AD29">
        <f>COUNTIFS(core_mc[TestName],misc[[#This Row],[Core_L2_String - SPARE]],core_mc[VisualId],MC_Check!$H$2)</f>
        <v>0</v>
      </c>
      <c r="AE29">
        <f>misc[[#This Row],[Core_DTLB_Count]]+misc[[#This Row],[Core_DCU_Count]]+misc[[#This Row],[Core_IFU_Count]]+misc[[#This Row],[Core_ROB_Count]]+misc[[#This Row],[Core_L2_Count - SPARE]]+misc[[#This Row],[Core_ML2_Count]]</f>
        <v>0</v>
      </c>
      <c r="AF29" t="str">
        <f>_xlfn.TEXTJOIN(", ",,IF(misc[[#This Row],[Core_IFU_Count]]&gt;0,"IFU",""),IF(misc[[#This Row],[Core_DCU_Count]]&gt;0,"DCU",""),IF(misc[[#This Row],[Core_DTLB_Count]]&gt;0,"DTLB",""),IF(misc[[#This Row],[Core_ROB_Count]]&gt;0,"ROB",""),IF(misc[[#This Row],[Core_ML2_Count]]&gt;0,"ML2",""),IF(misc[[#This Row],[Core_L2_Count - SPARE]]&gt;0,"L2",""))</f>
        <v/>
      </c>
      <c r="AG29" t="str">
        <f>_xlfn.TEXTJOIN("",,"*SOCKET0**CBB",misc[[#This Row],[CBB]],"**BASE**I_CCF**ENV",misc[[#This Row],[ENV]],splitchar,"CBREGS_ALL",misc[[#This Row],[CBO]],splitchar,"SPARE")</f>
        <v>*SOCKET0**CBB0**BASE**I_CCF**ENV2__CBREGS_ALL66__SPARE</v>
      </c>
      <c r="AH29">
        <f>COUNTIFS(cha_mc[TestName],misc[[#This Row],[LLC_MCA_String - Not Used]],cha_mc[VisualId],MC_Check!$H$2)</f>
        <v>0</v>
      </c>
    </row>
    <row r="30" spans="6:34" x14ac:dyDescent="0.3">
      <c r="F30">
        <v>0</v>
      </c>
      <c r="G30">
        <v>27</v>
      </c>
      <c r="H30" s="61">
        <f>IF(MC_Check!$AN$2="PHY",misc[[#This Row],[location]],misc[[#This Row],[Module_log]])</f>
        <v>27</v>
      </c>
      <c r="I30" s="61">
        <f>misc[[#This Row],[Module]]</f>
        <v>27</v>
      </c>
      <c r="J30" s="61">
        <f t="shared" si="1"/>
        <v>3</v>
      </c>
      <c r="K30" s="61">
        <f t="shared" si="0"/>
        <v>6</v>
      </c>
      <c r="L30" s="61">
        <v>3</v>
      </c>
      <c r="M30" s="61" t="str">
        <f>_xlfn.TEXTJOIN("",,misc[[#This Row],[ROW]],misc[[#This Row],[ROW]])</f>
        <v>66</v>
      </c>
      <c r="N30" s="5" t="b">
        <f>misc[[#This Row],[Core_Hitter_Count]]&gt;0</f>
        <v>0</v>
      </c>
      <c r="O30" t="b">
        <f>misc[[#This Row],[LLC_Hitter_Count]]&gt;0</f>
        <v>0</v>
      </c>
      <c r="P30" t="b">
        <f>misc[[#This Row],[CHA_Hitter_Count]]&gt;0</f>
        <v>0</v>
      </c>
      <c r="Q30" t="str">
        <f>_xlfn.TEXTJOIN("",,"*SOCKET0**CBB",misc[[#This Row],[CBB]],"**BASE**I_CCF_ENV",misc[[#This Row],[ENV]],splitchar,"CBREGS_ALL",misc[[#This Row],[CBO]],splitchar,"MC_STATUS*")</f>
        <v>*SOCKET0**CBB0**BASE**I_CCF_ENV3__CBREGS_ALL66__MC_STATUS*</v>
      </c>
      <c r="R30">
        <f>COUNTIFS(cha_mc[TestName],misc[[#This Row],[CBO_MCA_String]],cha_mc[VisualId],MC_Check!$H$2)</f>
        <v>0</v>
      </c>
      <c r="S30" t="str">
        <f>_xlfn.TEXTJOIN("",,"*SOCKET0**CBB",misc[[#This Row],[CBB]],"**COMPUTE",misc[[#This Row],[Compute]],"**MODULE",misc[[#This Row],[Module]],splitchar,"**CORE**IFU*CR*MC0*STATUS**")</f>
        <v>*SOCKET0**CBB0**COMPUTE3**MODULE27__**CORE**IFU*CR*MC0*STATUS**</v>
      </c>
      <c r="T30">
        <f>COUNTIFS(core_mc[TestName],misc[[#This Row],[IFU_MCA_String]],core_mc[VisualId],MC_Check!$H$2)</f>
        <v>0</v>
      </c>
      <c r="U30" t="str">
        <f>_xlfn.TEXTJOIN("",,"*SOCKET0**CBB",misc[[#This Row],[CBB]],"**COMPUTE",misc[[#This Row],[Compute]],"**MODULE",misc[[#This Row],[Module]],splitchar,"**CORE**ROB1*CR*MC*STATUS**")</f>
        <v>*SOCKET0**CBB0**COMPUTE3**MODULE27__**CORE**ROB1*CR*MC*STATUS**</v>
      </c>
      <c r="V30">
        <f>COUNTIFS(core_mc[TestName],misc[[#This Row],[ROB_MCA_String]],core_mc[VisualId],MC_Check!$H$2)</f>
        <v>0</v>
      </c>
      <c r="W30" t="str">
        <f>_xlfn.TEXTJOIN("",,"*SOCKET0**CBB",misc[[#This Row],[CBB]],"**COMPUTE",misc[[#This Row],[Compute]],"**MODULE",misc[[#This Row],[Module]],splitchar,"**CORE**DCU*CR*MC1*STATUS**")</f>
        <v>*SOCKET0**CBB0**COMPUTE3**MODULE27__**CORE**DCU*CR*MC1*STATUS**</v>
      </c>
      <c r="X30">
        <f>COUNTIFS(core_mc[TestName],misc[[#This Row],[DCU_MCA_String]],core_mc[VisualId],MC_Check!$H$2)</f>
        <v>0</v>
      </c>
      <c r="Y30" t="str">
        <f>_xlfn.TEXTJOIN("",,"*SOCKET0**CBB",misc[[#This Row],[CBB]],"**COMPUTE",misc[[#This Row],[Compute]],"**MODULE",misc[[#This Row],[Module]],splitchar,"**CORE**DTLB*CR*MC2*STATUS**")</f>
        <v>*SOCKET0**CBB0**COMPUTE3**MODULE27__**CORE**DTLB*CR*MC2*STATUS**</v>
      </c>
      <c r="Z30">
        <f>COUNTIFS(core_mc[TestName],misc[[#This Row],[CORE_DTLB_String]],core_mc[VisualId],MC_Check!$H$2)</f>
        <v>0</v>
      </c>
      <c r="AA30" t="str">
        <f>_xlfn.TEXTJOIN("",,"*SOCKET0**CBB",misc[[#This Row],[CBB]],"**COMPUTE",misc[[#This Row],[Compute]],"**MODULE",misc[[#This Row],[Module]],splitchar,"**ML2*CR*MC3*STATUS**")</f>
        <v>*SOCKET0**CBB0**COMPUTE3**MODULE27__**ML2*CR*MC3*STATUS**</v>
      </c>
      <c r="AB30">
        <f>COUNTIFS(core_mc[TestName],misc[[#This Row],[Core_ML2_String]],core_mc[VisualId],MC_Check!$H$2)</f>
        <v>0</v>
      </c>
      <c r="AC30" t="str">
        <f>_xlfn.TEXTJOIN("",,"*SOCKET0**CBB",misc[[#This Row],[CBB]],"**COMPUTE",misc[[#This Row],[Compute]],"**MODULE",misc[[#This Row],[Module]],splitchar,"SPARE")</f>
        <v>*SOCKET0**CBB0**COMPUTE3**MODULE27__SPARE</v>
      </c>
      <c r="AD30">
        <f>COUNTIFS(core_mc[TestName],misc[[#This Row],[Core_L2_String - SPARE]],core_mc[VisualId],MC_Check!$H$2)</f>
        <v>0</v>
      </c>
      <c r="AE30">
        <f>misc[[#This Row],[Core_DTLB_Count]]+misc[[#This Row],[Core_DCU_Count]]+misc[[#This Row],[Core_IFU_Count]]+misc[[#This Row],[Core_ROB_Count]]+misc[[#This Row],[Core_L2_Count - SPARE]]+misc[[#This Row],[Core_ML2_Count]]</f>
        <v>0</v>
      </c>
      <c r="AF30" t="str">
        <f>_xlfn.TEXTJOIN(", ",,IF(misc[[#This Row],[Core_IFU_Count]]&gt;0,"IFU",""),IF(misc[[#This Row],[Core_DCU_Count]]&gt;0,"DCU",""),IF(misc[[#This Row],[Core_DTLB_Count]]&gt;0,"DTLB",""),IF(misc[[#This Row],[Core_ROB_Count]]&gt;0,"ROB",""),IF(misc[[#This Row],[Core_ML2_Count]]&gt;0,"ML2",""),IF(misc[[#This Row],[Core_L2_Count - SPARE]]&gt;0,"L2",""))</f>
        <v/>
      </c>
      <c r="AG30" t="str">
        <f>_xlfn.TEXTJOIN("",,"*SOCKET0**CBB",misc[[#This Row],[CBB]],"**BASE**I_CCF**ENV",misc[[#This Row],[ENV]],splitchar,"CBREGS_ALL",misc[[#This Row],[CBO]],splitchar,"SPARE")</f>
        <v>*SOCKET0**CBB0**BASE**I_CCF**ENV3__CBREGS_ALL66__SPARE</v>
      </c>
      <c r="AH30">
        <f>COUNTIFS(cha_mc[TestName],misc[[#This Row],[LLC_MCA_String - Not Used]],cha_mc[VisualId],MC_Check!$H$2)</f>
        <v>0</v>
      </c>
    </row>
    <row r="31" spans="6:34" x14ac:dyDescent="0.3">
      <c r="F31">
        <v>0</v>
      </c>
      <c r="G31">
        <v>28</v>
      </c>
      <c r="H31" s="61">
        <f>IF(MC_Check!$AN$2="PHY",misc[[#This Row],[location]],misc[[#This Row],[Module_log]])</f>
        <v>28</v>
      </c>
      <c r="I31" s="61">
        <f>misc[[#This Row],[Module]]</f>
        <v>28</v>
      </c>
      <c r="J31" s="61">
        <f t="shared" si="1"/>
        <v>3</v>
      </c>
      <c r="K31" s="61">
        <f>K27+1</f>
        <v>7</v>
      </c>
      <c r="L31" s="61">
        <v>0</v>
      </c>
      <c r="M31" s="61" t="str">
        <f>_xlfn.TEXTJOIN("",,misc[[#This Row],[ROW]],misc[[#This Row],[ROW]])</f>
        <v>77</v>
      </c>
      <c r="N31" s="5" t="b">
        <f>misc[[#This Row],[Core_Hitter_Count]]&gt;0</f>
        <v>0</v>
      </c>
      <c r="O31" t="b">
        <f>misc[[#This Row],[LLC_Hitter_Count]]&gt;0</f>
        <v>0</v>
      </c>
      <c r="P31" t="b">
        <f>misc[[#This Row],[CHA_Hitter_Count]]&gt;0</f>
        <v>0</v>
      </c>
      <c r="Q31" t="str">
        <f>_xlfn.TEXTJOIN("",,"*SOCKET0**CBB",misc[[#This Row],[CBB]],"**BASE**I_CCF_ENV",misc[[#This Row],[ENV]],splitchar,"CBREGS_ALL",misc[[#This Row],[CBO]],splitchar,"MC_STATUS*")</f>
        <v>*SOCKET0**CBB0**BASE**I_CCF_ENV0__CBREGS_ALL77__MC_STATUS*</v>
      </c>
      <c r="R31">
        <f>COUNTIFS(cha_mc[TestName],misc[[#This Row],[CBO_MCA_String]],cha_mc[VisualId],MC_Check!$H$2)</f>
        <v>0</v>
      </c>
      <c r="S31" t="str">
        <f>_xlfn.TEXTJOIN("",,"*SOCKET0**CBB",misc[[#This Row],[CBB]],"**COMPUTE",misc[[#This Row],[Compute]],"**MODULE",misc[[#This Row],[Module]],splitchar,"**CORE**IFU*CR*MC0*STATUS**")</f>
        <v>*SOCKET0**CBB0**COMPUTE3**MODULE28__**CORE**IFU*CR*MC0*STATUS**</v>
      </c>
      <c r="T31">
        <f>COUNTIFS(core_mc[TestName],misc[[#This Row],[IFU_MCA_String]],core_mc[VisualId],MC_Check!$H$2)</f>
        <v>0</v>
      </c>
      <c r="U31" t="str">
        <f>_xlfn.TEXTJOIN("",,"*SOCKET0**CBB",misc[[#This Row],[CBB]],"**COMPUTE",misc[[#This Row],[Compute]],"**MODULE",misc[[#This Row],[Module]],splitchar,"**CORE**ROB1*CR*MC*STATUS**")</f>
        <v>*SOCKET0**CBB0**COMPUTE3**MODULE28__**CORE**ROB1*CR*MC*STATUS**</v>
      </c>
      <c r="V31">
        <f>COUNTIFS(core_mc[TestName],misc[[#This Row],[ROB_MCA_String]],core_mc[VisualId],MC_Check!$H$2)</f>
        <v>0</v>
      </c>
      <c r="W31" t="str">
        <f>_xlfn.TEXTJOIN("",,"*SOCKET0**CBB",misc[[#This Row],[CBB]],"**COMPUTE",misc[[#This Row],[Compute]],"**MODULE",misc[[#This Row],[Module]],splitchar,"**CORE**DCU*CR*MC1*STATUS**")</f>
        <v>*SOCKET0**CBB0**COMPUTE3**MODULE28__**CORE**DCU*CR*MC1*STATUS**</v>
      </c>
      <c r="X31">
        <f>COUNTIFS(core_mc[TestName],misc[[#This Row],[DCU_MCA_String]],core_mc[VisualId],MC_Check!$H$2)</f>
        <v>0</v>
      </c>
      <c r="Y31" t="str">
        <f>_xlfn.TEXTJOIN("",,"*SOCKET0**CBB",misc[[#This Row],[CBB]],"**COMPUTE",misc[[#This Row],[Compute]],"**MODULE",misc[[#This Row],[Module]],splitchar,"**CORE**DTLB*CR*MC2*STATUS**")</f>
        <v>*SOCKET0**CBB0**COMPUTE3**MODULE28__**CORE**DTLB*CR*MC2*STATUS**</v>
      </c>
      <c r="Z31">
        <f>COUNTIFS(core_mc[TestName],misc[[#This Row],[CORE_DTLB_String]],core_mc[VisualId],MC_Check!$H$2)</f>
        <v>0</v>
      </c>
      <c r="AA31" t="str">
        <f>_xlfn.TEXTJOIN("",,"*SOCKET0**CBB",misc[[#This Row],[CBB]],"**COMPUTE",misc[[#This Row],[Compute]],"**MODULE",misc[[#This Row],[Module]],splitchar,"**ML2*CR*MC3*STATUS**")</f>
        <v>*SOCKET0**CBB0**COMPUTE3**MODULE28__**ML2*CR*MC3*STATUS**</v>
      </c>
      <c r="AB31">
        <f>COUNTIFS(core_mc[TestName],misc[[#This Row],[Core_ML2_String]],core_mc[VisualId],MC_Check!$H$2)</f>
        <v>0</v>
      </c>
      <c r="AC31" t="str">
        <f>_xlfn.TEXTJOIN("",,"*SOCKET0**CBB",misc[[#This Row],[CBB]],"**COMPUTE",misc[[#This Row],[Compute]],"**MODULE",misc[[#This Row],[Module]],splitchar,"SPARE")</f>
        <v>*SOCKET0**CBB0**COMPUTE3**MODULE28__SPARE</v>
      </c>
      <c r="AD31">
        <f>COUNTIFS(core_mc[TestName],misc[[#This Row],[Core_L2_String - SPARE]],core_mc[VisualId],MC_Check!$H$2)</f>
        <v>0</v>
      </c>
      <c r="AE31">
        <f>misc[[#This Row],[Core_DTLB_Count]]+misc[[#This Row],[Core_DCU_Count]]+misc[[#This Row],[Core_IFU_Count]]+misc[[#This Row],[Core_ROB_Count]]+misc[[#This Row],[Core_L2_Count - SPARE]]+misc[[#This Row],[Core_ML2_Count]]</f>
        <v>0</v>
      </c>
      <c r="AF31" t="str">
        <f>_xlfn.TEXTJOIN(", ",,IF(misc[[#This Row],[Core_IFU_Count]]&gt;0,"IFU",""),IF(misc[[#This Row],[Core_DCU_Count]]&gt;0,"DCU",""),IF(misc[[#This Row],[Core_DTLB_Count]]&gt;0,"DTLB",""),IF(misc[[#This Row],[Core_ROB_Count]]&gt;0,"ROB",""),IF(misc[[#This Row],[Core_ML2_Count]]&gt;0,"ML2",""),IF(misc[[#This Row],[Core_L2_Count - SPARE]]&gt;0,"L2",""))</f>
        <v/>
      </c>
      <c r="AG31" t="str">
        <f>_xlfn.TEXTJOIN("",,"*SOCKET0**CBB",misc[[#This Row],[CBB]],"**BASE**I_CCF**ENV",misc[[#This Row],[ENV]],splitchar,"CBREGS_ALL",misc[[#This Row],[CBO]],splitchar,"SPARE")</f>
        <v>*SOCKET0**CBB0**BASE**I_CCF**ENV0__CBREGS_ALL77__SPARE</v>
      </c>
      <c r="AH31">
        <f>COUNTIFS(cha_mc[TestName],misc[[#This Row],[LLC_MCA_String - Not Used]],cha_mc[VisualId],MC_Check!$H$2)</f>
        <v>0</v>
      </c>
    </row>
    <row r="32" spans="6:34" x14ac:dyDescent="0.3">
      <c r="F32">
        <v>0</v>
      </c>
      <c r="G32">
        <v>29</v>
      </c>
      <c r="H32" s="61">
        <f>IF(MC_Check!$AN$2="PHY",misc[[#This Row],[location]],misc[[#This Row],[Module_log]])</f>
        <v>29</v>
      </c>
      <c r="I32" s="61">
        <f>misc[[#This Row],[Module]]</f>
        <v>29</v>
      </c>
      <c r="J32" s="61">
        <f t="shared" si="1"/>
        <v>3</v>
      </c>
      <c r="K32" s="61">
        <f t="shared" si="0"/>
        <v>7</v>
      </c>
      <c r="L32" s="61">
        <v>1</v>
      </c>
      <c r="M32" s="61" t="str">
        <f>_xlfn.TEXTJOIN("",,misc[[#This Row],[ROW]],misc[[#This Row],[ROW]])</f>
        <v>77</v>
      </c>
      <c r="N32" s="5" t="b">
        <f>misc[[#This Row],[Core_Hitter_Count]]&gt;0</f>
        <v>0</v>
      </c>
      <c r="O32" t="b">
        <f>misc[[#This Row],[LLC_Hitter_Count]]&gt;0</f>
        <v>0</v>
      </c>
      <c r="P32" t="b">
        <f>misc[[#This Row],[CHA_Hitter_Count]]&gt;0</f>
        <v>0</v>
      </c>
      <c r="Q32" t="str">
        <f>_xlfn.TEXTJOIN("",,"*SOCKET0**CBB",misc[[#This Row],[CBB]],"**BASE**I_CCF_ENV",misc[[#This Row],[ENV]],splitchar,"CBREGS_ALL",misc[[#This Row],[CBO]],splitchar,"MC_STATUS*")</f>
        <v>*SOCKET0**CBB0**BASE**I_CCF_ENV1__CBREGS_ALL77__MC_STATUS*</v>
      </c>
      <c r="R32">
        <f>COUNTIFS(cha_mc[TestName],misc[[#This Row],[CBO_MCA_String]],cha_mc[VisualId],MC_Check!$H$2)</f>
        <v>0</v>
      </c>
      <c r="S32" t="str">
        <f>_xlfn.TEXTJOIN("",,"*SOCKET0**CBB",misc[[#This Row],[CBB]],"**COMPUTE",misc[[#This Row],[Compute]],"**MODULE",misc[[#This Row],[Module]],splitchar,"**CORE**IFU*CR*MC0*STATUS**")</f>
        <v>*SOCKET0**CBB0**COMPUTE3**MODULE29__**CORE**IFU*CR*MC0*STATUS**</v>
      </c>
      <c r="T32">
        <f>COUNTIFS(core_mc[TestName],misc[[#This Row],[IFU_MCA_String]],core_mc[VisualId],MC_Check!$H$2)</f>
        <v>0</v>
      </c>
      <c r="U32" t="str">
        <f>_xlfn.TEXTJOIN("",,"*SOCKET0**CBB",misc[[#This Row],[CBB]],"**COMPUTE",misc[[#This Row],[Compute]],"**MODULE",misc[[#This Row],[Module]],splitchar,"**CORE**ROB1*CR*MC*STATUS**")</f>
        <v>*SOCKET0**CBB0**COMPUTE3**MODULE29__**CORE**ROB1*CR*MC*STATUS**</v>
      </c>
      <c r="V32">
        <f>COUNTIFS(core_mc[TestName],misc[[#This Row],[ROB_MCA_String]],core_mc[VisualId],MC_Check!$H$2)</f>
        <v>0</v>
      </c>
      <c r="W32" t="str">
        <f>_xlfn.TEXTJOIN("",,"*SOCKET0**CBB",misc[[#This Row],[CBB]],"**COMPUTE",misc[[#This Row],[Compute]],"**MODULE",misc[[#This Row],[Module]],splitchar,"**CORE**DCU*CR*MC1*STATUS**")</f>
        <v>*SOCKET0**CBB0**COMPUTE3**MODULE29__**CORE**DCU*CR*MC1*STATUS**</v>
      </c>
      <c r="X32">
        <f>COUNTIFS(core_mc[TestName],misc[[#This Row],[DCU_MCA_String]],core_mc[VisualId],MC_Check!$H$2)</f>
        <v>0</v>
      </c>
      <c r="Y32" t="str">
        <f>_xlfn.TEXTJOIN("",,"*SOCKET0**CBB",misc[[#This Row],[CBB]],"**COMPUTE",misc[[#This Row],[Compute]],"**MODULE",misc[[#This Row],[Module]],splitchar,"**CORE**DTLB*CR*MC2*STATUS**")</f>
        <v>*SOCKET0**CBB0**COMPUTE3**MODULE29__**CORE**DTLB*CR*MC2*STATUS**</v>
      </c>
      <c r="Z32">
        <f>COUNTIFS(core_mc[TestName],misc[[#This Row],[CORE_DTLB_String]],core_mc[VisualId],MC_Check!$H$2)</f>
        <v>0</v>
      </c>
      <c r="AA32" t="str">
        <f>_xlfn.TEXTJOIN("",,"*SOCKET0**CBB",misc[[#This Row],[CBB]],"**COMPUTE",misc[[#This Row],[Compute]],"**MODULE",misc[[#This Row],[Module]],splitchar,"**ML2*CR*MC3*STATUS**")</f>
        <v>*SOCKET0**CBB0**COMPUTE3**MODULE29__**ML2*CR*MC3*STATUS**</v>
      </c>
      <c r="AB32">
        <f>COUNTIFS(core_mc[TestName],misc[[#This Row],[Core_ML2_String]],core_mc[VisualId],MC_Check!$H$2)</f>
        <v>0</v>
      </c>
      <c r="AC32" t="str">
        <f>_xlfn.TEXTJOIN("",,"*SOCKET0**CBB",misc[[#This Row],[CBB]],"**COMPUTE",misc[[#This Row],[Compute]],"**MODULE",misc[[#This Row],[Module]],splitchar,"SPARE")</f>
        <v>*SOCKET0**CBB0**COMPUTE3**MODULE29__SPARE</v>
      </c>
      <c r="AD32">
        <f>COUNTIFS(core_mc[TestName],misc[[#This Row],[Core_L2_String - SPARE]],core_mc[VisualId],MC_Check!$H$2)</f>
        <v>0</v>
      </c>
      <c r="AE32">
        <f>misc[[#This Row],[Core_DTLB_Count]]+misc[[#This Row],[Core_DCU_Count]]+misc[[#This Row],[Core_IFU_Count]]+misc[[#This Row],[Core_ROB_Count]]+misc[[#This Row],[Core_L2_Count - SPARE]]+misc[[#This Row],[Core_ML2_Count]]</f>
        <v>0</v>
      </c>
      <c r="AF32" t="str">
        <f>_xlfn.TEXTJOIN(", ",,IF(misc[[#This Row],[Core_IFU_Count]]&gt;0,"IFU",""),IF(misc[[#This Row],[Core_DCU_Count]]&gt;0,"DCU",""),IF(misc[[#This Row],[Core_DTLB_Count]]&gt;0,"DTLB",""),IF(misc[[#This Row],[Core_ROB_Count]]&gt;0,"ROB",""),IF(misc[[#This Row],[Core_ML2_Count]]&gt;0,"ML2",""),IF(misc[[#This Row],[Core_L2_Count - SPARE]]&gt;0,"L2",""))</f>
        <v/>
      </c>
      <c r="AG32" t="str">
        <f>_xlfn.TEXTJOIN("",,"*SOCKET0**CBB",misc[[#This Row],[CBB]],"**BASE**I_CCF**ENV",misc[[#This Row],[ENV]],splitchar,"CBREGS_ALL",misc[[#This Row],[CBO]],splitchar,"SPARE")</f>
        <v>*SOCKET0**CBB0**BASE**I_CCF**ENV1__CBREGS_ALL77__SPARE</v>
      </c>
      <c r="AH32">
        <f>COUNTIFS(cha_mc[TestName],misc[[#This Row],[LLC_MCA_String - Not Used]],cha_mc[VisualId],MC_Check!$H$2)</f>
        <v>0</v>
      </c>
    </row>
    <row r="33" spans="6:34" x14ac:dyDescent="0.3">
      <c r="F33">
        <v>0</v>
      </c>
      <c r="G33">
        <v>30</v>
      </c>
      <c r="H33" s="61">
        <f>IF(MC_Check!$AN$2="PHY",misc[[#This Row],[location]],misc[[#This Row],[Module_log]])</f>
        <v>30</v>
      </c>
      <c r="I33" s="61">
        <f>misc[[#This Row],[Module]]</f>
        <v>30</v>
      </c>
      <c r="J33" s="61">
        <f t="shared" si="1"/>
        <v>3</v>
      </c>
      <c r="K33" s="61">
        <f t="shared" si="0"/>
        <v>7</v>
      </c>
      <c r="L33" s="61">
        <v>2</v>
      </c>
      <c r="M33" s="61" t="str">
        <f>_xlfn.TEXTJOIN("",,misc[[#This Row],[ROW]],misc[[#This Row],[ROW]])</f>
        <v>77</v>
      </c>
      <c r="N33" s="5" t="b">
        <f>misc[[#This Row],[Core_Hitter_Count]]&gt;0</f>
        <v>0</v>
      </c>
      <c r="O33" t="b">
        <f>misc[[#This Row],[LLC_Hitter_Count]]&gt;0</f>
        <v>0</v>
      </c>
      <c r="P33" t="b">
        <f>misc[[#This Row],[CHA_Hitter_Count]]&gt;0</f>
        <v>0</v>
      </c>
      <c r="Q33" t="str">
        <f>_xlfn.TEXTJOIN("",,"*SOCKET0**CBB",misc[[#This Row],[CBB]],"**BASE**I_CCF_ENV",misc[[#This Row],[ENV]],splitchar,"CBREGS_ALL",misc[[#This Row],[CBO]],splitchar,"MC_STATUS*")</f>
        <v>*SOCKET0**CBB0**BASE**I_CCF_ENV2__CBREGS_ALL77__MC_STATUS*</v>
      </c>
      <c r="R33">
        <f>COUNTIFS(cha_mc[TestName],misc[[#This Row],[CBO_MCA_String]],cha_mc[VisualId],MC_Check!$H$2)</f>
        <v>0</v>
      </c>
      <c r="S33" t="str">
        <f>_xlfn.TEXTJOIN("",,"*SOCKET0**CBB",misc[[#This Row],[CBB]],"**COMPUTE",misc[[#This Row],[Compute]],"**MODULE",misc[[#This Row],[Module]],splitchar,"**CORE**IFU*CR*MC0*STATUS**")</f>
        <v>*SOCKET0**CBB0**COMPUTE3**MODULE30__**CORE**IFU*CR*MC0*STATUS**</v>
      </c>
      <c r="T33">
        <f>COUNTIFS(core_mc[TestName],misc[[#This Row],[IFU_MCA_String]],core_mc[VisualId],MC_Check!$H$2)</f>
        <v>0</v>
      </c>
      <c r="U33" t="str">
        <f>_xlfn.TEXTJOIN("",,"*SOCKET0**CBB",misc[[#This Row],[CBB]],"**COMPUTE",misc[[#This Row],[Compute]],"**MODULE",misc[[#This Row],[Module]],splitchar,"**CORE**ROB1*CR*MC*STATUS**")</f>
        <v>*SOCKET0**CBB0**COMPUTE3**MODULE30__**CORE**ROB1*CR*MC*STATUS**</v>
      </c>
      <c r="V33">
        <f>COUNTIFS(core_mc[TestName],misc[[#This Row],[ROB_MCA_String]],core_mc[VisualId],MC_Check!$H$2)</f>
        <v>0</v>
      </c>
      <c r="W33" t="str">
        <f>_xlfn.TEXTJOIN("",,"*SOCKET0**CBB",misc[[#This Row],[CBB]],"**COMPUTE",misc[[#This Row],[Compute]],"**MODULE",misc[[#This Row],[Module]],splitchar,"**CORE**DCU*CR*MC1*STATUS**")</f>
        <v>*SOCKET0**CBB0**COMPUTE3**MODULE30__**CORE**DCU*CR*MC1*STATUS**</v>
      </c>
      <c r="X33">
        <f>COUNTIFS(core_mc[TestName],misc[[#This Row],[DCU_MCA_String]],core_mc[VisualId],MC_Check!$H$2)</f>
        <v>0</v>
      </c>
      <c r="Y33" t="str">
        <f>_xlfn.TEXTJOIN("",,"*SOCKET0**CBB",misc[[#This Row],[CBB]],"**COMPUTE",misc[[#This Row],[Compute]],"**MODULE",misc[[#This Row],[Module]],splitchar,"**CORE**DTLB*CR*MC2*STATUS**")</f>
        <v>*SOCKET0**CBB0**COMPUTE3**MODULE30__**CORE**DTLB*CR*MC2*STATUS**</v>
      </c>
      <c r="Z33">
        <f>COUNTIFS(core_mc[TestName],misc[[#This Row],[CORE_DTLB_String]],core_mc[VisualId],MC_Check!$H$2)</f>
        <v>0</v>
      </c>
      <c r="AA33" t="str">
        <f>_xlfn.TEXTJOIN("",,"*SOCKET0**CBB",misc[[#This Row],[CBB]],"**COMPUTE",misc[[#This Row],[Compute]],"**MODULE",misc[[#This Row],[Module]],splitchar,"**ML2*CR*MC3*STATUS**")</f>
        <v>*SOCKET0**CBB0**COMPUTE3**MODULE30__**ML2*CR*MC3*STATUS**</v>
      </c>
      <c r="AB33">
        <f>COUNTIFS(core_mc[TestName],misc[[#This Row],[Core_ML2_String]],core_mc[VisualId],MC_Check!$H$2)</f>
        <v>0</v>
      </c>
      <c r="AC33" t="str">
        <f>_xlfn.TEXTJOIN("",,"*SOCKET0**CBB",misc[[#This Row],[CBB]],"**COMPUTE",misc[[#This Row],[Compute]],"**MODULE",misc[[#This Row],[Module]],splitchar,"SPARE")</f>
        <v>*SOCKET0**CBB0**COMPUTE3**MODULE30__SPARE</v>
      </c>
      <c r="AD33">
        <f>COUNTIFS(core_mc[TestName],misc[[#This Row],[Core_L2_String - SPARE]],core_mc[VisualId],MC_Check!$H$2)</f>
        <v>0</v>
      </c>
      <c r="AE33">
        <f>misc[[#This Row],[Core_DTLB_Count]]+misc[[#This Row],[Core_DCU_Count]]+misc[[#This Row],[Core_IFU_Count]]+misc[[#This Row],[Core_ROB_Count]]+misc[[#This Row],[Core_L2_Count - SPARE]]+misc[[#This Row],[Core_ML2_Count]]</f>
        <v>0</v>
      </c>
      <c r="AF33" t="str">
        <f>_xlfn.TEXTJOIN(", ",,IF(misc[[#This Row],[Core_IFU_Count]]&gt;0,"IFU",""),IF(misc[[#This Row],[Core_DCU_Count]]&gt;0,"DCU",""),IF(misc[[#This Row],[Core_DTLB_Count]]&gt;0,"DTLB",""),IF(misc[[#This Row],[Core_ROB_Count]]&gt;0,"ROB",""),IF(misc[[#This Row],[Core_ML2_Count]]&gt;0,"ML2",""),IF(misc[[#This Row],[Core_L2_Count - SPARE]]&gt;0,"L2",""))</f>
        <v/>
      </c>
      <c r="AG33" t="str">
        <f>_xlfn.TEXTJOIN("",,"*SOCKET0**CBB",misc[[#This Row],[CBB]],"**BASE**I_CCF**ENV",misc[[#This Row],[ENV]],splitchar,"CBREGS_ALL",misc[[#This Row],[CBO]],splitchar,"SPARE")</f>
        <v>*SOCKET0**CBB0**BASE**I_CCF**ENV2__CBREGS_ALL77__SPARE</v>
      </c>
      <c r="AH33">
        <f>COUNTIFS(cha_mc[TestName],misc[[#This Row],[LLC_MCA_String - Not Used]],cha_mc[VisualId],MC_Check!$H$2)</f>
        <v>0</v>
      </c>
    </row>
    <row r="34" spans="6:34" x14ac:dyDescent="0.3">
      <c r="F34">
        <v>0</v>
      </c>
      <c r="G34">
        <v>31</v>
      </c>
      <c r="H34" s="61">
        <f>IF(MC_Check!$AN$2="PHY",misc[[#This Row],[location]],misc[[#This Row],[Module_log]])</f>
        <v>31</v>
      </c>
      <c r="I34" s="61">
        <f>misc[[#This Row],[Module]]</f>
        <v>31</v>
      </c>
      <c r="J34" s="61">
        <f t="shared" si="1"/>
        <v>3</v>
      </c>
      <c r="K34" s="61">
        <f t="shared" si="0"/>
        <v>7</v>
      </c>
      <c r="L34" s="61">
        <v>3</v>
      </c>
      <c r="M34" s="61" t="str">
        <f>_xlfn.TEXTJOIN("",,misc[[#This Row],[ROW]],misc[[#This Row],[ROW]])</f>
        <v>77</v>
      </c>
      <c r="N34" s="5" t="b">
        <f>misc[[#This Row],[Core_Hitter_Count]]&gt;0</f>
        <v>0</v>
      </c>
      <c r="O34" t="b">
        <f>misc[[#This Row],[LLC_Hitter_Count]]&gt;0</f>
        <v>0</v>
      </c>
      <c r="P34" t="b">
        <f>misc[[#This Row],[CHA_Hitter_Count]]&gt;0</f>
        <v>0</v>
      </c>
      <c r="Q34" t="str">
        <f>_xlfn.TEXTJOIN("",,"*SOCKET0**CBB",misc[[#This Row],[CBB]],"**BASE**I_CCF_ENV",misc[[#This Row],[ENV]],splitchar,"CBREGS_ALL",misc[[#This Row],[CBO]],splitchar,"MC_STATUS*")</f>
        <v>*SOCKET0**CBB0**BASE**I_CCF_ENV3__CBREGS_ALL77__MC_STATUS*</v>
      </c>
      <c r="R34">
        <f>COUNTIFS(cha_mc[TestName],misc[[#This Row],[CBO_MCA_String]],cha_mc[VisualId],MC_Check!$H$2)</f>
        <v>0</v>
      </c>
      <c r="S34" t="str">
        <f>_xlfn.TEXTJOIN("",,"*SOCKET0**CBB",misc[[#This Row],[CBB]],"**COMPUTE",misc[[#This Row],[Compute]],"**MODULE",misc[[#This Row],[Module]],splitchar,"**CORE**IFU*CR*MC0*STATUS**")</f>
        <v>*SOCKET0**CBB0**COMPUTE3**MODULE31__**CORE**IFU*CR*MC0*STATUS**</v>
      </c>
      <c r="T34">
        <f>COUNTIFS(core_mc[TestName],misc[[#This Row],[IFU_MCA_String]],core_mc[VisualId],MC_Check!$H$2)</f>
        <v>0</v>
      </c>
      <c r="U34" t="str">
        <f>_xlfn.TEXTJOIN("",,"*SOCKET0**CBB",misc[[#This Row],[CBB]],"**COMPUTE",misc[[#This Row],[Compute]],"**MODULE",misc[[#This Row],[Module]],splitchar,"**CORE**ROB1*CR*MC*STATUS**")</f>
        <v>*SOCKET0**CBB0**COMPUTE3**MODULE31__**CORE**ROB1*CR*MC*STATUS**</v>
      </c>
      <c r="V34">
        <f>COUNTIFS(core_mc[TestName],misc[[#This Row],[ROB_MCA_String]],core_mc[VisualId],MC_Check!$H$2)</f>
        <v>0</v>
      </c>
      <c r="W34" t="str">
        <f>_xlfn.TEXTJOIN("",,"*SOCKET0**CBB",misc[[#This Row],[CBB]],"**COMPUTE",misc[[#This Row],[Compute]],"**MODULE",misc[[#This Row],[Module]],splitchar,"**CORE**DCU*CR*MC1*STATUS**")</f>
        <v>*SOCKET0**CBB0**COMPUTE3**MODULE31__**CORE**DCU*CR*MC1*STATUS**</v>
      </c>
      <c r="X34">
        <f>COUNTIFS(core_mc[TestName],misc[[#This Row],[DCU_MCA_String]],core_mc[VisualId],MC_Check!$H$2)</f>
        <v>0</v>
      </c>
      <c r="Y34" t="str">
        <f>_xlfn.TEXTJOIN("",,"*SOCKET0**CBB",misc[[#This Row],[CBB]],"**COMPUTE",misc[[#This Row],[Compute]],"**MODULE",misc[[#This Row],[Module]],splitchar,"**CORE**DTLB*CR*MC2*STATUS**")</f>
        <v>*SOCKET0**CBB0**COMPUTE3**MODULE31__**CORE**DTLB*CR*MC2*STATUS**</v>
      </c>
      <c r="Z34">
        <f>COUNTIFS(core_mc[TestName],misc[[#This Row],[CORE_DTLB_String]],core_mc[VisualId],MC_Check!$H$2)</f>
        <v>0</v>
      </c>
      <c r="AA34" t="str">
        <f>_xlfn.TEXTJOIN("",,"*SOCKET0**CBB",misc[[#This Row],[CBB]],"**COMPUTE",misc[[#This Row],[Compute]],"**MODULE",misc[[#This Row],[Module]],splitchar,"**ML2*CR*MC3*STATUS**")</f>
        <v>*SOCKET0**CBB0**COMPUTE3**MODULE31__**ML2*CR*MC3*STATUS**</v>
      </c>
      <c r="AB34">
        <f>COUNTIFS(core_mc[TestName],misc[[#This Row],[Core_ML2_String]],core_mc[VisualId],MC_Check!$H$2)</f>
        <v>0</v>
      </c>
      <c r="AC34" t="str">
        <f>_xlfn.TEXTJOIN("",,"*SOCKET0**CBB",misc[[#This Row],[CBB]],"**COMPUTE",misc[[#This Row],[Compute]],"**MODULE",misc[[#This Row],[Module]],splitchar,"SPARE")</f>
        <v>*SOCKET0**CBB0**COMPUTE3**MODULE31__SPARE</v>
      </c>
      <c r="AD34">
        <f>COUNTIFS(core_mc[TestName],misc[[#This Row],[Core_L2_String - SPARE]],core_mc[VisualId],MC_Check!$H$2)</f>
        <v>0</v>
      </c>
      <c r="AE34">
        <f>misc[[#This Row],[Core_DTLB_Count]]+misc[[#This Row],[Core_DCU_Count]]+misc[[#This Row],[Core_IFU_Count]]+misc[[#This Row],[Core_ROB_Count]]+misc[[#This Row],[Core_L2_Count - SPARE]]+misc[[#This Row],[Core_ML2_Count]]</f>
        <v>0</v>
      </c>
      <c r="AF34" t="str">
        <f>_xlfn.TEXTJOIN(", ",,IF(misc[[#This Row],[Core_IFU_Count]]&gt;0,"IFU",""),IF(misc[[#This Row],[Core_DCU_Count]]&gt;0,"DCU",""),IF(misc[[#This Row],[Core_DTLB_Count]]&gt;0,"DTLB",""),IF(misc[[#This Row],[Core_ROB_Count]]&gt;0,"ROB",""),IF(misc[[#This Row],[Core_ML2_Count]]&gt;0,"ML2",""),IF(misc[[#This Row],[Core_L2_Count - SPARE]]&gt;0,"L2",""))</f>
        <v/>
      </c>
      <c r="AG34" t="str">
        <f>_xlfn.TEXTJOIN("",,"*SOCKET0**CBB",misc[[#This Row],[CBB]],"**BASE**I_CCF**ENV",misc[[#This Row],[ENV]],splitchar,"CBREGS_ALL",misc[[#This Row],[CBO]],splitchar,"SPARE")</f>
        <v>*SOCKET0**CBB0**BASE**I_CCF**ENV3__CBREGS_ALL77__SPARE</v>
      </c>
      <c r="AH34">
        <f>COUNTIFS(cha_mc[TestName],misc[[#This Row],[LLC_MCA_String - Not Used]],cha_mc[VisualId],MC_Check!$H$2)</f>
        <v>0</v>
      </c>
    </row>
    <row r="35" spans="6:34" x14ac:dyDescent="0.3">
      <c r="F35">
        <v>1</v>
      </c>
      <c r="G35">
        <v>0</v>
      </c>
      <c r="H35" s="61">
        <f>IF(MC_Check!$AN$2="PHY",misc[[#This Row],[location]],misc[[#This Row],[Module_log]])</f>
        <v>0</v>
      </c>
      <c r="I35" s="61">
        <f>misc[[#This Row],[Module]]</f>
        <v>0</v>
      </c>
      <c r="J35" s="61">
        <v>0</v>
      </c>
      <c r="K35" s="61">
        <v>0</v>
      </c>
      <c r="L35" s="61">
        <v>0</v>
      </c>
      <c r="M35" s="61" t="str">
        <f>_xlfn.TEXTJOIN("",,misc[[#This Row],[ROW]],misc[[#This Row],[ROW]])</f>
        <v>00</v>
      </c>
      <c r="N35" s="5" t="b">
        <f>misc[[#This Row],[Core_Hitter_Count]]&gt;0</f>
        <v>0</v>
      </c>
      <c r="O35" t="b">
        <f>misc[[#This Row],[LLC_Hitter_Count]]&gt;0</f>
        <v>0</v>
      </c>
      <c r="P35" t="b">
        <f>misc[[#This Row],[CHA_Hitter_Count]]&gt;0</f>
        <v>0</v>
      </c>
      <c r="Q35" t="str">
        <f>_xlfn.TEXTJOIN("",,"*SOCKET0**CBB",misc[[#This Row],[CBB]],"**BASE**I_CCF_ENV",misc[[#This Row],[ENV]],splitchar,"CBREGS_ALL",misc[[#This Row],[CBO]],splitchar,"MC_STATUS*")</f>
        <v>*SOCKET0**CBB1**BASE**I_CCF_ENV0__CBREGS_ALL00__MC_STATUS*</v>
      </c>
      <c r="R35">
        <f>COUNTIFS(cha_mc[TestName],misc[[#This Row],[CBO_MCA_String]],cha_mc[VisualId],MC_Check!$H$2)</f>
        <v>0</v>
      </c>
      <c r="S35" t="str">
        <f>_xlfn.TEXTJOIN("",,"*SOCKET0**CBB",misc[[#This Row],[CBB]],"**COMPUTE",misc[[#This Row],[Compute]],"**MODULE",misc[[#This Row],[Module]],splitchar,"**CORE**IFU*CR*MC0*STATUS**")</f>
        <v>*SOCKET0**CBB1**COMPUTE0**MODULE0__**CORE**IFU*CR*MC0*STATUS**</v>
      </c>
      <c r="T35">
        <f>COUNTIFS(core_mc[TestName],misc[[#This Row],[IFU_MCA_String]],core_mc[VisualId],MC_Check!$H$2)</f>
        <v>0</v>
      </c>
      <c r="U35" t="str">
        <f>_xlfn.TEXTJOIN("",,"*SOCKET0**CBB",misc[[#This Row],[CBB]],"**COMPUTE",misc[[#This Row],[Compute]],"**MODULE",misc[[#This Row],[Module]],splitchar,"**CORE**ROB1*CR*MC*STATUS**")</f>
        <v>*SOCKET0**CBB1**COMPUTE0**MODULE0__**CORE**ROB1*CR*MC*STATUS**</v>
      </c>
      <c r="V35">
        <f>COUNTIFS(core_mc[TestName],misc[[#This Row],[ROB_MCA_String]],core_mc[VisualId],MC_Check!$H$2)</f>
        <v>0</v>
      </c>
      <c r="W35" t="str">
        <f>_xlfn.TEXTJOIN("",,"*SOCKET0**CBB",misc[[#This Row],[CBB]],"**COMPUTE",misc[[#This Row],[Compute]],"**MODULE",misc[[#This Row],[Module]],splitchar,"**CORE**DCU*CR*MC1*STATUS**")</f>
        <v>*SOCKET0**CBB1**COMPUTE0**MODULE0__**CORE**DCU*CR*MC1*STATUS**</v>
      </c>
      <c r="X35">
        <f>COUNTIFS(core_mc[TestName],misc[[#This Row],[DCU_MCA_String]],core_mc[VisualId],MC_Check!$H$2)</f>
        <v>0</v>
      </c>
      <c r="Y35" t="str">
        <f>_xlfn.TEXTJOIN("",,"*SOCKET0**CBB",misc[[#This Row],[CBB]],"**COMPUTE",misc[[#This Row],[Compute]],"**MODULE",misc[[#This Row],[Module]],splitchar,"**CORE**DTLB*CR*MC2*STATUS**")</f>
        <v>*SOCKET0**CBB1**COMPUTE0**MODULE0__**CORE**DTLB*CR*MC2*STATUS**</v>
      </c>
      <c r="Z35">
        <f>COUNTIFS(core_mc[TestName],misc[[#This Row],[CORE_DTLB_String]],core_mc[VisualId],MC_Check!$H$2)</f>
        <v>0</v>
      </c>
      <c r="AA35" t="str">
        <f>_xlfn.TEXTJOIN("",,"*SOCKET0**CBB",misc[[#This Row],[CBB]],"**COMPUTE",misc[[#This Row],[Compute]],"**MODULE",misc[[#This Row],[Module]],splitchar,"**ML2*CR*MC3*STATUS**")</f>
        <v>*SOCKET0**CBB1**COMPUTE0**MODULE0__**ML2*CR*MC3*STATUS**</v>
      </c>
      <c r="AB35">
        <f>COUNTIFS(core_mc[TestName],misc[[#This Row],[Core_ML2_String]],core_mc[VisualId],MC_Check!$H$2)</f>
        <v>0</v>
      </c>
      <c r="AC35" t="str">
        <f>_xlfn.TEXTJOIN("",,"*SOCKET0**CBB",misc[[#This Row],[CBB]],"**COMPUTE",misc[[#This Row],[Compute]],"**MODULE",misc[[#This Row],[Module]],splitchar,"SPARE")</f>
        <v>*SOCKET0**CBB1**COMPUTE0**MODULE0__SPARE</v>
      </c>
      <c r="AD35">
        <f>COUNTIFS(core_mc[TestName],misc[[#This Row],[Core_L2_String - SPARE]],core_mc[VisualId],MC_Check!$H$2)</f>
        <v>0</v>
      </c>
      <c r="AE35">
        <f>misc[[#This Row],[Core_DTLB_Count]]+misc[[#This Row],[Core_DCU_Count]]+misc[[#This Row],[Core_IFU_Count]]+misc[[#This Row],[Core_ROB_Count]]+misc[[#This Row],[Core_L2_Count - SPARE]]+misc[[#This Row],[Core_ML2_Count]]</f>
        <v>0</v>
      </c>
      <c r="AF35" t="str">
        <f>_xlfn.TEXTJOIN(", ",,IF(misc[[#This Row],[Core_IFU_Count]]&gt;0,"IFU",""),IF(misc[[#This Row],[Core_DCU_Count]]&gt;0,"DCU",""),IF(misc[[#This Row],[Core_DTLB_Count]]&gt;0,"DTLB",""),IF(misc[[#This Row],[Core_ROB_Count]]&gt;0,"ROB",""),IF(misc[[#This Row],[Core_ML2_Count]]&gt;0,"ML2",""),IF(misc[[#This Row],[Core_L2_Count - SPARE]]&gt;0,"L2",""))</f>
        <v/>
      </c>
      <c r="AG35" t="str">
        <f>_xlfn.TEXTJOIN("",,"*SOCKET0**CBB",misc[[#This Row],[CBB]],"**BASE**I_CCF**ENV",misc[[#This Row],[ENV]],splitchar,"CBREGS_ALL",misc[[#This Row],[CBO]],splitchar,"SPARE")</f>
        <v>*SOCKET0**CBB1**BASE**I_CCF**ENV0__CBREGS_ALL00__SPARE</v>
      </c>
      <c r="AH35">
        <f>COUNTIFS(cha_mc[TestName],misc[[#This Row],[LLC_MCA_String - Not Used]],cha_mc[VisualId],MC_Check!$H$2)</f>
        <v>0</v>
      </c>
    </row>
    <row r="36" spans="6:34" x14ac:dyDescent="0.3">
      <c r="F36">
        <v>1</v>
      </c>
      <c r="G36">
        <v>1</v>
      </c>
      <c r="H36" s="61">
        <f>IF(MC_Check!$AN$2="PHY",misc[[#This Row],[location]],misc[[#This Row],[Module_log]])</f>
        <v>1</v>
      </c>
      <c r="I36" s="61">
        <f>misc[[#This Row],[Module]]</f>
        <v>1</v>
      </c>
      <c r="J36" s="61">
        <v>0</v>
      </c>
      <c r="K36" s="61">
        <v>0</v>
      </c>
      <c r="L36" s="61">
        <v>1</v>
      </c>
      <c r="M36" s="61" t="str">
        <f>_xlfn.TEXTJOIN("",,misc[[#This Row],[ROW]],misc[[#This Row],[ROW]])</f>
        <v>00</v>
      </c>
      <c r="N36" s="5" t="b">
        <f>misc[[#This Row],[Core_Hitter_Count]]&gt;0</f>
        <v>0</v>
      </c>
      <c r="O36" t="b">
        <f>misc[[#This Row],[LLC_Hitter_Count]]&gt;0</f>
        <v>0</v>
      </c>
      <c r="P36" t="b">
        <f>misc[[#This Row],[CHA_Hitter_Count]]&gt;0</f>
        <v>0</v>
      </c>
      <c r="Q36" t="str">
        <f>_xlfn.TEXTJOIN("",,"*SOCKET0**CBB",misc[[#This Row],[CBB]],"**BASE**I_CCF_ENV",misc[[#This Row],[ENV]],splitchar,"CBREGS_ALL",misc[[#This Row],[CBO]],splitchar,"MC_STATUS*")</f>
        <v>*SOCKET0**CBB1**BASE**I_CCF_ENV1__CBREGS_ALL00__MC_STATUS*</v>
      </c>
      <c r="R36">
        <f>COUNTIFS(cha_mc[TestName],misc[[#This Row],[CBO_MCA_String]],cha_mc[VisualId],MC_Check!$H$2)</f>
        <v>0</v>
      </c>
      <c r="S36" t="str">
        <f>_xlfn.TEXTJOIN("",,"*SOCKET0**CBB",misc[[#This Row],[CBB]],"**COMPUTE",misc[[#This Row],[Compute]],"**MODULE",misc[[#This Row],[Module]],splitchar,"**CORE**IFU*CR*MC0*STATUS**")</f>
        <v>*SOCKET0**CBB1**COMPUTE0**MODULE1__**CORE**IFU*CR*MC0*STATUS**</v>
      </c>
      <c r="T36">
        <f>COUNTIFS(core_mc[TestName],misc[[#This Row],[IFU_MCA_String]],core_mc[VisualId],MC_Check!$H$2)</f>
        <v>0</v>
      </c>
      <c r="U36" t="str">
        <f>_xlfn.TEXTJOIN("",,"*SOCKET0**CBB",misc[[#This Row],[CBB]],"**COMPUTE",misc[[#This Row],[Compute]],"**MODULE",misc[[#This Row],[Module]],splitchar,"**CORE**ROB1*CR*MC*STATUS**")</f>
        <v>*SOCKET0**CBB1**COMPUTE0**MODULE1__**CORE**ROB1*CR*MC*STATUS**</v>
      </c>
      <c r="V36">
        <f>COUNTIFS(core_mc[TestName],misc[[#This Row],[ROB_MCA_String]],core_mc[VisualId],MC_Check!$H$2)</f>
        <v>0</v>
      </c>
      <c r="W36" t="str">
        <f>_xlfn.TEXTJOIN("",,"*SOCKET0**CBB",misc[[#This Row],[CBB]],"**COMPUTE",misc[[#This Row],[Compute]],"**MODULE",misc[[#This Row],[Module]],splitchar,"**CORE**DCU*CR*MC1*STATUS**")</f>
        <v>*SOCKET0**CBB1**COMPUTE0**MODULE1__**CORE**DCU*CR*MC1*STATUS**</v>
      </c>
      <c r="X36">
        <f>COUNTIFS(core_mc[TestName],misc[[#This Row],[DCU_MCA_String]],core_mc[VisualId],MC_Check!$H$2)</f>
        <v>0</v>
      </c>
      <c r="Y36" t="str">
        <f>_xlfn.TEXTJOIN("",,"*SOCKET0**CBB",misc[[#This Row],[CBB]],"**COMPUTE",misc[[#This Row],[Compute]],"**MODULE",misc[[#This Row],[Module]],splitchar,"**CORE**DTLB*CR*MC2*STATUS**")</f>
        <v>*SOCKET0**CBB1**COMPUTE0**MODULE1__**CORE**DTLB*CR*MC2*STATUS**</v>
      </c>
      <c r="Z36">
        <f>COUNTIFS(core_mc[TestName],misc[[#This Row],[CORE_DTLB_String]],core_mc[VisualId],MC_Check!$H$2)</f>
        <v>0</v>
      </c>
      <c r="AA36" t="str">
        <f>_xlfn.TEXTJOIN("",,"*SOCKET0**CBB",misc[[#This Row],[CBB]],"**COMPUTE",misc[[#This Row],[Compute]],"**MODULE",misc[[#This Row],[Module]],splitchar,"**ML2*CR*MC3*STATUS**")</f>
        <v>*SOCKET0**CBB1**COMPUTE0**MODULE1__**ML2*CR*MC3*STATUS**</v>
      </c>
      <c r="AB36">
        <f>COUNTIFS(core_mc[TestName],misc[[#This Row],[Core_ML2_String]],core_mc[VisualId],MC_Check!$H$2)</f>
        <v>0</v>
      </c>
      <c r="AC36" t="str">
        <f>_xlfn.TEXTJOIN("",,"*SOCKET0**CBB",misc[[#This Row],[CBB]],"**COMPUTE",misc[[#This Row],[Compute]],"**MODULE",misc[[#This Row],[Module]],splitchar,"SPARE")</f>
        <v>*SOCKET0**CBB1**COMPUTE0**MODULE1__SPARE</v>
      </c>
      <c r="AD36">
        <f>COUNTIFS(core_mc[TestName],misc[[#This Row],[Core_L2_String - SPARE]],core_mc[VisualId],MC_Check!$H$2)</f>
        <v>0</v>
      </c>
      <c r="AE36">
        <f>misc[[#This Row],[Core_DTLB_Count]]+misc[[#This Row],[Core_DCU_Count]]+misc[[#This Row],[Core_IFU_Count]]+misc[[#This Row],[Core_ROB_Count]]+misc[[#This Row],[Core_L2_Count - SPARE]]+misc[[#This Row],[Core_ML2_Count]]</f>
        <v>0</v>
      </c>
      <c r="AF36" t="str">
        <f>_xlfn.TEXTJOIN(", ",,IF(misc[[#This Row],[Core_IFU_Count]]&gt;0,"IFU",""),IF(misc[[#This Row],[Core_DCU_Count]]&gt;0,"DCU",""),IF(misc[[#This Row],[Core_DTLB_Count]]&gt;0,"DTLB",""),IF(misc[[#This Row],[Core_ROB_Count]]&gt;0,"ROB",""),IF(misc[[#This Row],[Core_ML2_Count]]&gt;0,"ML2",""),IF(misc[[#This Row],[Core_L2_Count - SPARE]]&gt;0,"L2",""))</f>
        <v/>
      </c>
      <c r="AG36" t="str">
        <f>_xlfn.TEXTJOIN("",,"*SOCKET0**CBB",misc[[#This Row],[CBB]],"**BASE**I_CCF**ENV",misc[[#This Row],[ENV]],splitchar,"CBREGS_ALL",misc[[#This Row],[CBO]],splitchar,"SPARE")</f>
        <v>*SOCKET0**CBB1**BASE**I_CCF**ENV1__CBREGS_ALL00__SPARE</v>
      </c>
      <c r="AH36">
        <f>COUNTIFS(cha_mc[TestName],misc[[#This Row],[LLC_MCA_String - Not Used]],cha_mc[VisualId],MC_Check!$H$2)</f>
        <v>0</v>
      </c>
    </row>
    <row r="37" spans="6:34" x14ac:dyDescent="0.3">
      <c r="F37">
        <v>1</v>
      </c>
      <c r="G37">
        <v>2</v>
      </c>
      <c r="H37" s="61">
        <f>IF(MC_Check!$AN$2="PHY",misc[[#This Row],[location]],misc[[#This Row],[Module_log]])</f>
        <v>2</v>
      </c>
      <c r="I37" s="61">
        <f>misc[[#This Row],[Module]]</f>
        <v>2</v>
      </c>
      <c r="J37" s="61">
        <v>0</v>
      </c>
      <c r="K37" s="61">
        <v>0</v>
      </c>
      <c r="L37" s="61">
        <v>2</v>
      </c>
      <c r="M37" s="61" t="str">
        <f>_xlfn.TEXTJOIN("",,misc[[#This Row],[ROW]],misc[[#This Row],[ROW]])</f>
        <v>00</v>
      </c>
      <c r="N37" s="5" t="b">
        <f>misc[[#This Row],[Core_Hitter_Count]]&gt;0</f>
        <v>0</v>
      </c>
      <c r="O37" t="b">
        <f>misc[[#This Row],[LLC_Hitter_Count]]&gt;0</f>
        <v>0</v>
      </c>
      <c r="P37" t="b">
        <f>misc[[#This Row],[CHA_Hitter_Count]]&gt;0</f>
        <v>0</v>
      </c>
      <c r="Q37" t="str">
        <f>_xlfn.TEXTJOIN("",,"*SOCKET0**CBB",misc[[#This Row],[CBB]],"**BASE**I_CCF_ENV",misc[[#This Row],[ENV]],splitchar,"CBREGS_ALL",misc[[#This Row],[CBO]],splitchar,"MC_STATUS*")</f>
        <v>*SOCKET0**CBB1**BASE**I_CCF_ENV2__CBREGS_ALL00__MC_STATUS*</v>
      </c>
      <c r="R37">
        <f>COUNTIFS(cha_mc[TestName],misc[[#This Row],[CBO_MCA_String]],cha_mc[VisualId],MC_Check!$H$2)</f>
        <v>0</v>
      </c>
      <c r="S37" t="str">
        <f>_xlfn.TEXTJOIN("",,"*SOCKET0**CBB",misc[[#This Row],[CBB]],"**COMPUTE",misc[[#This Row],[Compute]],"**MODULE",misc[[#This Row],[Module]],splitchar,"**CORE**IFU*CR*MC0*STATUS**")</f>
        <v>*SOCKET0**CBB1**COMPUTE0**MODULE2__**CORE**IFU*CR*MC0*STATUS**</v>
      </c>
      <c r="T37">
        <f>COUNTIFS(core_mc[TestName],misc[[#This Row],[IFU_MCA_String]],core_mc[VisualId],MC_Check!$H$2)</f>
        <v>0</v>
      </c>
      <c r="U37" t="str">
        <f>_xlfn.TEXTJOIN("",,"*SOCKET0**CBB",misc[[#This Row],[CBB]],"**COMPUTE",misc[[#This Row],[Compute]],"**MODULE",misc[[#This Row],[Module]],splitchar,"**CORE**ROB1*CR*MC*STATUS**")</f>
        <v>*SOCKET0**CBB1**COMPUTE0**MODULE2__**CORE**ROB1*CR*MC*STATUS**</v>
      </c>
      <c r="V37">
        <f>COUNTIFS(core_mc[TestName],misc[[#This Row],[ROB_MCA_String]],core_mc[VisualId],MC_Check!$H$2)</f>
        <v>0</v>
      </c>
      <c r="W37" t="str">
        <f>_xlfn.TEXTJOIN("",,"*SOCKET0**CBB",misc[[#This Row],[CBB]],"**COMPUTE",misc[[#This Row],[Compute]],"**MODULE",misc[[#This Row],[Module]],splitchar,"**CORE**DCU*CR*MC1*STATUS**")</f>
        <v>*SOCKET0**CBB1**COMPUTE0**MODULE2__**CORE**DCU*CR*MC1*STATUS**</v>
      </c>
      <c r="X37">
        <f>COUNTIFS(core_mc[TestName],misc[[#This Row],[DCU_MCA_String]],core_mc[VisualId],MC_Check!$H$2)</f>
        <v>0</v>
      </c>
      <c r="Y37" t="str">
        <f>_xlfn.TEXTJOIN("",,"*SOCKET0**CBB",misc[[#This Row],[CBB]],"**COMPUTE",misc[[#This Row],[Compute]],"**MODULE",misc[[#This Row],[Module]],splitchar,"**CORE**DTLB*CR*MC2*STATUS**")</f>
        <v>*SOCKET0**CBB1**COMPUTE0**MODULE2__**CORE**DTLB*CR*MC2*STATUS**</v>
      </c>
      <c r="Z37">
        <f>COUNTIFS(core_mc[TestName],misc[[#This Row],[CORE_DTLB_String]],core_mc[VisualId],MC_Check!$H$2)</f>
        <v>0</v>
      </c>
      <c r="AA37" t="str">
        <f>_xlfn.TEXTJOIN("",,"*SOCKET0**CBB",misc[[#This Row],[CBB]],"**COMPUTE",misc[[#This Row],[Compute]],"**MODULE",misc[[#This Row],[Module]],splitchar,"**ML2*CR*MC3*STATUS**")</f>
        <v>*SOCKET0**CBB1**COMPUTE0**MODULE2__**ML2*CR*MC3*STATUS**</v>
      </c>
      <c r="AB37">
        <f>COUNTIFS(core_mc[TestName],misc[[#This Row],[Core_ML2_String]],core_mc[VisualId],MC_Check!$H$2)</f>
        <v>0</v>
      </c>
      <c r="AC37" t="str">
        <f>_xlfn.TEXTJOIN("",,"*SOCKET0**CBB",misc[[#This Row],[CBB]],"**COMPUTE",misc[[#This Row],[Compute]],"**MODULE",misc[[#This Row],[Module]],splitchar,"SPARE")</f>
        <v>*SOCKET0**CBB1**COMPUTE0**MODULE2__SPARE</v>
      </c>
      <c r="AD37">
        <f>COUNTIFS(core_mc[TestName],misc[[#This Row],[Core_L2_String - SPARE]],core_mc[VisualId],MC_Check!$H$2)</f>
        <v>0</v>
      </c>
      <c r="AE37">
        <f>misc[[#This Row],[Core_DTLB_Count]]+misc[[#This Row],[Core_DCU_Count]]+misc[[#This Row],[Core_IFU_Count]]+misc[[#This Row],[Core_ROB_Count]]+misc[[#This Row],[Core_L2_Count - SPARE]]+misc[[#This Row],[Core_ML2_Count]]</f>
        <v>0</v>
      </c>
      <c r="AF37" t="str">
        <f>_xlfn.TEXTJOIN(", ",,IF(misc[[#This Row],[Core_IFU_Count]]&gt;0,"IFU",""),IF(misc[[#This Row],[Core_DCU_Count]]&gt;0,"DCU",""),IF(misc[[#This Row],[Core_DTLB_Count]]&gt;0,"DTLB",""),IF(misc[[#This Row],[Core_ROB_Count]]&gt;0,"ROB",""),IF(misc[[#This Row],[Core_ML2_Count]]&gt;0,"ML2",""),IF(misc[[#This Row],[Core_L2_Count - SPARE]]&gt;0,"L2",""))</f>
        <v/>
      </c>
      <c r="AG37" t="str">
        <f>_xlfn.TEXTJOIN("",,"*SOCKET0**CBB",misc[[#This Row],[CBB]],"**BASE**I_CCF**ENV",misc[[#This Row],[ENV]],splitchar,"CBREGS_ALL",misc[[#This Row],[CBO]],splitchar,"SPARE")</f>
        <v>*SOCKET0**CBB1**BASE**I_CCF**ENV2__CBREGS_ALL00__SPARE</v>
      </c>
      <c r="AH37">
        <f>COUNTIFS(cha_mc[TestName],misc[[#This Row],[LLC_MCA_String - Not Used]],cha_mc[VisualId],MC_Check!$H$2)</f>
        <v>0</v>
      </c>
    </row>
    <row r="38" spans="6:34" x14ac:dyDescent="0.3">
      <c r="F38">
        <v>1</v>
      </c>
      <c r="G38">
        <v>3</v>
      </c>
      <c r="H38" s="61">
        <f>IF(MC_Check!$AN$2="PHY",misc[[#This Row],[location]],misc[[#This Row],[Module_log]])</f>
        <v>3</v>
      </c>
      <c r="I38" s="61">
        <f>misc[[#This Row],[Module]]</f>
        <v>3</v>
      </c>
      <c r="J38" s="61">
        <v>0</v>
      </c>
      <c r="K38" s="61">
        <v>0</v>
      </c>
      <c r="L38" s="61">
        <v>3</v>
      </c>
      <c r="M38" s="61" t="str">
        <f>_xlfn.TEXTJOIN("",,misc[[#This Row],[ROW]],misc[[#This Row],[ROW]])</f>
        <v>00</v>
      </c>
      <c r="N38" s="5" t="b">
        <f>misc[[#This Row],[Core_Hitter_Count]]&gt;0</f>
        <v>0</v>
      </c>
      <c r="O38" t="b">
        <f>misc[[#This Row],[LLC_Hitter_Count]]&gt;0</f>
        <v>0</v>
      </c>
      <c r="P38" t="b">
        <f>misc[[#This Row],[CHA_Hitter_Count]]&gt;0</f>
        <v>0</v>
      </c>
      <c r="Q38" t="str">
        <f>_xlfn.TEXTJOIN("",,"*SOCKET0**CBB",misc[[#This Row],[CBB]],"**BASE**I_CCF_ENV",misc[[#This Row],[ENV]],splitchar,"CBREGS_ALL",misc[[#This Row],[CBO]],splitchar,"MC_STATUS*")</f>
        <v>*SOCKET0**CBB1**BASE**I_CCF_ENV3__CBREGS_ALL00__MC_STATUS*</v>
      </c>
      <c r="R38">
        <f>COUNTIFS(cha_mc[TestName],misc[[#This Row],[CBO_MCA_String]],cha_mc[VisualId],MC_Check!$H$2)</f>
        <v>0</v>
      </c>
      <c r="S38" t="str">
        <f>_xlfn.TEXTJOIN("",,"*SOCKET0**CBB",misc[[#This Row],[CBB]],"**COMPUTE",misc[[#This Row],[Compute]],"**MODULE",misc[[#This Row],[Module]],splitchar,"**CORE**IFU*CR*MC0*STATUS**")</f>
        <v>*SOCKET0**CBB1**COMPUTE0**MODULE3__**CORE**IFU*CR*MC0*STATUS**</v>
      </c>
      <c r="T38">
        <f>COUNTIFS(core_mc[TestName],misc[[#This Row],[IFU_MCA_String]],core_mc[VisualId],MC_Check!$H$2)</f>
        <v>0</v>
      </c>
      <c r="U38" t="str">
        <f>_xlfn.TEXTJOIN("",,"*SOCKET0**CBB",misc[[#This Row],[CBB]],"**COMPUTE",misc[[#This Row],[Compute]],"**MODULE",misc[[#This Row],[Module]],splitchar,"**CORE**ROB1*CR*MC*STATUS**")</f>
        <v>*SOCKET0**CBB1**COMPUTE0**MODULE3__**CORE**ROB1*CR*MC*STATUS**</v>
      </c>
      <c r="V38">
        <f>COUNTIFS(core_mc[TestName],misc[[#This Row],[ROB_MCA_String]],core_mc[VisualId],MC_Check!$H$2)</f>
        <v>0</v>
      </c>
      <c r="W38" t="str">
        <f>_xlfn.TEXTJOIN("",,"*SOCKET0**CBB",misc[[#This Row],[CBB]],"**COMPUTE",misc[[#This Row],[Compute]],"**MODULE",misc[[#This Row],[Module]],splitchar,"**CORE**DCU*CR*MC1*STATUS**")</f>
        <v>*SOCKET0**CBB1**COMPUTE0**MODULE3__**CORE**DCU*CR*MC1*STATUS**</v>
      </c>
      <c r="X38">
        <f>COUNTIFS(core_mc[TestName],misc[[#This Row],[DCU_MCA_String]],core_mc[VisualId],MC_Check!$H$2)</f>
        <v>0</v>
      </c>
      <c r="Y38" t="str">
        <f>_xlfn.TEXTJOIN("",,"*SOCKET0**CBB",misc[[#This Row],[CBB]],"**COMPUTE",misc[[#This Row],[Compute]],"**MODULE",misc[[#This Row],[Module]],splitchar,"**CORE**DTLB*CR*MC2*STATUS**")</f>
        <v>*SOCKET0**CBB1**COMPUTE0**MODULE3__**CORE**DTLB*CR*MC2*STATUS**</v>
      </c>
      <c r="Z38">
        <f>COUNTIFS(core_mc[TestName],misc[[#This Row],[CORE_DTLB_String]],core_mc[VisualId],MC_Check!$H$2)</f>
        <v>0</v>
      </c>
      <c r="AA38" t="str">
        <f>_xlfn.TEXTJOIN("",,"*SOCKET0**CBB",misc[[#This Row],[CBB]],"**COMPUTE",misc[[#This Row],[Compute]],"**MODULE",misc[[#This Row],[Module]],splitchar,"**ML2*CR*MC3*STATUS**")</f>
        <v>*SOCKET0**CBB1**COMPUTE0**MODULE3__**ML2*CR*MC3*STATUS**</v>
      </c>
      <c r="AB38">
        <f>COUNTIFS(core_mc[TestName],misc[[#This Row],[Core_ML2_String]],core_mc[VisualId],MC_Check!$H$2)</f>
        <v>0</v>
      </c>
      <c r="AC38" t="str">
        <f>_xlfn.TEXTJOIN("",,"*SOCKET0**CBB",misc[[#This Row],[CBB]],"**COMPUTE",misc[[#This Row],[Compute]],"**MODULE",misc[[#This Row],[Module]],splitchar,"SPARE")</f>
        <v>*SOCKET0**CBB1**COMPUTE0**MODULE3__SPARE</v>
      </c>
      <c r="AD38">
        <f>COUNTIFS(core_mc[TestName],misc[[#This Row],[Core_L2_String - SPARE]],core_mc[VisualId],MC_Check!$H$2)</f>
        <v>0</v>
      </c>
      <c r="AE38">
        <f>misc[[#This Row],[Core_DTLB_Count]]+misc[[#This Row],[Core_DCU_Count]]+misc[[#This Row],[Core_IFU_Count]]+misc[[#This Row],[Core_ROB_Count]]+misc[[#This Row],[Core_L2_Count - SPARE]]+misc[[#This Row],[Core_ML2_Count]]</f>
        <v>0</v>
      </c>
      <c r="AF38" t="str">
        <f>_xlfn.TEXTJOIN(", ",,IF(misc[[#This Row],[Core_IFU_Count]]&gt;0,"IFU",""),IF(misc[[#This Row],[Core_DCU_Count]]&gt;0,"DCU",""),IF(misc[[#This Row],[Core_DTLB_Count]]&gt;0,"DTLB",""),IF(misc[[#This Row],[Core_ROB_Count]]&gt;0,"ROB",""),IF(misc[[#This Row],[Core_ML2_Count]]&gt;0,"ML2",""),IF(misc[[#This Row],[Core_L2_Count - SPARE]]&gt;0,"L2",""))</f>
        <v/>
      </c>
      <c r="AG38" t="str">
        <f>_xlfn.TEXTJOIN("",,"*SOCKET0**CBB",misc[[#This Row],[CBB]],"**BASE**I_CCF**ENV",misc[[#This Row],[ENV]],splitchar,"CBREGS_ALL",misc[[#This Row],[CBO]],splitchar,"SPARE")</f>
        <v>*SOCKET0**CBB1**BASE**I_CCF**ENV3__CBREGS_ALL00__SPARE</v>
      </c>
      <c r="AH38">
        <f>COUNTIFS(cha_mc[TestName],misc[[#This Row],[LLC_MCA_String - Not Used]],cha_mc[VisualId],MC_Check!$H$2)</f>
        <v>0</v>
      </c>
    </row>
    <row r="39" spans="6:34" x14ac:dyDescent="0.3">
      <c r="F39">
        <v>1</v>
      </c>
      <c r="G39">
        <v>4</v>
      </c>
      <c r="H39" s="61">
        <f>IF(MC_Check!$AN$2="PHY",misc[[#This Row],[location]],misc[[#This Row],[Module_log]])</f>
        <v>4</v>
      </c>
      <c r="I39" s="61">
        <f>misc[[#This Row],[Module]]</f>
        <v>4</v>
      </c>
      <c r="J39" s="61">
        <v>0</v>
      </c>
      <c r="K39" s="61">
        <f>K35+1</f>
        <v>1</v>
      </c>
      <c r="L39" s="61">
        <v>0</v>
      </c>
      <c r="M39" s="61" t="str">
        <f>_xlfn.TEXTJOIN("",,misc[[#This Row],[ROW]],misc[[#This Row],[ROW]])</f>
        <v>11</v>
      </c>
      <c r="N39" s="5" t="b">
        <f>misc[[#This Row],[Core_Hitter_Count]]&gt;0</f>
        <v>0</v>
      </c>
      <c r="O39" t="b">
        <f>misc[[#This Row],[LLC_Hitter_Count]]&gt;0</f>
        <v>0</v>
      </c>
      <c r="P39" t="b">
        <f>misc[[#This Row],[CHA_Hitter_Count]]&gt;0</f>
        <v>0</v>
      </c>
      <c r="Q39" t="str">
        <f>_xlfn.TEXTJOIN("",,"*SOCKET0**CBB",misc[[#This Row],[CBB]],"**BASE**I_CCF_ENV",misc[[#This Row],[ENV]],splitchar,"CBREGS_ALL",misc[[#This Row],[CBO]],splitchar,"MC_STATUS*")</f>
        <v>*SOCKET0**CBB1**BASE**I_CCF_ENV0__CBREGS_ALL11__MC_STATUS*</v>
      </c>
      <c r="R39">
        <f>COUNTIFS(cha_mc[TestName],misc[[#This Row],[CBO_MCA_String]],cha_mc[VisualId],MC_Check!$H$2)</f>
        <v>0</v>
      </c>
      <c r="S39" t="str">
        <f>_xlfn.TEXTJOIN("",,"*SOCKET0**CBB",misc[[#This Row],[CBB]],"**COMPUTE",misc[[#This Row],[Compute]],"**MODULE",misc[[#This Row],[Module]],splitchar,"**CORE**IFU*CR*MC0*STATUS**")</f>
        <v>*SOCKET0**CBB1**COMPUTE0**MODULE4__**CORE**IFU*CR*MC0*STATUS**</v>
      </c>
      <c r="T39">
        <f>COUNTIFS(core_mc[TestName],misc[[#This Row],[IFU_MCA_String]],core_mc[VisualId],MC_Check!$H$2)</f>
        <v>0</v>
      </c>
      <c r="U39" t="str">
        <f>_xlfn.TEXTJOIN("",,"*SOCKET0**CBB",misc[[#This Row],[CBB]],"**COMPUTE",misc[[#This Row],[Compute]],"**MODULE",misc[[#This Row],[Module]],splitchar,"**CORE**ROB1*CR*MC*STATUS**")</f>
        <v>*SOCKET0**CBB1**COMPUTE0**MODULE4__**CORE**ROB1*CR*MC*STATUS**</v>
      </c>
      <c r="V39">
        <f>COUNTIFS(core_mc[TestName],misc[[#This Row],[ROB_MCA_String]],core_mc[VisualId],MC_Check!$H$2)</f>
        <v>0</v>
      </c>
      <c r="W39" t="str">
        <f>_xlfn.TEXTJOIN("",,"*SOCKET0**CBB",misc[[#This Row],[CBB]],"**COMPUTE",misc[[#This Row],[Compute]],"**MODULE",misc[[#This Row],[Module]],splitchar,"**CORE**DCU*CR*MC1*STATUS**")</f>
        <v>*SOCKET0**CBB1**COMPUTE0**MODULE4__**CORE**DCU*CR*MC1*STATUS**</v>
      </c>
      <c r="X39">
        <f>COUNTIFS(core_mc[TestName],misc[[#This Row],[DCU_MCA_String]],core_mc[VisualId],MC_Check!$H$2)</f>
        <v>0</v>
      </c>
      <c r="Y39" t="str">
        <f>_xlfn.TEXTJOIN("",,"*SOCKET0**CBB",misc[[#This Row],[CBB]],"**COMPUTE",misc[[#This Row],[Compute]],"**MODULE",misc[[#This Row],[Module]],splitchar,"**CORE**DTLB*CR*MC2*STATUS**")</f>
        <v>*SOCKET0**CBB1**COMPUTE0**MODULE4__**CORE**DTLB*CR*MC2*STATUS**</v>
      </c>
      <c r="Z39">
        <f>COUNTIFS(core_mc[TestName],misc[[#This Row],[CORE_DTLB_String]],core_mc[VisualId],MC_Check!$H$2)</f>
        <v>0</v>
      </c>
      <c r="AA39" t="str">
        <f>_xlfn.TEXTJOIN("",,"*SOCKET0**CBB",misc[[#This Row],[CBB]],"**COMPUTE",misc[[#This Row],[Compute]],"**MODULE",misc[[#This Row],[Module]],splitchar,"**ML2*CR*MC3*STATUS**")</f>
        <v>*SOCKET0**CBB1**COMPUTE0**MODULE4__**ML2*CR*MC3*STATUS**</v>
      </c>
      <c r="AB39">
        <f>COUNTIFS(core_mc[TestName],misc[[#This Row],[Core_ML2_String]],core_mc[VisualId],MC_Check!$H$2)</f>
        <v>0</v>
      </c>
      <c r="AC39" t="str">
        <f>_xlfn.TEXTJOIN("",,"*SOCKET0**CBB",misc[[#This Row],[CBB]],"**COMPUTE",misc[[#This Row],[Compute]],"**MODULE",misc[[#This Row],[Module]],splitchar,"SPARE")</f>
        <v>*SOCKET0**CBB1**COMPUTE0**MODULE4__SPARE</v>
      </c>
      <c r="AD39">
        <f>COUNTIFS(core_mc[TestName],misc[[#This Row],[Core_L2_String - SPARE]],core_mc[VisualId],MC_Check!$H$2)</f>
        <v>0</v>
      </c>
      <c r="AE39">
        <f>misc[[#This Row],[Core_DTLB_Count]]+misc[[#This Row],[Core_DCU_Count]]+misc[[#This Row],[Core_IFU_Count]]+misc[[#This Row],[Core_ROB_Count]]+misc[[#This Row],[Core_L2_Count - SPARE]]+misc[[#This Row],[Core_ML2_Count]]</f>
        <v>0</v>
      </c>
      <c r="AF39" t="str">
        <f>_xlfn.TEXTJOIN(", ",,IF(misc[[#This Row],[Core_IFU_Count]]&gt;0,"IFU",""),IF(misc[[#This Row],[Core_DCU_Count]]&gt;0,"DCU",""),IF(misc[[#This Row],[Core_DTLB_Count]]&gt;0,"DTLB",""),IF(misc[[#This Row],[Core_ROB_Count]]&gt;0,"ROB",""),IF(misc[[#This Row],[Core_ML2_Count]]&gt;0,"ML2",""),IF(misc[[#This Row],[Core_L2_Count - SPARE]]&gt;0,"L2",""))</f>
        <v/>
      </c>
      <c r="AG39" t="str">
        <f>_xlfn.TEXTJOIN("",,"*SOCKET0**CBB",misc[[#This Row],[CBB]],"**BASE**I_CCF**ENV",misc[[#This Row],[ENV]],splitchar,"CBREGS_ALL",misc[[#This Row],[CBO]],splitchar,"SPARE")</f>
        <v>*SOCKET0**CBB1**BASE**I_CCF**ENV0__CBREGS_ALL11__SPARE</v>
      </c>
      <c r="AH39">
        <f>COUNTIFS(cha_mc[TestName],misc[[#This Row],[LLC_MCA_String - Not Used]],cha_mc[VisualId],MC_Check!$H$2)</f>
        <v>0</v>
      </c>
    </row>
    <row r="40" spans="6:34" x14ac:dyDescent="0.3">
      <c r="F40">
        <v>1</v>
      </c>
      <c r="G40">
        <v>5</v>
      </c>
      <c r="H40" s="61">
        <f>IF(MC_Check!$AN$2="PHY",misc[[#This Row],[location]],misc[[#This Row],[Module_log]])</f>
        <v>5</v>
      </c>
      <c r="I40" s="61">
        <f>misc[[#This Row],[Module]]</f>
        <v>5</v>
      </c>
      <c r="J40" s="61">
        <v>0</v>
      </c>
      <c r="K40" s="61">
        <f t="shared" ref="K40:K66" si="2">K36+1</f>
        <v>1</v>
      </c>
      <c r="L40" s="61">
        <v>1</v>
      </c>
      <c r="M40" s="61" t="str">
        <f>_xlfn.TEXTJOIN("",,misc[[#This Row],[ROW]],misc[[#This Row],[ROW]])</f>
        <v>11</v>
      </c>
      <c r="N40" s="5" t="b">
        <f>misc[[#This Row],[Core_Hitter_Count]]&gt;0</f>
        <v>0</v>
      </c>
      <c r="O40" t="b">
        <f>misc[[#This Row],[LLC_Hitter_Count]]&gt;0</f>
        <v>0</v>
      </c>
      <c r="P40" t="b">
        <f>misc[[#This Row],[CHA_Hitter_Count]]&gt;0</f>
        <v>0</v>
      </c>
      <c r="Q40" t="str">
        <f>_xlfn.TEXTJOIN("",,"*SOCKET0**CBB",misc[[#This Row],[CBB]],"**BASE**I_CCF_ENV",misc[[#This Row],[ENV]],splitchar,"CBREGS_ALL",misc[[#This Row],[CBO]],splitchar,"MC_STATUS*")</f>
        <v>*SOCKET0**CBB1**BASE**I_CCF_ENV1__CBREGS_ALL11__MC_STATUS*</v>
      </c>
      <c r="R40">
        <f>COUNTIFS(cha_mc[TestName],misc[[#This Row],[CBO_MCA_String]],cha_mc[VisualId],MC_Check!$H$2)</f>
        <v>0</v>
      </c>
      <c r="S40" t="str">
        <f>_xlfn.TEXTJOIN("",,"*SOCKET0**CBB",misc[[#This Row],[CBB]],"**COMPUTE",misc[[#This Row],[Compute]],"**MODULE",misc[[#This Row],[Module]],splitchar,"**CORE**IFU*CR*MC0*STATUS**")</f>
        <v>*SOCKET0**CBB1**COMPUTE0**MODULE5__**CORE**IFU*CR*MC0*STATUS**</v>
      </c>
      <c r="T40">
        <f>COUNTIFS(core_mc[TestName],misc[[#This Row],[IFU_MCA_String]],core_mc[VisualId],MC_Check!$H$2)</f>
        <v>0</v>
      </c>
      <c r="U40" t="str">
        <f>_xlfn.TEXTJOIN("",,"*SOCKET0**CBB",misc[[#This Row],[CBB]],"**COMPUTE",misc[[#This Row],[Compute]],"**MODULE",misc[[#This Row],[Module]],splitchar,"**CORE**ROB1*CR*MC*STATUS**")</f>
        <v>*SOCKET0**CBB1**COMPUTE0**MODULE5__**CORE**ROB1*CR*MC*STATUS**</v>
      </c>
      <c r="V40">
        <f>COUNTIFS(core_mc[TestName],misc[[#This Row],[ROB_MCA_String]],core_mc[VisualId],MC_Check!$H$2)</f>
        <v>0</v>
      </c>
      <c r="W40" t="str">
        <f>_xlfn.TEXTJOIN("",,"*SOCKET0**CBB",misc[[#This Row],[CBB]],"**COMPUTE",misc[[#This Row],[Compute]],"**MODULE",misc[[#This Row],[Module]],splitchar,"**CORE**DCU*CR*MC1*STATUS**")</f>
        <v>*SOCKET0**CBB1**COMPUTE0**MODULE5__**CORE**DCU*CR*MC1*STATUS**</v>
      </c>
      <c r="X40">
        <f>COUNTIFS(core_mc[TestName],misc[[#This Row],[DCU_MCA_String]],core_mc[VisualId],MC_Check!$H$2)</f>
        <v>0</v>
      </c>
      <c r="Y40" t="str">
        <f>_xlfn.TEXTJOIN("",,"*SOCKET0**CBB",misc[[#This Row],[CBB]],"**COMPUTE",misc[[#This Row],[Compute]],"**MODULE",misc[[#This Row],[Module]],splitchar,"**CORE**DTLB*CR*MC2*STATUS**")</f>
        <v>*SOCKET0**CBB1**COMPUTE0**MODULE5__**CORE**DTLB*CR*MC2*STATUS**</v>
      </c>
      <c r="Z40">
        <f>COUNTIFS(core_mc[TestName],misc[[#This Row],[CORE_DTLB_String]],core_mc[VisualId],MC_Check!$H$2)</f>
        <v>0</v>
      </c>
      <c r="AA40" t="str">
        <f>_xlfn.TEXTJOIN("",,"*SOCKET0**CBB",misc[[#This Row],[CBB]],"**COMPUTE",misc[[#This Row],[Compute]],"**MODULE",misc[[#This Row],[Module]],splitchar,"**ML2*CR*MC3*STATUS**")</f>
        <v>*SOCKET0**CBB1**COMPUTE0**MODULE5__**ML2*CR*MC3*STATUS**</v>
      </c>
      <c r="AB40">
        <f>COUNTIFS(core_mc[TestName],misc[[#This Row],[Core_ML2_String]],core_mc[VisualId],MC_Check!$H$2)</f>
        <v>0</v>
      </c>
      <c r="AC40" t="str">
        <f>_xlfn.TEXTJOIN("",,"*SOCKET0**CBB",misc[[#This Row],[CBB]],"**COMPUTE",misc[[#This Row],[Compute]],"**MODULE",misc[[#This Row],[Module]],splitchar,"SPARE")</f>
        <v>*SOCKET0**CBB1**COMPUTE0**MODULE5__SPARE</v>
      </c>
      <c r="AD40">
        <f>COUNTIFS(core_mc[TestName],misc[[#This Row],[Core_L2_String - SPARE]],core_mc[VisualId],MC_Check!$H$2)</f>
        <v>0</v>
      </c>
      <c r="AE40">
        <f>misc[[#This Row],[Core_DTLB_Count]]+misc[[#This Row],[Core_DCU_Count]]+misc[[#This Row],[Core_IFU_Count]]+misc[[#This Row],[Core_ROB_Count]]+misc[[#This Row],[Core_L2_Count - SPARE]]+misc[[#This Row],[Core_ML2_Count]]</f>
        <v>0</v>
      </c>
      <c r="AF40" t="str">
        <f>_xlfn.TEXTJOIN(", ",,IF(misc[[#This Row],[Core_IFU_Count]]&gt;0,"IFU",""),IF(misc[[#This Row],[Core_DCU_Count]]&gt;0,"DCU",""),IF(misc[[#This Row],[Core_DTLB_Count]]&gt;0,"DTLB",""),IF(misc[[#This Row],[Core_ROB_Count]]&gt;0,"ROB",""),IF(misc[[#This Row],[Core_ML2_Count]]&gt;0,"ML2",""),IF(misc[[#This Row],[Core_L2_Count - SPARE]]&gt;0,"L2",""))</f>
        <v/>
      </c>
      <c r="AG40" t="str">
        <f>_xlfn.TEXTJOIN("",,"*SOCKET0**CBB",misc[[#This Row],[CBB]],"**BASE**I_CCF**ENV",misc[[#This Row],[ENV]],splitchar,"CBREGS_ALL",misc[[#This Row],[CBO]],splitchar,"SPARE")</f>
        <v>*SOCKET0**CBB1**BASE**I_CCF**ENV1__CBREGS_ALL11__SPARE</v>
      </c>
      <c r="AH40">
        <f>COUNTIFS(cha_mc[TestName],misc[[#This Row],[LLC_MCA_String - Not Used]],cha_mc[VisualId],MC_Check!$H$2)</f>
        <v>0</v>
      </c>
    </row>
    <row r="41" spans="6:34" x14ac:dyDescent="0.3">
      <c r="F41">
        <v>1</v>
      </c>
      <c r="G41">
        <v>6</v>
      </c>
      <c r="H41" s="61">
        <f>IF(MC_Check!$AN$2="PHY",misc[[#This Row],[location]],misc[[#This Row],[Module_log]])</f>
        <v>6</v>
      </c>
      <c r="I41" s="61">
        <f>misc[[#This Row],[Module]]</f>
        <v>6</v>
      </c>
      <c r="J41" s="61">
        <v>0</v>
      </c>
      <c r="K41" s="61">
        <f t="shared" si="2"/>
        <v>1</v>
      </c>
      <c r="L41" s="61">
        <v>2</v>
      </c>
      <c r="M41" s="61" t="str">
        <f>_xlfn.TEXTJOIN("",,misc[[#This Row],[ROW]],misc[[#This Row],[ROW]])</f>
        <v>11</v>
      </c>
      <c r="N41" s="5" t="b">
        <f>misc[[#This Row],[Core_Hitter_Count]]&gt;0</f>
        <v>0</v>
      </c>
      <c r="O41" t="b">
        <f>misc[[#This Row],[LLC_Hitter_Count]]&gt;0</f>
        <v>0</v>
      </c>
      <c r="P41" t="b">
        <f>misc[[#This Row],[CHA_Hitter_Count]]&gt;0</f>
        <v>0</v>
      </c>
      <c r="Q41" t="str">
        <f>_xlfn.TEXTJOIN("",,"*SOCKET0**CBB",misc[[#This Row],[CBB]],"**BASE**I_CCF_ENV",misc[[#This Row],[ENV]],splitchar,"CBREGS_ALL",misc[[#This Row],[CBO]],splitchar,"MC_STATUS*")</f>
        <v>*SOCKET0**CBB1**BASE**I_CCF_ENV2__CBREGS_ALL11__MC_STATUS*</v>
      </c>
      <c r="R41">
        <f>COUNTIFS(cha_mc[TestName],misc[[#This Row],[CBO_MCA_String]],cha_mc[VisualId],MC_Check!$H$2)</f>
        <v>0</v>
      </c>
      <c r="S41" t="str">
        <f>_xlfn.TEXTJOIN("",,"*SOCKET0**CBB",misc[[#This Row],[CBB]],"**COMPUTE",misc[[#This Row],[Compute]],"**MODULE",misc[[#This Row],[Module]],splitchar,"**CORE**IFU*CR*MC0*STATUS**")</f>
        <v>*SOCKET0**CBB1**COMPUTE0**MODULE6__**CORE**IFU*CR*MC0*STATUS**</v>
      </c>
      <c r="T41">
        <f>COUNTIFS(core_mc[TestName],misc[[#This Row],[IFU_MCA_String]],core_mc[VisualId],MC_Check!$H$2)</f>
        <v>0</v>
      </c>
      <c r="U41" t="str">
        <f>_xlfn.TEXTJOIN("",,"*SOCKET0**CBB",misc[[#This Row],[CBB]],"**COMPUTE",misc[[#This Row],[Compute]],"**MODULE",misc[[#This Row],[Module]],splitchar,"**CORE**ROB1*CR*MC*STATUS**")</f>
        <v>*SOCKET0**CBB1**COMPUTE0**MODULE6__**CORE**ROB1*CR*MC*STATUS**</v>
      </c>
      <c r="V41">
        <f>COUNTIFS(core_mc[TestName],misc[[#This Row],[ROB_MCA_String]],core_mc[VisualId],MC_Check!$H$2)</f>
        <v>0</v>
      </c>
      <c r="W41" t="str">
        <f>_xlfn.TEXTJOIN("",,"*SOCKET0**CBB",misc[[#This Row],[CBB]],"**COMPUTE",misc[[#This Row],[Compute]],"**MODULE",misc[[#This Row],[Module]],splitchar,"**CORE**DCU*CR*MC1*STATUS**")</f>
        <v>*SOCKET0**CBB1**COMPUTE0**MODULE6__**CORE**DCU*CR*MC1*STATUS**</v>
      </c>
      <c r="X41">
        <f>COUNTIFS(core_mc[TestName],misc[[#This Row],[DCU_MCA_String]],core_mc[VisualId],MC_Check!$H$2)</f>
        <v>0</v>
      </c>
      <c r="Y41" t="str">
        <f>_xlfn.TEXTJOIN("",,"*SOCKET0**CBB",misc[[#This Row],[CBB]],"**COMPUTE",misc[[#This Row],[Compute]],"**MODULE",misc[[#This Row],[Module]],splitchar,"**CORE**DTLB*CR*MC2*STATUS**")</f>
        <v>*SOCKET0**CBB1**COMPUTE0**MODULE6__**CORE**DTLB*CR*MC2*STATUS**</v>
      </c>
      <c r="Z41">
        <f>COUNTIFS(core_mc[TestName],misc[[#This Row],[CORE_DTLB_String]],core_mc[VisualId],MC_Check!$H$2)</f>
        <v>0</v>
      </c>
      <c r="AA41" t="str">
        <f>_xlfn.TEXTJOIN("",,"*SOCKET0**CBB",misc[[#This Row],[CBB]],"**COMPUTE",misc[[#This Row],[Compute]],"**MODULE",misc[[#This Row],[Module]],splitchar,"**ML2*CR*MC3*STATUS**")</f>
        <v>*SOCKET0**CBB1**COMPUTE0**MODULE6__**ML2*CR*MC3*STATUS**</v>
      </c>
      <c r="AB41">
        <f>COUNTIFS(core_mc[TestName],misc[[#This Row],[Core_ML2_String]],core_mc[VisualId],MC_Check!$H$2)</f>
        <v>0</v>
      </c>
      <c r="AC41" t="str">
        <f>_xlfn.TEXTJOIN("",,"*SOCKET0**CBB",misc[[#This Row],[CBB]],"**COMPUTE",misc[[#This Row],[Compute]],"**MODULE",misc[[#This Row],[Module]],splitchar,"SPARE")</f>
        <v>*SOCKET0**CBB1**COMPUTE0**MODULE6__SPARE</v>
      </c>
      <c r="AD41">
        <f>COUNTIFS(core_mc[TestName],misc[[#This Row],[Core_L2_String - SPARE]],core_mc[VisualId],MC_Check!$H$2)</f>
        <v>0</v>
      </c>
      <c r="AE41">
        <f>misc[[#This Row],[Core_DTLB_Count]]+misc[[#This Row],[Core_DCU_Count]]+misc[[#This Row],[Core_IFU_Count]]+misc[[#This Row],[Core_ROB_Count]]+misc[[#This Row],[Core_L2_Count - SPARE]]+misc[[#This Row],[Core_ML2_Count]]</f>
        <v>0</v>
      </c>
      <c r="AF41" t="str">
        <f>_xlfn.TEXTJOIN(", ",,IF(misc[[#This Row],[Core_IFU_Count]]&gt;0,"IFU",""),IF(misc[[#This Row],[Core_DCU_Count]]&gt;0,"DCU",""),IF(misc[[#This Row],[Core_DTLB_Count]]&gt;0,"DTLB",""),IF(misc[[#This Row],[Core_ROB_Count]]&gt;0,"ROB",""),IF(misc[[#This Row],[Core_ML2_Count]]&gt;0,"ML2",""),IF(misc[[#This Row],[Core_L2_Count - SPARE]]&gt;0,"L2",""))</f>
        <v/>
      </c>
      <c r="AG41" t="str">
        <f>_xlfn.TEXTJOIN("",,"*SOCKET0**CBB",misc[[#This Row],[CBB]],"**BASE**I_CCF**ENV",misc[[#This Row],[ENV]],splitchar,"CBREGS_ALL",misc[[#This Row],[CBO]],splitchar,"SPARE")</f>
        <v>*SOCKET0**CBB1**BASE**I_CCF**ENV2__CBREGS_ALL11__SPARE</v>
      </c>
      <c r="AH41">
        <f>COUNTIFS(cha_mc[TestName],misc[[#This Row],[LLC_MCA_String - Not Used]],cha_mc[VisualId],MC_Check!$H$2)</f>
        <v>0</v>
      </c>
    </row>
    <row r="42" spans="6:34" x14ac:dyDescent="0.3">
      <c r="F42">
        <v>1</v>
      </c>
      <c r="G42">
        <v>7</v>
      </c>
      <c r="H42" s="61">
        <f>IF(MC_Check!$AN$2="PHY",misc[[#This Row],[location]],misc[[#This Row],[Module_log]])</f>
        <v>7</v>
      </c>
      <c r="I42" s="61">
        <f>misc[[#This Row],[Module]]</f>
        <v>7</v>
      </c>
      <c r="J42" s="61">
        <v>0</v>
      </c>
      <c r="K42" s="61">
        <f t="shared" si="2"/>
        <v>1</v>
      </c>
      <c r="L42" s="61">
        <v>3</v>
      </c>
      <c r="M42" s="61" t="str">
        <f>_xlfn.TEXTJOIN("",,misc[[#This Row],[ROW]],misc[[#This Row],[ROW]])</f>
        <v>11</v>
      </c>
      <c r="N42" s="5" t="b">
        <f>misc[[#This Row],[Core_Hitter_Count]]&gt;0</f>
        <v>0</v>
      </c>
      <c r="O42" t="b">
        <f>misc[[#This Row],[LLC_Hitter_Count]]&gt;0</f>
        <v>0</v>
      </c>
      <c r="P42" t="b">
        <f>misc[[#This Row],[CHA_Hitter_Count]]&gt;0</f>
        <v>0</v>
      </c>
      <c r="Q42" t="str">
        <f>_xlfn.TEXTJOIN("",,"*SOCKET0**CBB",misc[[#This Row],[CBB]],"**BASE**I_CCF_ENV",misc[[#This Row],[ENV]],splitchar,"CBREGS_ALL",misc[[#This Row],[CBO]],splitchar,"MC_STATUS*")</f>
        <v>*SOCKET0**CBB1**BASE**I_CCF_ENV3__CBREGS_ALL11__MC_STATUS*</v>
      </c>
      <c r="R42">
        <f>COUNTIFS(cha_mc[TestName],misc[[#This Row],[CBO_MCA_String]],cha_mc[VisualId],MC_Check!$H$2)</f>
        <v>0</v>
      </c>
      <c r="S42" t="str">
        <f>_xlfn.TEXTJOIN("",,"*SOCKET0**CBB",misc[[#This Row],[CBB]],"**COMPUTE",misc[[#This Row],[Compute]],"**MODULE",misc[[#This Row],[Module]],splitchar,"**CORE**IFU*CR*MC0*STATUS**")</f>
        <v>*SOCKET0**CBB1**COMPUTE0**MODULE7__**CORE**IFU*CR*MC0*STATUS**</v>
      </c>
      <c r="T42">
        <f>COUNTIFS(core_mc[TestName],misc[[#This Row],[IFU_MCA_String]],core_mc[VisualId],MC_Check!$H$2)</f>
        <v>0</v>
      </c>
      <c r="U42" t="str">
        <f>_xlfn.TEXTJOIN("",,"*SOCKET0**CBB",misc[[#This Row],[CBB]],"**COMPUTE",misc[[#This Row],[Compute]],"**MODULE",misc[[#This Row],[Module]],splitchar,"**CORE**ROB1*CR*MC*STATUS**")</f>
        <v>*SOCKET0**CBB1**COMPUTE0**MODULE7__**CORE**ROB1*CR*MC*STATUS**</v>
      </c>
      <c r="V42">
        <f>COUNTIFS(core_mc[TestName],misc[[#This Row],[ROB_MCA_String]],core_mc[VisualId],MC_Check!$H$2)</f>
        <v>0</v>
      </c>
      <c r="W42" t="str">
        <f>_xlfn.TEXTJOIN("",,"*SOCKET0**CBB",misc[[#This Row],[CBB]],"**COMPUTE",misc[[#This Row],[Compute]],"**MODULE",misc[[#This Row],[Module]],splitchar,"**CORE**DCU*CR*MC1*STATUS**")</f>
        <v>*SOCKET0**CBB1**COMPUTE0**MODULE7__**CORE**DCU*CR*MC1*STATUS**</v>
      </c>
      <c r="X42">
        <f>COUNTIFS(core_mc[TestName],misc[[#This Row],[DCU_MCA_String]],core_mc[VisualId],MC_Check!$H$2)</f>
        <v>0</v>
      </c>
      <c r="Y42" t="str">
        <f>_xlfn.TEXTJOIN("",,"*SOCKET0**CBB",misc[[#This Row],[CBB]],"**COMPUTE",misc[[#This Row],[Compute]],"**MODULE",misc[[#This Row],[Module]],splitchar,"**CORE**DTLB*CR*MC2*STATUS**")</f>
        <v>*SOCKET0**CBB1**COMPUTE0**MODULE7__**CORE**DTLB*CR*MC2*STATUS**</v>
      </c>
      <c r="Z42">
        <f>COUNTIFS(core_mc[TestName],misc[[#This Row],[CORE_DTLB_String]],core_mc[VisualId],MC_Check!$H$2)</f>
        <v>0</v>
      </c>
      <c r="AA42" t="str">
        <f>_xlfn.TEXTJOIN("",,"*SOCKET0**CBB",misc[[#This Row],[CBB]],"**COMPUTE",misc[[#This Row],[Compute]],"**MODULE",misc[[#This Row],[Module]],splitchar,"**ML2*CR*MC3*STATUS**")</f>
        <v>*SOCKET0**CBB1**COMPUTE0**MODULE7__**ML2*CR*MC3*STATUS**</v>
      </c>
      <c r="AB42">
        <f>COUNTIFS(core_mc[TestName],misc[[#This Row],[Core_ML2_String]],core_mc[VisualId],MC_Check!$H$2)</f>
        <v>0</v>
      </c>
      <c r="AC42" t="str">
        <f>_xlfn.TEXTJOIN("",,"*SOCKET0**CBB",misc[[#This Row],[CBB]],"**COMPUTE",misc[[#This Row],[Compute]],"**MODULE",misc[[#This Row],[Module]],splitchar,"SPARE")</f>
        <v>*SOCKET0**CBB1**COMPUTE0**MODULE7__SPARE</v>
      </c>
      <c r="AD42">
        <f>COUNTIFS(core_mc[TestName],misc[[#This Row],[Core_L2_String - SPARE]],core_mc[VisualId],MC_Check!$H$2)</f>
        <v>0</v>
      </c>
      <c r="AE42">
        <f>misc[[#This Row],[Core_DTLB_Count]]+misc[[#This Row],[Core_DCU_Count]]+misc[[#This Row],[Core_IFU_Count]]+misc[[#This Row],[Core_ROB_Count]]+misc[[#This Row],[Core_L2_Count - SPARE]]+misc[[#This Row],[Core_ML2_Count]]</f>
        <v>0</v>
      </c>
      <c r="AF42" t="str">
        <f>_xlfn.TEXTJOIN(", ",,IF(misc[[#This Row],[Core_IFU_Count]]&gt;0,"IFU",""),IF(misc[[#This Row],[Core_DCU_Count]]&gt;0,"DCU",""),IF(misc[[#This Row],[Core_DTLB_Count]]&gt;0,"DTLB",""),IF(misc[[#This Row],[Core_ROB_Count]]&gt;0,"ROB",""),IF(misc[[#This Row],[Core_ML2_Count]]&gt;0,"ML2",""),IF(misc[[#This Row],[Core_L2_Count - SPARE]]&gt;0,"L2",""))</f>
        <v/>
      </c>
      <c r="AG42" t="str">
        <f>_xlfn.TEXTJOIN("",,"*SOCKET0**CBB",misc[[#This Row],[CBB]],"**BASE**I_CCF**ENV",misc[[#This Row],[ENV]],splitchar,"CBREGS_ALL",misc[[#This Row],[CBO]],splitchar,"SPARE")</f>
        <v>*SOCKET0**CBB1**BASE**I_CCF**ENV3__CBREGS_ALL11__SPARE</v>
      </c>
      <c r="AH42">
        <f>COUNTIFS(cha_mc[TestName],misc[[#This Row],[LLC_MCA_String - Not Used]],cha_mc[VisualId],MC_Check!$H$2)</f>
        <v>0</v>
      </c>
    </row>
    <row r="43" spans="6:34" x14ac:dyDescent="0.3">
      <c r="F43">
        <v>1</v>
      </c>
      <c r="G43">
        <v>8</v>
      </c>
      <c r="H43" s="61">
        <f>IF(MC_Check!$AN$2="PHY",misc[[#This Row],[location]],misc[[#This Row],[Module_log]])</f>
        <v>8</v>
      </c>
      <c r="I43" s="61">
        <f>misc[[#This Row],[Module]]</f>
        <v>8</v>
      </c>
      <c r="J43" s="61">
        <f>J35+1</f>
        <v>1</v>
      </c>
      <c r="K43" s="61">
        <f>K39+1</f>
        <v>2</v>
      </c>
      <c r="L43" s="61">
        <v>0</v>
      </c>
      <c r="M43" s="61" t="str">
        <f>_xlfn.TEXTJOIN("",,misc[[#This Row],[ROW]],misc[[#This Row],[ROW]])</f>
        <v>22</v>
      </c>
      <c r="N43" s="5" t="b">
        <f>misc[[#This Row],[Core_Hitter_Count]]&gt;0</f>
        <v>0</v>
      </c>
      <c r="O43" t="b">
        <f>misc[[#This Row],[LLC_Hitter_Count]]&gt;0</f>
        <v>0</v>
      </c>
      <c r="P43" t="b">
        <f>misc[[#This Row],[CHA_Hitter_Count]]&gt;0</f>
        <v>0</v>
      </c>
      <c r="Q43" t="str">
        <f>_xlfn.TEXTJOIN("",,"*SOCKET0**CBB",misc[[#This Row],[CBB]],"**BASE**I_CCF_ENV",misc[[#This Row],[ENV]],splitchar,"CBREGS_ALL",misc[[#This Row],[CBO]],splitchar,"MC_STATUS*")</f>
        <v>*SOCKET0**CBB1**BASE**I_CCF_ENV0__CBREGS_ALL22__MC_STATUS*</v>
      </c>
      <c r="R43">
        <f>COUNTIFS(cha_mc[TestName],misc[[#This Row],[CBO_MCA_String]],cha_mc[VisualId],MC_Check!$H$2)</f>
        <v>0</v>
      </c>
      <c r="S43" t="str">
        <f>_xlfn.TEXTJOIN("",,"*SOCKET0**CBB",misc[[#This Row],[CBB]],"**COMPUTE",misc[[#This Row],[Compute]],"**MODULE",misc[[#This Row],[Module]],splitchar,"**CORE**IFU*CR*MC0*STATUS**")</f>
        <v>*SOCKET0**CBB1**COMPUTE1**MODULE8__**CORE**IFU*CR*MC0*STATUS**</v>
      </c>
      <c r="T43">
        <f>COUNTIFS(core_mc[TestName],misc[[#This Row],[IFU_MCA_String]],core_mc[VisualId],MC_Check!$H$2)</f>
        <v>0</v>
      </c>
      <c r="U43" t="str">
        <f>_xlfn.TEXTJOIN("",,"*SOCKET0**CBB",misc[[#This Row],[CBB]],"**COMPUTE",misc[[#This Row],[Compute]],"**MODULE",misc[[#This Row],[Module]],splitchar,"**CORE**ROB1*CR*MC*STATUS**")</f>
        <v>*SOCKET0**CBB1**COMPUTE1**MODULE8__**CORE**ROB1*CR*MC*STATUS**</v>
      </c>
      <c r="V43">
        <f>COUNTIFS(core_mc[TestName],misc[[#This Row],[ROB_MCA_String]],core_mc[VisualId],MC_Check!$H$2)</f>
        <v>0</v>
      </c>
      <c r="W43" t="str">
        <f>_xlfn.TEXTJOIN("",,"*SOCKET0**CBB",misc[[#This Row],[CBB]],"**COMPUTE",misc[[#This Row],[Compute]],"**MODULE",misc[[#This Row],[Module]],splitchar,"**CORE**DCU*CR*MC1*STATUS**")</f>
        <v>*SOCKET0**CBB1**COMPUTE1**MODULE8__**CORE**DCU*CR*MC1*STATUS**</v>
      </c>
      <c r="X43">
        <f>COUNTIFS(core_mc[TestName],misc[[#This Row],[DCU_MCA_String]],core_mc[VisualId],MC_Check!$H$2)</f>
        <v>0</v>
      </c>
      <c r="Y43" t="str">
        <f>_xlfn.TEXTJOIN("",,"*SOCKET0**CBB",misc[[#This Row],[CBB]],"**COMPUTE",misc[[#This Row],[Compute]],"**MODULE",misc[[#This Row],[Module]],splitchar,"**CORE**DTLB*CR*MC2*STATUS**")</f>
        <v>*SOCKET0**CBB1**COMPUTE1**MODULE8__**CORE**DTLB*CR*MC2*STATUS**</v>
      </c>
      <c r="Z43">
        <f>COUNTIFS(core_mc[TestName],misc[[#This Row],[CORE_DTLB_String]],core_mc[VisualId],MC_Check!$H$2)</f>
        <v>0</v>
      </c>
      <c r="AA43" t="str">
        <f>_xlfn.TEXTJOIN("",,"*SOCKET0**CBB",misc[[#This Row],[CBB]],"**COMPUTE",misc[[#This Row],[Compute]],"**MODULE",misc[[#This Row],[Module]],splitchar,"**ML2*CR*MC3*STATUS**")</f>
        <v>*SOCKET0**CBB1**COMPUTE1**MODULE8__**ML2*CR*MC3*STATUS**</v>
      </c>
      <c r="AB43">
        <f>COUNTIFS(core_mc[TestName],misc[[#This Row],[Core_ML2_String]],core_mc[VisualId],MC_Check!$H$2)</f>
        <v>0</v>
      </c>
      <c r="AC43" t="str">
        <f>_xlfn.TEXTJOIN("",,"*SOCKET0**CBB",misc[[#This Row],[CBB]],"**COMPUTE",misc[[#This Row],[Compute]],"**MODULE",misc[[#This Row],[Module]],splitchar,"SPARE")</f>
        <v>*SOCKET0**CBB1**COMPUTE1**MODULE8__SPARE</v>
      </c>
      <c r="AD43">
        <f>COUNTIFS(core_mc[TestName],misc[[#This Row],[Core_L2_String - SPARE]],core_mc[VisualId],MC_Check!$H$2)</f>
        <v>0</v>
      </c>
      <c r="AE43">
        <f>misc[[#This Row],[Core_DTLB_Count]]+misc[[#This Row],[Core_DCU_Count]]+misc[[#This Row],[Core_IFU_Count]]+misc[[#This Row],[Core_ROB_Count]]+misc[[#This Row],[Core_L2_Count - SPARE]]+misc[[#This Row],[Core_ML2_Count]]</f>
        <v>0</v>
      </c>
      <c r="AF43" t="str">
        <f>_xlfn.TEXTJOIN(", ",,IF(misc[[#This Row],[Core_IFU_Count]]&gt;0,"IFU",""),IF(misc[[#This Row],[Core_DCU_Count]]&gt;0,"DCU",""),IF(misc[[#This Row],[Core_DTLB_Count]]&gt;0,"DTLB",""),IF(misc[[#This Row],[Core_ROB_Count]]&gt;0,"ROB",""),IF(misc[[#This Row],[Core_ML2_Count]]&gt;0,"ML2",""),IF(misc[[#This Row],[Core_L2_Count - SPARE]]&gt;0,"L2",""))</f>
        <v/>
      </c>
      <c r="AG43" t="str">
        <f>_xlfn.TEXTJOIN("",,"*SOCKET0**CBB",misc[[#This Row],[CBB]],"**BASE**I_CCF**ENV",misc[[#This Row],[ENV]],splitchar,"CBREGS_ALL",misc[[#This Row],[CBO]],splitchar,"SPARE")</f>
        <v>*SOCKET0**CBB1**BASE**I_CCF**ENV0__CBREGS_ALL22__SPARE</v>
      </c>
      <c r="AH43">
        <f>COUNTIFS(cha_mc[TestName],misc[[#This Row],[LLC_MCA_String - Not Used]],cha_mc[VisualId],MC_Check!$H$2)</f>
        <v>0</v>
      </c>
    </row>
    <row r="44" spans="6:34" x14ac:dyDescent="0.3">
      <c r="F44">
        <v>1</v>
      </c>
      <c r="G44">
        <v>9</v>
      </c>
      <c r="H44" s="61">
        <f>IF(MC_Check!$AN$2="PHY",misc[[#This Row],[location]],misc[[#This Row],[Module_log]])</f>
        <v>9</v>
      </c>
      <c r="I44" s="61">
        <f>misc[[#This Row],[Module]]</f>
        <v>9</v>
      </c>
      <c r="J44" s="61">
        <f t="shared" si="1"/>
        <v>1</v>
      </c>
      <c r="K44" s="61">
        <f t="shared" si="2"/>
        <v>2</v>
      </c>
      <c r="L44" s="61">
        <v>1</v>
      </c>
      <c r="M44" s="61" t="str">
        <f>_xlfn.TEXTJOIN("",,misc[[#This Row],[ROW]],misc[[#This Row],[ROW]])</f>
        <v>22</v>
      </c>
      <c r="N44" s="5" t="b">
        <f>misc[[#This Row],[Core_Hitter_Count]]&gt;0</f>
        <v>0</v>
      </c>
      <c r="O44" t="b">
        <f>misc[[#This Row],[LLC_Hitter_Count]]&gt;0</f>
        <v>0</v>
      </c>
      <c r="P44" t="b">
        <f>misc[[#This Row],[CHA_Hitter_Count]]&gt;0</f>
        <v>0</v>
      </c>
      <c r="Q44" t="str">
        <f>_xlfn.TEXTJOIN("",,"*SOCKET0**CBB",misc[[#This Row],[CBB]],"**BASE**I_CCF_ENV",misc[[#This Row],[ENV]],splitchar,"CBREGS_ALL",misc[[#This Row],[CBO]],splitchar,"MC_STATUS*")</f>
        <v>*SOCKET0**CBB1**BASE**I_CCF_ENV1__CBREGS_ALL22__MC_STATUS*</v>
      </c>
      <c r="R44">
        <f>COUNTIFS(cha_mc[TestName],misc[[#This Row],[CBO_MCA_String]],cha_mc[VisualId],MC_Check!$H$2)</f>
        <v>0</v>
      </c>
      <c r="S44" t="str">
        <f>_xlfn.TEXTJOIN("",,"*SOCKET0**CBB",misc[[#This Row],[CBB]],"**COMPUTE",misc[[#This Row],[Compute]],"**MODULE",misc[[#This Row],[Module]],splitchar,"**CORE**IFU*CR*MC0*STATUS**")</f>
        <v>*SOCKET0**CBB1**COMPUTE1**MODULE9__**CORE**IFU*CR*MC0*STATUS**</v>
      </c>
      <c r="T44">
        <f>COUNTIFS(core_mc[TestName],misc[[#This Row],[IFU_MCA_String]],core_mc[VisualId],MC_Check!$H$2)</f>
        <v>0</v>
      </c>
      <c r="U44" t="str">
        <f>_xlfn.TEXTJOIN("",,"*SOCKET0**CBB",misc[[#This Row],[CBB]],"**COMPUTE",misc[[#This Row],[Compute]],"**MODULE",misc[[#This Row],[Module]],splitchar,"**CORE**ROB1*CR*MC*STATUS**")</f>
        <v>*SOCKET0**CBB1**COMPUTE1**MODULE9__**CORE**ROB1*CR*MC*STATUS**</v>
      </c>
      <c r="V44">
        <f>COUNTIFS(core_mc[TestName],misc[[#This Row],[ROB_MCA_String]],core_mc[VisualId],MC_Check!$H$2)</f>
        <v>0</v>
      </c>
      <c r="W44" t="str">
        <f>_xlfn.TEXTJOIN("",,"*SOCKET0**CBB",misc[[#This Row],[CBB]],"**COMPUTE",misc[[#This Row],[Compute]],"**MODULE",misc[[#This Row],[Module]],splitchar,"**CORE**DCU*CR*MC1*STATUS**")</f>
        <v>*SOCKET0**CBB1**COMPUTE1**MODULE9__**CORE**DCU*CR*MC1*STATUS**</v>
      </c>
      <c r="X44">
        <f>COUNTIFS(core_mc[TestName],misc[[#This Row],[DCU_MCA_String]],core_mc[VisualId],MC_Check!$H$2)</f>
        <v>0</v>
      </c>
      <c r="Y44" t="str">
        <f>_xlfn.TEXTJOIN("",,"*SOCKET0**CBB",misc[[#This Row],[CBB]],"**COMPUTE",misc[[#This Row],[Compute]],"**MODULE",misc[[#This Row],[Module]],splitchar,"**CORE**DTLB*CR*MC2*STATUS**")</f>
        <v>*SOCKET0**CBB1**COMPUTE1**MODULE9__**CORE**DTLB*CR*MC2*STATUS**</v>
      </c>
      <c r="Z44">
        <f>COUNTIFS(core_mc[TestName],misc[[#This Row],[CORE_DTLB_String]],core_mc[VisualId],MC_Check!$H$2)</f>
        <v>0</v>
      </c>
      <c r="AA44" t="str">
        <f>_xlfn.TEXTJOIN("",,"*SOCKET0**CBB",misc[[#This Row],[CBB]],"**COMPUTE",misc[[#This Row],[Compute]],"**MODULE",misc[[#This Row],[Module]],splitchar,"**ML2*CR*MC3*STATUS**")</f>
        <v>*SOCKET0**CBB1**COMPUTE1**MODULE9__**ML2*CR*MC3*STATUS**</v>
      </c>
      <c r="AB44">
        <f>COUNTIFS(core_mc[TestName],misc[[#This Row],[Core_ML2_String]],core_mc[VisualId],MC_Check!$H$2)</f>
        <v>0</v>
      </c>
      <c r="AC44" t="str">
        <f>_xlfn.TEXTJOIN("",,"*SOCKET0**CBB",misc[[#This Row],[CBB]],"**COMPUTE",misc[[#This Row],[Compute]],"**MODULE",misc[[#This Row],[Module]],splitchar,"SPARE")</f>
        <v>*SOCKET0**CBB1**COMPUTE1**MODULE9__SPARE</v>
      </c>
      <c r="AD44">
        <f>COUNTIFS(core_mc[TestName],misc[[#This Row],[Core_L2_String - SPARE]],core_mc[VisualId],MC_Check!$H$2)</f>
        <v>0</v>
      </c>
      <c r="AE44">
        <f>misc[[#This Row],[Core_DTLB_Count]]+misc[[#This Row],[Core_DCU_Count]]+misc[[#This Row],[Core_IFU_Count]]+misc[[#This Row],[Core_ROB_Count]]+misc[[#This Row],[Core_L2_Count - SPARE]]+misc[[#This Row],[Core_ML2_Count]]</f>
        <v>0</v>
      </c>
      <c r="AF44" t="str">
        <f>_xlfn.TEXTJOIN(", ",,IF(misc[[#This Row],[Core_IFU_Count]]&gt;0,"IFU",""),IF(misc[[#This Row],[Core_DCU_Count]]&gt;0,"DCU",""),IF(misc[[#This Row],[Core_DTLB_Count]]&gt;0,"DTLB",""),IF(misc[[#This Row],[Core_ROB_Count]]&gt;0,"ROB",""),IF(misc[[#This Row],[Core_ML2_Count]]&gt;0,"ML2",""),IF(misc[[#This Row],[Core_L2_Count - SPARE]]&gt;0,"L2",""))</f>
        <v/>
      </c>
      <c r="AG44" t="str">
        <f>_xlfn.TEXTJOIN("",,"*SOCKET0**CBB",misc[[#This Row],[CBB]],"**BASE**I_CCF**ENV",misc[[#This Row],[ENV]],splitchar,"CBREGS_ALL",misc[[#This Row],[CBO]],splitchar,"SPARE")</f>
        <v>*SOCKET0**CBB1**BASE**I_CCF**ENV1__CBREGS_ALL22__SPARE</v>
      </c>
      <c r="AH44">
        <f>COUNTIFS(cha_mc[TestName],misc[[#This Row],[LLC_MCA_String - Not Used]],cha_mc[VisualId],MC_Check!$H$2)</f>
        <v>0</v>
      </c>
    </row>
    <row r="45" spans="6:34" x14ac:dyDescent="0.3">
      <c r="F45">
        <v>1</v>
      </c>
      <c r="G45">
        <v>10</v>
      </c>
      <c r="H45" s="61">
        <f>IF(MC_Check!$AN$2="PHY",misc[[#This Row],[location]],misc[[#This Row],[Module_log]])</f>
        <v>10</v>
      </c>
      <c r="I45" s="61">
        <f>misc[[#This Row],[Module]]</f>
        <v>10</v>
      </c>
      <c r="J45" s="61">
        <f t="shared" si="1"/>
        <v>1</v>
      </c>
      <c r="K45" s="61">
        <f t="shared" si="2"/>
        <v>2</v>
      </c>
      <c r="L45" s="61">
        <v>2</v>
      </c>
      <c r="M45" s="61" t="str">
        <f>_xlfn.TEXTJOIN("",,misc[[#This Row],[ROW]],misc[[#This Row],[ROW]])</f>
        <v>22</v>
      </c>
      <c r="N45" s="5" t="b">
        <f>misc[[#This Row],[Core_Hitter_Count]]&gt;0</f>
        <v>0</v>
      </c>
      <c r="O45" t="b">
        <f>misc[[#This Row],[LLC_Hitter_Count]]&gt;0</f>
        <v>0</v>
      </c>
      <c r="P45" t="b">
        <f>misc[[#This Row],[CHA_Hitter_Count]]&gt;0</f>
        <v>0</v>
      </c>
      <c r="Q45" t="str">
        <f>_xlfn.TEXTJOIN("",,"*SOCKET0**CBB",misc[[#This Row],[CBB]],"**BASE**I_CCF_ENV",misc[[#This Row],[ENV]],splitchar,"CBREGS_ALL",misc[[#This Row],[CBO]],splitchar,"MC_STATUS*")</f>
        <v>*SOCKET0**CBB1**BASE**I_CCF_ENV2__CBREGS_ALL22__MC_STATUS*</v>
      </c>
      <c r="R45">
        <f>COUNTIFS(cha_mc[TestName],misc[[#This Row],[CBO_MCA_String]],cha_mc[VisualId],MC_Check!$H$2)</f>
        <v>0</v>
      </c>
      <c r="S45" t="str">
        <f>_xlfn.TEXTJOIN("",,"*SOCKET0**CBB",misc[[#This Row],[CBB]],"**COMPUTE",misc[[#This Row],[Compute]],"**MODULE",misc[[#This Row],[Module]],splitchar,"**CORE**IFU*CR*MC0*STATUS**")</f>
        <v>*SOCKET0**CBB1**COMPUTE1**MODULE10__**CORE**IFU*CR*MC0*STATUS**</v>
      </c>
      <c r="T45">
        <f>COUNTIFS(core_mc[TestName],misc[[#This Row],[IFU_MCA_String]],core_mc[VisualId],MC_Check!$H$2)</f>
        <v>0</v>
      </c>
      <c r="U45" t="str">
        <f>_xlfn.TEXTJOIN("",,"*SOCKET0**CBB",misc[[#This Row],[CBB]],"**COMPUTE",misc[[#This Row],[Compute]],"**MODULE",misc[[#This Row],[Module]],splitchar,"**CORE**ROB1*CR*MC*STATUS**")</f>
        <v>*SOCKET0**CBB1**COMPUTE1**MODULE10__**CORE**ROB1*CR*MC*STATUS**</v>
      </c>
      <c r="V45">
        <f>COUNTIFS(core_mc[TestName],misc[[#This Row],[ROB_MCA_String]],core_mc[VisualId],MC_Check!$H$2)</f>
        <v>0</v>
      </c>
      <c r="W45" t="str">
        <f>_xlfn.TEXTJOIN("",,"*SOCKET0**CBB",misc[[#This Row],[CBB]],"**COMPUTE",misc[[#This Row],[Compute]],"**MODULE",misc[[#This Row],[Module]],splitchar,"**CORE**DCU*CR*MC1*STATUS**")</f>
        <v>*SOCKET0**CBB1**COMPUTE1**MODULE10__**CORE**DCU*CR*MC1*STATUS**</v>
      </c>
      <c r="X45">
        <f>COUNTIFS(core_mc[TestName],misc[[#This Row],[DCU_MCA_String]],core_mc[VisualId],MC_Check!$H$2)</f>
        <v>0</v>
      </c>
      <c r="Y45" t="str">
        <f>_xlfn.TEXTJOIN("",,"*SOCKET0**CBB",misc[[#This Row],[CBB]],"**COMPUTE",misc[[#This Row],[Compute]],"**MODULE",misc[[#This Row],[Module]],splitchar,"**CORE**DTLB*CR*MC2*STATUS**")</f>
        <v>*SOCKET0**CBB1**COMPUTE1**MODULE10__**CORE**DTLB*CR*MC2*STATUS**</v>
      </c>
      <c r="Z45">
        <f>COUNTIFS(core_mc[TestName],misc[[#This Row],[CORE_DTLB_String]],core_mc[VisualId],MC_Check!$H$2)</f>
        <v>0</v>
      </c>
      <c r="AA45" t="str">
        <f>_xlfn.TEXTJOIN("",,"*SOCKET0**CBB",misc[[#This Row],[CBB]],"**COMPUTE",misc[[#This Row],[Compute]],"**MODULE",misc[[#This Row],[Module]],splitchar,"**ML2*CR*MC3*STATUS**")</f>
        <v>*SOCKET0**CBB1**COMPUTE1**MODULE10__**ML2*CR*MC3*STATUS**</v>
      </c>
      <c r="AB45">
        <f>COUNTIFS(core_mc[TestName],misc[[#This Row],[Core_ML2_String]],core_mc[VisualId],MC_Check!$H$2)</f>
        <v>0</v>
      </c>
      <c r="AC45" t="str">
        <f>_xlfn.TEXTJOIN("",,"*SOCKET0**CBB",misc[[#This Row],[CBB]],"**COMPUTE",misc[[#This Row],[Compute]],"**MODULE",misc[[#This Row],[Module]],splitchar,"SPARE")</f>
        <v>*SOCKET0**CBB1**COMPUTE1**MODULE10__SPARE</v>
      </c>
      <c r="AD45">
        <f>COUNTIFS(core_mc[TestName],misc[[#This Row],[Core_L2_String - SPARE]],core_mc[VisualId],MC_Check!$H$2)</f>
        <v>0</v>
      </c>
      <c r="AE45">
        <f>misc[[#This Row],[Core_DTLB_Count]]+misc[[#This Row],[Core_DCU_Count]]+misc[[#This Row],[Core_IFU_Count]]+misc[[#This Row],[Core_ROB_Count]]+misc[[#This Row],[Core_L2_Count - SPARE]]+misc[[#This Row],[Core_ML2_Count]]</f>
        <v>0</v>
      </c>
      <c r="AF45" t="str">
        <f>_xlfn.TEXTJOIN(", ",,IF(misc[[#This Row],[Core_IFU_Count]]&gt;0,"IFU",""),IF(misc[[#This Row],[Core_DCU_Count]]&gt;0,"DCU",""),IF(misc[[#This Row],[Core_DTLB_Count]]&gt;0,"DTLB",""),IF(misc[[#This Row],[Core_ROB_Count]]&gt;0,"ROB",""),IF(misc[[#This Row],[Core_ML2_Count]]&gt;0,"ML2",""),IF(misc[[#This Row],[Core_L2_Count - SPARE]]&gt;0,"L2",""))</f>
        <v/>
      </c>
      <c r="AG45" t="str">
        <f>_xlfn.TEXTJOIN("",,"*SOCKET0**CBB",misc[[#This Row],[CBB]],"**BASE**I_CCF**ENV",misc[[#This Row],[ENV]],splitchar,"CBREGS_ALL",misc[[#This Row],[CBO]],splitchar,"SPARE")</f>
        <v>*SOCKET0**CBB1**BASE**I_CCF**ENV2__CBREGS_ALL22__SPARE</v>
      </c>
      <c r="AH45">
        <f>COUNTIFS(cha_mc[TestName],misc[[#This Row],[LLC_MCA_String - Not Used]],cha_mc[VisualId],MC_Check!$H$2)</f>
        <v>0</v>
      </c>
    </row>
    <row r="46" spans="6:34" x14ac:dyDescent="0.3">
      <c r="F46">
        <v>1</v>
      </c>
      <c r="G46">
        <v>11</v>
      </c>
      <c r="H46" s="61">
        <f>IF(MC_Check!$AN$2="PHY",misc[[#This Row],[location]],misc[[#This Row],[Module_log]])</f>
        <v>11</v>
      </c>
      <c r="I46" s="61">
        <f>misc[[#This Row],[Module]]</f>
        <v>11</v>
      </c>
      <c r="J46" s="61">
        <f t="shared" si="1"/>
        <v>1</v>
      </c>
      <c r="K46" s="61">
        <f t="shared" si="2"/>
        <v>2</v>
      </c>
      <c r="L46" s="61">
        <v>3</v>
      </c>
      <c r="M46" s="61" t="str">
        <f>_xlfn.TEXTJOIN("",,misc[[#This Row],[ROW]],misc[[#This Row],[ROW]])</f>
        <v>22</v>
      </c>
      <c r="N46" s="5" t="b">
        <f>misc[[#This Row],[Core_Hitter_Count]]&gt;0</f>
        <v>0</v>
      </c>
      <c r="O46" t="b">
        <f>misc[[#This Row],[LLC_Hitter_Count]]&gt;0</f>
        <v>0</v>
      </c>
      <c r="P46" t="b">
        <f>misc[[#This Row],[CHA_Hitter_Count]]&gt;0</f>
        <v>0</v>
      </c>
      <c r="Q46" t="str">
        <f>_xlfn.TEXTJOIN("",,"*SOCKET0**CBB",misc[[#This Row],[CBB]],"**BASE**I_CCF_ENV",misc[[#This Row],[ENV]],splitchar,"CBREGS_ALL",misc[[#This Row],[CBO]],splitchar,"MC_STATUS*")</f>
        <v>*SOCKET0**CBB1**BASE**I_CCF_ENV3__CBREGS_ALL22__MC_STATUS*</v>
      </c>
      <c r="R46">
        <f>COUNTIFS(cha_mc[TestName],misc[[#This Row],[CBO_MCA_String]],cha_mc[VisualId],MC_Check!$H$2)</f>
        <v>0</v>
      </c>
      <c r="S46" t="str">
        <f>_xlfn.TEXTJOIN("",,"*SOCKET0**CBB",misc[[#This Row],[CBB]],"**COMPUTE",misc[[#This Row],[Compute]],"**MODULE",misc[[#This Row],[Module]],splitchar,"**CORE**IFU*CR*MC0*STATUS**")</f>
        <v>*SOCKET0**CBB1**COMPUTE1**MODULE11__**CORE**IFU*CR*MC0*STATUS**</v>
      </c>
      <c r="T46">
        <f>COUNTIFS(core_mc[TestName],misc[[#This Row],[IFU_MCA_String]],core_mc[VisualId],MC_Check!$H$2)</f>
        <v>0</v>
      </c>
      <c r="U46" t="str">
        <f>_xlfn.TEXTJOIN("",,"*SOCKET0**CBB",misc[[#This Row],[CBB]],"**COMPUTE",misc[[#This Row],[Compute]],"**MODULE",misc[[#This Row],[Module]],splitchar,"**CORE**ROB1*CR*MC*STATUS**")</f>
        <v>*SOCKET0**CBB1**COMPUTE1**MODULE11__**CORE**ROB1*CR*MC*STATUS**</v>
      </c>
      <c r="V46">
        <f>COUNTIFS(core_mc[TestName],misc[[#This Row],[ROB_MCA_String]],core_mc[VisualId],MC_Check!$H$2)</f>
        <v>0</v>
      </c>
      <c r="W46" t="str">
        <f>_xlfn.TEXTJOIN("",,"*SOCKET0**CBB",misc[[#This Row],[CBB]],"**COMPUTE",misc[[#This Row],[Compute]],"**MODULE",misc[[#This Row],[Module]],splitchar,"**CORE**DCU*CR*MC1*STATUS**")</f>
        <v>*SOCKET0**CBB1**COMPUTE1**MODULE11__**CORE**DCU*CR*MC1*STATUS**</v>
      </c>
      <c r="X46">
        <f>COUNTIFS(core_mc[TestName],misc[[#This Row],[DCU_MCA_String]],core_mc[VisualId],MC_Check!$H$2)</f>
        <v>0</v>
      </c>
      <c r="Y46" t="str">
        <f>_xlfn.TEXTJOIN("",,"*SOCKET0**CBB",misc[[#This Row],[CBB]],"**COMPUTE",misc[[#This Row],[Compute]],"**MODULE",misc[[#This Row],[Module]],splitchar,"**CORE**DTLB*CR*MC2*STATUS**")</f>
        <v>*SOCKET0**CBB1**COMPUTE1**MODULE11__**CORE**DTLB*CR*MC2*STATUS**</v>
      </c>
      <c r="Z46">
        <f>COUNTIFS(core_mc[TestName],misc[[#This Row],[CORE_DTLB_String]],core_mc[VisualId],MC_Check!$H$2)</f>
        <v>0</v>
      </c>
      <c r="AA46" t="str">
        <f>_xlfn.TEXTJOIN("",,"*SOCKET0**CBB",misc[[#This Row],[CBB]],"**COMPUTE",misc[[#This Row],[Compute]],"**MODULE",misc[[#This Row],[Module]],splitchar,"**ML2*CR*MC3*STATUS**")</f>
        <v>*SOCKET0**CBB1**COMPUTE1**MODULE11__**ML2*CR*MC3*STATUS**</v>
      </c>
      <c r="AB46">
        <f>COUNTIFS(core_mc[TestName],misc[[#This Row],[Core_ML2_String]],core_mc[VisualId],MC_Check!$H$2)</f>
        <v>0</v>
      </c>
      <c r="AC46" t="str">
        <f>_xlfn.TEXTJOIN("",,"*SOCKET0**CBB",misc[[#This Row],[CBB]],"**COMPUTE",misc[[#This Row],[Compute]],"**MODULE",misc[[#This Row],[Module]],splitchar,"SPARE")</f>
        <v>*SOCKET0**CBB1**COMPUTE1**MODULE11__SPARE</v>
      </c>
      <c r="AD46">
        <f>COUNTIFS(core_mc[TestName],misc[[#This Row],[Core_L2_String - SPARE]],core_mc[VisualId],MC_Check!$H$2)</f>
        <v>0</v>
      </c>
      <c r="AE46">
        <f>misc[[#This Row],[Core_DTLB_Count]]+misc[[#This Row],[Core_DCU_Count]]+misc[[#This Row],[Core_IFU_Count]]+misc[[#This Row],[Core_ROB_Count]]+misc[[#This Row],[Core_L2_Count - SPARE]]+misc[[#This Row],[Core_ML2_Count]]</f>
        <v>0</v>
      </c>
      <c r="AF46" t="str">
        <f>_xlfn.TEXTJOIN(", ",,IF(misc[[#This Row],[Core_IFU_Count]]&gt;0,"IFU",""),IF(misc[[#This Row],[Core_DCU_Count]]&gt;0,"DCU",""),IF(misc[[#This Row],[Core_DTLB_Count]]&gt;0,"DTLB",""),IF(misc[[#This Row],[Core_ROB_Count]]&gt;0,"ROB",""),IF(misc[[#This Row],[Core_ML2_Count]]&gt;0,"ML2",""),IF(misc[[#This Row],[Core_L2_Count - SPARE]]&gt;0,"L2",""))</f>
        <v/>
      </c>
      <c r="AG46" t="str">
        <f>_xlfn.TEXTJOIN("",,"*SOCKET0**CBB",misc[[#This Row],[CBB]],"**BASE**I_CCF**ENV",misc[[#This Row],[ENV]],splitchar,"CBREGS_ALL",misc[[#This Row],[CBO]],splitchar,"SPARE")</f>
        <v>*SOCKET0**CBB1**BASE**I_CCF**ENV3__CBREGS_ALL22__SPARE</v>
      </c>
      <c r="AH46">
        <f>COUNTIFS(cha_mc[TestName],misc[[#This Row],[LLC_MCA_String - Not Used]],cha_mc[VisualId],MC_Check!$H$2)</f>
        <v>0</v>
      </c>
    </row>
    <row r="47" spans="6:34" x14ac:dyDescent="0.3">
      <c r="F47">
        <v>1</v>
      </c>
      <c r="G47">
        <v>12</v>
      </c>
      <c r="H47" s="61">
        <f>IF(MC_Check!$AN$2="PHY",misc[[#This Row],[location]],misc[[#This Row],[Module_log]])</f>
        <v>12</v>
      </c>
      <c r="I47" s="61">
        <f>misc[[#This Row],[Module]]</f>
        <v>12</v>
      </c>
      <c r="J47" s="61">
        <f t="shared" si="1"/>
        <v>1</v>
      </c>
      <c r="K47" s="61">
        <f>K43+1</f>
        <v>3</v>
      </c>
      <c r="L47" s="61">
        <v>0</v>
      </c>
      <c r="M47" s="61" t="str">
        <f>_xlfn.TEXTJOIN("",,misc[[#This Row],[ROW]],misc[[#This Row],[ROW]])</f>
        <v>33</v>
      </c>
      <c r="N47" s="5" t="b">
        <f>misc[[#This Row],[Core_Hitter_Count]]&gt;0</f>
        <v>0</v>
      </c>
      <c r="O47" t="b">
        <f>misc[[#This Row],[LLC_Hitter_Count]]&gt;0</f>
        <v>0</v>
      </c>
      <c r="P47" t="b">
        <f>misc[[#This Row],[CHA_Hitter_Count]]&gt;0</f>
        <v>0</v>
      </c>
      <c r="Q47" t="str">
        <f>_xlfn.TEXTJOIN("",,"*SOCKET0**CBB",misc[[#This Row],[CBB]],"**BASE**I_CCF_ENV",misc[[#This Row],[ENV]],splitchar,"CBREGS_ALL",misc[[#This Row],[CBO]],splitchar,"MC_STATUS*")</f>
        <v>*SOCKET0**CBB1**BASE**I_CCF_ENV0__CBREGS_ALL33__MC_STATUS*</v>
      </c>
      <c r="R47">
        <f>COUNTIFS(cha_mc[TestName],misc[[#This Row],[CBO_MCA_String]],cha_mc[VisualId],MC_Check!$H$2)</f>
        <v>0</v>
      </c>
      <c r="S47" t="str">
        <f>_xlfn.TEXTJOIN("",,"*SOCKET0**CBB",misc[[#This Row],[CBB]],"**COMPUTE",misc[[#This Row],[Compute]],"**MODULE",misc[[#This Row],[Module]],splitchar,"**CORE**IFU*CR*MC0*STATUS**")</f>
        <v>*SOCKET0**CBB1**COMPUTE1**MODULE12__**CORE**IFU*CR*MC0*STATUS**</v>
      </c>
      <c r="T47">
        <f>COUNTIFS(core_mc[TestName],misc[[#This Row],[IFU_MCA_String]],core_mc[VisualId],MC_Check!$H$2)</f>
        <v>0</v>
      </c>
      <c r="U47" t="str">
        <f>_xlfn.TEXTJOIN("",,"*SOCKET0**CBB",misc[[#This Row],[CBB]],"**COMPUTE",misc[[#This Row],[Compute]],"**MODULE",misc[[#This Row],[Module]],splitchar,"**CORE**ROB1*CR*MC*STATUS**")</f>
        <v>*SOCKET0**CBB1**COMPUTE1**MODULE12__**CORE**ROB1*CR*MC*STATUS**</v>
      </c>
      <c r="V47">
        <f>COUNTIFS(core_mc[TestName],misc[[#This Row],[ROB_MCA_String]],core_mc[VisualId],MC_Check!$H$2)</f>
        <v>0</v>
      </c>
      <c r="W47" t="str">
        <f>_xlfn.TEXTJOIN("",,"*SOCKET0**CBB",misc[[#This Row],[CBB]],"**COMPUTE",misc[[#This Row],[Compute]],"**MODULE",misc[[#This Row],[Module]],splitchar,"**CORE**DCU*CR*MC1*STATUS**")</f>
        <v>*SOCKET0**CBB1**COMPUTE1**MODULE12__**CORE**DCU*CR*MC1*STATUS**</v>
      </c>
      <c r="X47">
        <f>COUNTIFS(core_mc[TestName],misc[[#This Row],[DCU_MCA_String]],core_mc[VisualId],MC_Check!$H$2)</f>
        <v>0</v>
      </c>
      <c r="Y47" t="str">
        <f>_xlfn.TEXTJOIN("",,"*SOCKET0**CBB",misc[[#This Row],[CBB]],"**COMPUTE",misc[[#This Row],[Compute]],"**MODULE",misc[[#This Row],[Module]],splitchar,"**CORE**DTLB*CR*MC2*STATUS**")</f>
        <v>*SOCKET0**CBB1**COMPUTE1**MODULE12__**CORE**DTLB*CR*MC2*STATUS**</v>
      </c>
      <c r="Z47">
        <f>COUNTIFS(core_mc[TestName],misc[[#This Row],[CORE_DTLB_String]],core_mc[VisualId],MC_Check!$H$2)</f>
        <v>0</v>
      </c>
      <c r="AA47" t="str">
        <f>_xlfn.TEXTJOIN("",,"*SOCKET0**CBB",misc[[#This Row],[CBB]],"**COMPUTE",misc[[#This Row],[Compute]],"**MODULE",misc[[#This Row],[Module]],splitchar,"**ML2*CR*MC3*STATUS**")</f>
        <v>*SOCKET0**CBB1**COMPUTE1**MODULE12__**ML2*CR*MC3*STATUS**</v>
      </c>
      <c r="AB47">
        <f>COUNTIFS(core_mc[TestName],misc[[#This Row],[Core_ML2_String]],core_mc[VisualId],MC_Check!$H$2)</f>
        <v>0</v>
      </c>
      <c r="AC47" t="str">
        <f>_xlfn.TEXTJOIN("",,"*SOCKET0**CBB",misc[[#This Row],[CBB]],"**COMPUTE",misc[[#This Row],[Compute]],"**MODULE",misc[[#This Row],[Module]],splitchar,"SPARE")</f>
        <v>*SOCKET0**CBB1**COMPUTE1**MODULE12__SPARE</v>
      </c>
      <c r="AD47">
        <f>COUNTIFS(core_mc[TestName],misc[[#This Row],[Core_L2_String - SPARE]],core_mc[VisualId],MC_Check!$H$2)</f>
        <v>0</v>
      </c>
      <c r="AE47">
        <f>misc[[#This Row],[Core_DTLB_Count]]+misc[[#This Row],[Core_DCU_Count]]+misc[[#This Row],[Core_IFU_Count]]+misc[[#This Row],[Core_ROB_Count]]+misc[[#This Row],[Core_L2_Count - SPARE]]+misc[[#This Row],[Core_ML2_Count]]</f>
        <v>0</v>
      </c>
      <c r="AF47" t="str">
        <f>_xlfn.TEXTJOIN(", ",,IF(misc[[#This Row],[Core_IFU_Count]]&gt;0,"IFU",""),IF(misc[[#This Row],[Core_DCU_Count]]&gt;0,"DCU",""),IF(misc[[#This Row],[Core_DTLB_Count]]&gt;0,"DTLB",""),IF(misc[[#This Row],[Core_ROB_Count]]&gt;0,"ROB",""),IF(misc[[#This Row],[Core_ML2_Count]]&gt;0,"ML2",""),IF(misc[[#This Row],[Core_L2_Count - SPARE]]&gt;0,"L2",""))</f>
        <v/>
      </c>
      <c r="AG47" t="str">
        <f>_xlfn.TEXTJOIN("",,"*SOCKET0**CBB",misc[[#This Row],[CBB]],"**BASE**I_CCF**ENV",misc[[#This Row],[ENV]],splitchar,"CBREGS_ALL",misc[[#This Row],[CBO]],splitchar,"SPARE")</f>
        <v>*SOCKET0**CBB1**BASE**I_CCF**ENV0__CBREGS_ALL33__SPARE</v>
      </c>
      <c r="AH47">
        <f>COUNTIFS(cha_mc[TestName],misc[[#This Row],[LLC_MCA_String - Not Used]],cha_mc[VisualId],MC_Check!$H$2)</f>
        <v>0</v>
      </c>
    </row>
    <row r="48" spans="6:34" x14ac:dyDescent="0.3">
      <c r="F48">
        <v>1</v>
      </c>
      <c r="G48">
        <v>13</v>
      </c>
      <c r="H48" s="61">
        <f>IF(MC_Check!$AN$2="PHY",misc[[#This Row],[location]],misc[[#This Row],[Module_log]])</f>
        <v>13</v>
      </c>
      <c r="I48" s="61">
        <f>misc[[#This Row],[Module]]</f>
        <v>13</v>
      </c>
      <c r="J48" s="61">
        <f t="shared" si="1"/>
        <v>1</v>
      </c>
      <c r="K48" s="61">
        <f t="shared" si="2"/>
        <v>3</v>
      </c>
      <c r="L48" s="61">
        <v>1</v>
      </c>
      <c r="M48" s="61" t="str">
        <f>_xlfn.TEXTJOIN("",,misc[[#This Row],[ROW]],misc[[#This Row],[ROW]])</f>
        <v>33</v>
      </c>
      <c r="N48" s="5" t="b">
        <f>misc[[#This Row],[Core_Hitter_Count]]&gt;0</f>
        <v>0</v>
      </c>
      <c r="O48" t="b">
        <f>misc[[#This Row],[LLC_Hitter_Count]]&gt;0</f>
        <v>0</v>
      </c>
      <c r="P48" t="b">
        <f>misc[[#This Row],[CHA_Hitter_Count]]&gt;0</f>
        <v>0</v>
      </c>
      <c r="Q48" t="str">
        <f>_xlfn.TEXTJOIN("",,"*SOCKET0**CBB",misc[[#This Row],[CBB]],"**BASE**I_CCF_ENV",misc[[#This Row],[ENV]],splitchar,"CBREGS_ALL",misc[[#This Row],[CBO]],splitchar,"MC_STATUS*")</f>
        <v>*SOCKET0**CBB1**BASE**I_CCF_ENV1__CBREGS_ALL33__MC_STATUS*</v>
      </c>
      <c r="R48">
        <f>COUNTIFS(cha_mc[TestName],misc[[#This Row],[CBO_MCA_String]],cha_mc[VisualId],MC_Check!$H$2)</f>
        <v>0</v>
      </c>
      <c r="S48" t="str">
        <f>_xlfn.TEXTJOIN("",,"*SOCKET0**CBB",misc[[#This Row],[CBB]],"**COMPUTE",misc[[#This Row],[Compute]],"**MODULE",misc[[#This Row],[Module]],splitchar,"**CORE**IFU*CR*MC0*STATUS**")</f>
        <v>*SOCKET0**CBB1**COMPUTE1**MODULE13__**CORE**IFU*CR*MC0*STATUS**</v>
      </c>
      <c r="T48">
        <f>COUNTIFS(core_mc[TestName],misc[[#This Row],[IFU_MCA_String]],core_mc[VisualId],MC_Check!$H$2)</f>
        <v>0</v>
      </c>
      <c r="U48" t="str">
        <f>_xlfn.TEXTJOIN("",,"*SOCKET0**CBB",misc[[#This Row],[CBB]],"**COMPUTE",misc[[#This Row],[Compute]],"**MODULE",misc[[#This Row],[Module]],splitchar,"**CORE**ROB1*CR*MC*STATUS**")</f>
        <v>*SOCKET0**CBB1**COMPUTE1**MODULE13__**CORE**ROB1*CR*MC*STATUS**</v>
      </c>
      <c r="V48">
        <f>COUNTIFS(core_mc[TestName],misc[[#This Row],[ROB_MCA_String]],core_mc[VisualId],MC_Check!$H$2)</f>
        <v>0</v>
      </c>
      <c r="W48" t="str">
        <f>_xlfn.TEXTJOIN("",,"*SOCKET0**CBB",misc[[#This Row],[CBB]],"**COMPUTE",misc[[#This Row],[Compute]],"**MODULE",misc[[#This Row],[Module]],splitchar,"**CORE**DCU*CR*MC1*STATUS**")</f>
        <v>*SOCKET0**CBB1**COMPUTE1**MODULE13__**CORE**DCU*CR*MC1*STATUS**</v>
      </c>
      <c r="X48">
        <f>COUNTIFS(core_mc[TestName],misc[[#This Row],[DCU_MCA_String]],core_mc[VisualId],MC_Check!$H$2)</f>
        <v>0</v>
      </c>
      <c r="Y48" t="str">
        <f>_xlfn.TEXTJOIN("",,"*SOCKET0**CBB",misc[[#This Row],[CBB]],"**COMPUTE",misc[[#This Row],[Compute]],"**MODULE",misc[[#This Row],[Module]],splitchar,"**CORE**DTLB*CR*MC2*STATUS**")</f>
        <v>*SOCKET0**CBB1**COMPUTE1**MODULE13__**CORE**DTLB*CR*MC2*STATUS**</v>
      </c>
      <c r="Z48">
        <f>COUNTIFS(core_mc[TestName],misc[[#This Row],[CORE_DTLB_String]],core_mc[VisualId],MC_Check!$H$2)</f>
        <v>0</v>
      </c>
      <c r="AA48" t="str">
        <f>_xlfn.TEXTJOIN("",,"*SOCKET0**CBB",misc[[#This Row],[CBB]],"**COMPUTE",misc[[#This Row],[Compute]],"**MODULE",misc[[#This Row],[Module]],splitchar,"**ML2*CR*MC3*STATUS**")</f>
        <v>*SOCKET0**CBB1**COMPUTE1**MODULE13__**ML2*CR*MC3*STATUS**</v>
      </c>
      <c r="AB48">
        <f>COUNTIFS(core_mc[TestName],misc[[#This Row],[Core_ML2_String]],core_mc[VisualId],MC_Check!$H$2)</f>
        <v>0</v>
      </c>
      <c r="AC48" t="str">
        <f>_xlfn.TEXTJOIN("",,"*SOCKET0**CBB",misc[[#This Row],[CBB]],"**COMPUTE",misc[[#This Row],[Compute]],"**MODULE",misc[[#This Row],[Module]],splitchar,"SPARE")</f>
        <v>*SOCKET0**CBB1**COMPUTE1**MODULE13__SPARE</v>
      </c>
      <c r="AD48">
        <f>COUNTIFS(core_mc[TestName],misc[[#This Row],[Core_L2_String - SPARE]],core_mc[VisualId],MC_Check!$H$2)</f>
        <v>0</v>
      </c>
      <c r="AE48">
        <f>misc[[#This Row],[Core_DTLB_Count]]+misc[[#This Row],[Core_DCU_Count]]+misc[[#This Row],[Core_IFU_Count]]+misc[[#This Row],[Core_ROB_Count]]+misc[[#This Row],[Core_L2_Count - SPARE]]+misc[[#This Row],[Core_ML2_Count]]</f>
        <v>0</v>
      </c>
      <c r="AF48" t="str">
        <f>_xlfn.TEXTJOIN(", ",,IF(misc[[#This Row],[Core_IFU_Count]]&gt;0,"IFU",""),IF(misc[[#This Row],[Core_DCU_Count]]&gt;0,"DCU",""),IF(misc[[#This Row],[Core_DTLB_Count]]&gt;0,"DTLB",""),IF(misc[[#This Row],[Core_ROB_Count]]&gt;0,"ROB",""),IF(misc[[#This Row],[Core_ML2_Count]]&gt;0,"ML2",""),IF(misc[[#This Row],[Core_L2_Count - SPARE]]&gt;0,"L2",""))</f>
        <v/>
      </c>
      <c r="AG48" t="str">
        <f>_xlfn.TEXTJOIN("",,"*SOCKET0**CBB",misc[[#This Row],[CBB]],"**BASE**I_CCF**ENV",misc[[#This Row],[ENV]],splitchar,"CBREGS_ALL",misc[[#This Row],[CBO]],splitchar,"SPARE")</f>
        <v>*SOCKET0**CBB1**BASE**I_CCF**ENV1__CBREGS_ALL33__SPARE</v>
      </c>
      <c r="AH48">
        <f>COUNTIFS(cha_mc[TestName],misc[[#This Row],[LLC_MCA_String - Not Used]],cha_mc[VisualId],MC_Check!$H$2)</f>
        <v>0</v>
      </c>
    </row>
    <row r="49" spans="6:34" x14ac:dyDescent="0.3">
      <c r="F49">
        <v>1</v>
      </c>
      <c r="G49">
        <v>14</v>
      </c>
      <c r="H49" s="61">
        <f>IF(MC_Check!$AN$2="PHY",misc[[#This Row],[location]],misc[[#This Row],[Module_log]])</f>
        <v>14</v>
      </c>
      <c r="I49" s="61">
        <f>misc[[#This Row],[Module]]</f>
        <v>14</v>
      </c>
      <c r="J49" s="61">
        <f t="shared" si="1"/>
        <v>1</v>
      </c>
      <c r="K49" s="61">
        <f t="shared" si="2"/>
        <v>3</v>
      </c>
      <c r="L49" s="61">
        <v>2</v>
      </c>
      <c r="M49" s="61" t="str">
        <f>_xlfn.TEXTJOIN("",,misc[[#This Row],[ROW]],misc[[#This Row],[ROW]])</f>
        <v>33</v>
      </c>
      <c r="N49" s="5" t="b">
        <f>misc[[#This Row],[Core_Hitter_Count]]&gt;0</f>
        <v>0</v>
      </c>
      <c r="O49" t="b">
        <f>misc[[#This Row],[LLC_Hitter_Count]]&gt;0</f>
        <v>0</v>
      </c>
      <c r="P49" t="b">
        <f>misc[[#This Row],[CHA_Hitter_Count]]&gt;0</f>
        <v>0</v>
      </c>
      <c r="Q49" t="str">
        <f>_xlfn.TEXTJOIN("",,"*SOCKET0**CBB",misc[[#This Row],[CBB]],"**BASE**I_CCF_ENV",misc[[#This Row],[ENV]],splitchar,"CBREGS_ALL",misc[[#This Row],[CBO]],splitchar,"MC_STATUS*")</f>
        <v>*SOCKET0**CBB1**BASE**I_CCF_ENV2__CBREGS_ALL33__MC_STATUS*</v>
      </c>
      <c r="R49">
        <f>COUNTIFS(cha_mc[TestName],misc[[#This Row],[CBO_MCA_String]],cha_mc[VisualId],MC_Check!$H$2)</f>
        <v>0</v>
      </c>
      <c r="S49" t="str">
        <f>_xlfn.TEXTJOIN("",,"*SOCKET0**CBB",misc[[#This Row],[CBB]],"**COMPUTE",misc[[#This Row],[Compute]],"**MODULE",misc[[#This Row],[Module]],splitchar,"**CORE**IFU*CR*MC0*STATUS**")</f>
        <v>*SOCKET0**CBB1**COMPUTE1**MODULE14__**CORE**IFU*CR*MC0*STATUS**</v>
      </c>
      <c r="T49">
        <f>COUNTIFS(core_mc[TestName],misc[[#This Row],[IFU_MCA_String]],core_mc[VisualId],MC_Check!$H$2)</f>
        <v>0</v>
      </c>
      <c r="U49" t="str">
        <f>_xlfn.TEXTJOIN("",,"*SOCKET0**CBB",misc[[#This Row],[CBB]],"**COMPUTE",misc[[#This Row],[Compute]],"**MODULE",misc[[#This Row],[Module]],splitchar,"**CORE**ROB1*CR*MC*STATUS**")</f>
        <v>*SOCKET0**CBB1**COMPUTE1**MODULE14__**CORE**ROB1*CR*MC*STATUS**</v>
      </c>
      <c r="V49">
        <f>COUNTIFS(core_mc[TestName],misc[[#This Row],[ROB_MCA_String]],core_mc[VisualId],MC_Check!$H$2)</f>
        <v>0</v>
      </c>
      <c r="W49" t="str">
        <f>_xlfn.TEXTJOIN("",,"*SOCKET0**CBB",misc[[#This Row],[CBB]],"**COMPUTE",misc[[#This Row],[Compute]],"**MODULE",misc[[#This Row],[Module]],splitchar,"**CORE**DCU*CR*MC1*STATUS**")</f>
        <v>*SOCKET0**CBB1**COMPUTE1**MODULE14__**CORE**DCU*CR*MC1*STATUS**</v>
      </c>
      <c r="X49">
        <f>COUNTIFS(core_mc[TestName],misc[[#This Row],[DCU_MCA_String]],core_mc[VisualId],MC_Check!$H$2)</f>
        <v>0</v>
      </c>
      <c r="Y49" t="str">
        <f>_xlfn.TEXTJOIN("",,"*SOCKET0**CBB",misc[[#This Row],[CBB]],"**COMPUTE",misc[[#This Row],[Compute]],"**MODULE",misc[[#This Row],[Module]],splitchar,"**CORE**DTLB*CR*MC2*STATUS**")</f>
        <v>*SOCKET0**CBB1**COMPUTE1**MODULE14__**CORE**DTLB*CR*MC2*STATUS**</v>
      </c>
      <c r="Z49">
        <f>COUNTIFS(core_mc[TestName],misc[[#This Row],[CORE_DTLB_String]],core_mc[VisualId],MC_Check!$H$2)</f>
        <v>0</v>
      </c>
      <c r="AA49" t="str">
        <f>_xlfn.TEXTJOIN("",,"*SOCKET0**CBB",misc[[#This Row],[CBB]],"**COMPUTE",misc[[#This Row],[Compute]],"**MODULE",misc[[#This Row],[Module]],splitchar,"**ML2*CR*MC3*STATUS**")</f>
        <v>*SOCKET0**CBB1**COMPUTE1**MODULE14__**ML2*CR*MC3*STATUS**</v>
      </c>
      <c r="AB49">
        <f>COUNTIFS(core_mc[TestName],misc[[#This Row],[Core_ML2_String]],core_mc[VisualId],MC_Check!$H$2)</f>
        <v>0</v>
      </c>
      <c r="AC49" t="str">
        <f>_xlfn.TEXTJOIN("",,"*SOCKET0**CBB",misc[[#This Row],[CBB]],"**COMPUTE",misc[[#This Row],[Compute]],"**MODULE",misc[[#This Row],[Module]],splitchar,"SPARE")</f>
        <v>*SOCKET0**CBB1**COMPUTE1**MODULE14__SPARE</v>
      </c>
      <c r="AD49">
        <f>COUNTIFS(core_mc[TestName],misc[[#This Row],[Core_L2_String - SPARE]],core_mc[VisualId],MC_Check!$H$2)</f>
        <v>0</v>
      </c>
      <c r="AE49">
        <f>misc[[#This Row],[Core_DTLB_Count]]+misc[[#This Row],[Core_DCU_Count]]+misc[[#This Row],[Core_IFU_Count]]+misc[[#This Row],[Core_ROB_Count]]+misc[[#This Row],[Core_L2_Count - SPARE]]+misc[[#This Row],[Core_ML2_Count]]</f>
        <v>0</v>
      </c>
      <c r="AF49" t="str">
        <f>_xlfn.TEXTJOIN(", ",,IF(misc[[#This Row],[Core_IFU_Count]]&gt;0,"IFU",""),IF(misc[[#This Row],[Core_DCU_Count]]&gt;0,"DCU",""),IF(misc[[#This Row],[Core_DTLB_Count]]&gt;0,"DTLB",""),IF(misc[[#This Row],[Core_ROB_Count]]&gt;0,"ROB",""),IF(misc[[#This Row],[Core_ML2_Count]]&gt;0,"ML2",""),IF(misc[[#This Row],[Core_L2_Count - SPARE]]&gt;0,"L2",""))</f>
        <v/>
      </c>
      <c r="AG49" t="str">
        <f>_xlfn.TEXTJOIN("",,"*SOCKET0**CBB",misc[[#This Row],[CBB]],"**BASE**I_CCF**ENV",misc[[#This Row],[ENV]],splitchar,"CBREGS_ALL",misc[[#This Row],[CBO]],splitchar,"SPARE")</f>
        <v>*SOCKET0**CBB1**BASE**I_CCF**ENV2__CBREGS_ALL33__SPARE</v>
      </c>
      <c r="AH49">
        <f>COUNTIFS(cha_mc[TestName],misc[[#This Row],[LLC_MCA_String - Not Used]],cha_mc[VisualId],MC_Check!$H$2)</f>
        <v>0</v>
      </c>
    </row>
    <row r="50" spans="6:34" x14ac:dyDescent="0.3">
      <c r="F50">
        <v>1</v>
      </c>
      <c r="G50">
        <v>15</v>
      </c>
      <c r="H50" s="61">
        <f>IF(MC_Check!$AN$2="PHY",misc[[#This Row],[location]],misc[[#This Row],[Module_log]])</f>
        <v>15</v>
      </c>
      <c r="I50" s="61">
        <f>misc[[#This Row],[Module]]</f>
        <v>15</v>
      </c>
      <c r="J50" s="61">
        <f t="shared" si="1"/>
        <v>1</v>
      </c>
      <c r="K50" s="61">
        <f t="shared" si="2"/>
        <v>3</v>
      </c>
      <c r="L50" s="61">
        <v>3</v>
      </c>
      <c r="M50" s="61" t="str">
        <f>_xlfn.TEXTJOIN("",,misc[[#This Row],[ROW]],misc[[#This Row],[ROW]])</f>
        <v>33</v>
      </c>
      <c r="N50" s="5" t="b">
        <f>misc[[#This Row],[Core_Hitter_Count]]&gt;0</f>
        <v>0</v>
      </c>
      <c r="O50" t="b">
        <f>misc[[#This Row],[LLC_Hitter_Count]]&gt;0</f>
        <v>0</v>
      </c>
      <c r="P50" t="b">
        <f>misc[[#This Row],[CHA_Hitter_Count]]&gt;0</f>
        <v>0</v>
      </c>
      <c r="Q50" t="str">
        <f>_xlfn.TEXTJOIN("",,"*SOCKET0**CBB",misc[[#This Row],[CBB]],"**BASE**I_CCF_ENV",misc[[#This Row],[ENV]],splitchar,"CBREGS_ALL",misc[[#This Row],[CBO]],splitchar,"MC_STATUS*")</f>
        <v>*SOCKET0**CBB1**BASE**I_CCF_ENV3__CBREGS_ALL33__MC_STATUS*</v>
      </c>
      <c r="R50">
        <f>COUNTIFS(cha_mc[TestName],misc[[#This Row],[CBO_MCA_String]],cha_mc[VisualId],MC_Check!$H$2)</f>
        <v>0</v>
      </c>
      <c r="S50" t="str">
        <f>_xlfn.TEXTJOIN("",,"*SOCKET0**CBB",misc[[#This Row],[CBB]],"**COMPUTE",misc[[#This Row],[Compute]],"**MODULE",misc[[#This Row],[Module]],splitchar,"**CORE**IFU*CR*MC0*STATUS**")</f>
        <v>*SOCKET0**CBB1**COMPUTE1**MODULE15__**CORE**IFU*CR*MC0*STATUS**</v>
      </c>
      <c r="T50">
        <f>COUNTIFS(core_mc[TestName],misc[[#This Row],[IFU_MCA_String]],core_mc[VisualId],MC_Check!$H$2)</f>
        <v>0</v>
      </c>
      <c r="U50" t="str">
        <f>_xlfn.TEXTJOIN("",,"*SOCKET0**CBB",misc[[#This Row],[CBB]],"**COMPUTE",misc[[#This Row],[Compute]],"**MODULE",misc[[#This Row],[Module]],splitchar,"**CORE**ROB1*CR*MC*STATUS**")</f>
        <v>*SOCKET0**CBB1**COMPUTE1**MODULE15__**CORE**ROB1*CR*MC*STATUS**</v>
      </c>
      <c r="V50">
        <f>COUNTIFS(core_mc[TestName],misc[[#This Row],[ROB_MCA_String]],core_mc[VisualId],MC_Check!$H$2)</f>
        <v>0</v>
      </c>
      <c r="W50" t="str">
        <f>_xlfn.TEXTJOIN("",,"*SOCKET0**CBB",misc[[#This Row],[CBB]],"**COMPUTE",misc[[#This Row],[Compute]],"**MODULE",misc[[#This Row],[Module]],splitchar,"**CORE**DCU*CR*MC1*STATUS**")</f>
        <v>*SOCKET0**CBB1**COMPUTE1**MODULE15__**CORE**DCU*CR*MC1*STATUS**</v>
      </c>
      <c r="X50">
        <f>COUNTIFS(core_mc[TestName],misc[[#This Row],[DCU_MCA_String]],core_mc[VisualId],MC_Check!$H$2)</f>
        <v>0</v>
      </c>
      <c r="Y50" t="str">
        <f>_xlfn.TEXTJOIN("",,"*SOCKET0**CBB",misc[[#This Row],[CBB]],"**COMPUTE",misc[[#This Row],[Compute]],"**MODULE",misc[[#This Row],[Module]],splitchar,"**CORE**DTLB*CR*MC2*STATUS**")</f>
        <v>*SOCKET0**CBB1**COMPUTE1**MODULE15__**CORE**DTLB*CR*MC2*STATUS**</v>
      </c>
      <c r="Z50">
        <f>COUNTIFS(core_mc[TestName],misc[[#This Row],[CORE_DTLB_String]],core_mc[VisualId],MC_Check!$H$2)</f>
        <v>0</v>
      </c>
      <c r="AA50" t="str">
        <f>_xlfn.TEXTJOIN("",,"*SOCKET0**CBB",misc[[#This Row],[CBB]],"**COMPUTE",misc[[#This Row],[Compute]],"**MODULE",misc[[#This Row],[Module]],splitchar,"**ML2*CR*MC3*STATUS**")</f>
        <v>*SOCKET0**CBB1**COMPUTE1**MODULE15__**ML2*CR*MC3*STATUS**</v>
      </c>
      <c r="AB50">
        <f>COUNTIFS(core_mc[TestName],misc[[#This Row],[Core_ML2_String]],core_mc[VisualId],MC_Check!$H$2)</f>
        <v>0</v>
      </c>
      <c r="AC50" t="str">
        <f>_xlfn.TEXTJOIN("",,"*SOCKET0**CBB",misc[[#This Row],[CBB]],"**COMPUTE",misc[[#This Row],[Compute]],"**MODULE",misc[[#This Row],[Module]],splitchar,"SPARE")</f>
        <v>*SOCKET0**CBB1**COMPUTE1**MODULE15__SPARE</v>
      </c>
      <c r="AD50">
        <f>COUNTIFS(core_mc[TestName],misc[[#This Row],[Core_L2_String - SPARE]],core_mc[VisualId],MC_Check!$H$2)</f>
        <v>0</v>
      </c>
      <c r="AE50">
        <f>misc[[#This Row],[Core_DTLB_Count]]+misc[[#This Row],[Core_DCU_Count]]+misc[[#This Row],[Core_IFU_Count]]+misc[[#This Row],[Core_ROB_Count]]+misc[[#This Row],[Core_L2_Count - SPARE]]+misc[[#This Row],[Core_ML2_Count]]</f>
        <v>0</v>
      </c>
      <c r="AF50" t="str">
        <f>_xlfn.TEXTJOIN(", ",,IF(misc[[#This Row],[Core_IFU_Count]]&gt;0,"IFU",""),IF(misc[[#This Row],[Core_DCU_Count]]&gt;0,"DCU",""),IF(misc[[#This Row],[Core_DTLB_Count]]&gt;0,"DTLB",""),IF(misc[[#This Row],[Core_ROB_Count]]&gt;0,"ROB",""),IF(misc[[#This Row],[Core_ML2_Count]]&gt;0,"ML2",""),IF(misc[[#This Row],[Core_L2_Count - SPARE]]&gt;0,"L2",""))</f>
        <v/>
      </c>
      <c r="AG50" t="str">
        <f>_xlfn.TEXTJOIN("",,"*SOCKET0**CBB",misc[[#This Row],[CBB]],"**BASE**I_CCF**ENV",misc[[#This Row],[ENV]],splitchar,"CBREGS_ALL",misc[[#This Row],[CBO]],splitchar,"SPARE")</f>
        <v>*SOCKET0**CBB1**BASE**I_CCF**ENV3__CBREGS_ALL33__SPARE</v>
      </c>
      <c r="AH50">
        <f>COUNTIFS(cha_mc[TestName],misc[[#This Row],[LLC_MCA_String - Not Used]],cha_mc[VisualId],MC_Check!$H$2)</f>
        <v>0</v>
      </c>
    </row>
    <row r="51" spans="6:34" x14ac:dyDescent="0.3">
      <c r="F51">
        <v>1</v>
      </c>
      <c r="G51">
        <v>16</v>
      </c>
      <c r="H51" s="61">
        <f>IF(MC_Check!$AN$2="PHY",misc[[#This Row],[location]],misc[[#This Row],[Module_log]])</f>
        <v>16</v>
      </c>
      <c r="I51" s="61">
        <f>misc[[#This Row],[Module]]</f>
        <v>16</v>
      </c>
      <c r="J51" s="61">
        <f t="shared" si="1"/>
        <v>2</v>
      </c>
      <c r="K51" s="61">
        <f>K47+1</f>
        <v>4</v>
      </c>
      <c r="L51" s="61">
        <v>0</v>
      </c>
      <c r="M51" s="61" t="str">
        <f>_xlfn.TEXTJOIN("",,misc[[#This Row],[ROW]],misc[[#This Row],[ROW]])</f>
        <v>44</v>
      </c>
      <c r="N51" s="5" t="b">
        <f>misc[[#This Row],[Core_Hitter_Count]]&gt;0</f>
        <v>0</v>
      </c>
      <c r="O51" t="b">
        <f>misc[[#This Row],[LLC_Hitter_Count]]&gt;0</f>
        <v>0</v>
      </c>
      <c r="P51" t="b">
        <f>misc[[#This Row],[CHA_Hitter_Count]]&gt;0</f>
        <v>0</v>
      </c>
      <c r="Q51" t="str">
        <f>_xlfn.TEXTJOIN("",,"*SOCKET0**CBB",misc[[#This Row],[CBB]],"**BASE**I_CCF_ENV",misc[[#This Row],[ENV]],splitchar,"CBREGS_ALL",misc[[#This Row],[CBO]],splitchar,"MC_STATUS*")</f>
        <v>*SOCKET0**CBB1**BASE**I_CCF_ENV0__CBREGS_ALL44__MC_STATUS*</v>
      </c>
      <c r="R51">
        <f>COUNTIFS(cha_mc[TestName],misc[[#This Row],[CBO_MCA_String]],cha_mc[VisualId],MC_Check!$H$2)</f>
        <v>0</v>
      </c>
      <c r="S51" t="str">
        <f>_xlfn.TEXTJOIN("",,"*SOCKET0**CBB",misc[[#This Row],[CBB]],"**COMPUTE",misc[[#This Row],[Compute]],"**MODULE",misc[[#This Row],[Module]],splitchar,"**CORE**IFU*CR*MC0*STATUS**")</f>
        <v>*SOCKET0**CBB1**COMPUTE2**MODULE16__**CORE**IFU*CR*MC0*STATUS**</v>
      </c>
      <c r="T51">
        <f>COUNTIFS(core_mc[TestName],misc[[#This Row],[IFU_MCA_String]],core_mc[VisualId],MC_Check!$H$2)</f>
        <v>0</v>
      </c>
      <c r="U51" t="str">
        <f>_xlfn.TEXTJOIN("",,"*SOCKET0**CBB",misc[[#This Row],[CBB]],"**COMPUTE",misc[[#This Row],[Compute]],"**MODULE",misc[[#This Row],[Module]],splitchar,"**CORE**ROB1*CR*MC*STATUS**")</f>
        <v>*SOCKET0**CBB1**COMPUTE2**MODULE16__**CORE**ROB1*CR*MC*STATUS**</v>
      </c>
      <c r="V51">
        <f>COUNTIFS(core_mc[TestName],misc[[#This Row],[ROB_MCA_String]],core_mc[VisualId],MC_Check!$H$2)</f>
        <v>0</v>
      </c>
      <c r="W51" t="str">
        <f>_xlfn.TEXTJOIN("",,"*SOCKET0**CBB",misc[[#This Row],[CBB]],"**COMPUTE",misc[[#This Row],[Compute]],"**MODULE",misc[[#This Row],[Module]],splitchar,"**CORE**DCU*CR*MC1*STATUS**")</f>
        <v>*SOCKET0**CBB1**COMPUTE2**MODULE16__**CORE**DCU*CR*MC1*STATUS**</v>
      </c>
      <c r="X51">
        <f>COUNTIFS(core_mc[TestName],misc[[#This Row],[DCU_MCA_String]],core_mc[VisualId],MC_Check!$H$2)</f>
        <v>0</v>
      </c>
      <c r="Y51" t="str">
        <f>_xlfn.TEXTJOIN("",,"*SOCKET0**CBB",misc[[#This Row],[CBB]],"**COMPUTE",misc[[#This Row],[Compute]],"**MODULE",misc[[#This Row],[Module]],splitchar,"**CORE**DTLB*CR*MC2*STATUS**")</f>
        <v>*SOCKET0**CBB1**COMPUTE2**MODULE16__**CORE**DTLB*CR*MC2*STATUS**</v>
      </c>
      <c r="Z51">
        <f>COUNTIFS(core_mc[TestName],misc[[#This Row],[CORE_DTLB_String]],core_mc[VisualId],MC_Check!$H$2)</f>
        <v>0</v>
      </c>
      <c r="AA51" t="str">
        <f>_xlfn.TEXTJOIN("",,"*SOCKET0**CBB",misc[[#This Row],[CBB]],"**COMPUTE",misc[[#This Row],[Compute]],"**MODULE",misc[[#This Row],[Module]],splitchar,"**ML2*CR*MC3*STATUS**")</f>
        <v>*SOCKET0**CBB1**COMPUTE2**MODULE16__**ML2*CR*MC3*STATUS**</v>
      </c>
      <c r="AB51">
        <f>COUNTIFS(core_mc[TestName],misc[[#This Row],[Core_ML2_String]],core_mc[VisualId],MC_Check!$H$2)</f>
        <v>0</v>
      </c>
      <c r="AC51" t="str">
        <f>_xlfn.TEXTJOIN("",,"*SOCKET0**CBB",misc[[#This Row],[CBB]],"**COMPUTE",misc[[#This Row],[Compute]],"**MODULE",misc[[#This Row],[Module]],splitchar,"SPARE")</f>
        <v>*SOCKET0**CBB1**COMPUTE2**MODULE16__SPARE</v>
      </c>
      <c r="AD51">
        <f>COUNTIFS(core_mc[TestName],misc[[#This Row],[Core_L2_String - SPARE]],core_mc[VisualId],MC_Check!$H$2)</f>
        <v>0</v>
      </c>
      <c r="AE51">
        <f>misc[[#This Row],[Core_DTLB_Count]]+misc[[#This Row],[Core_DCU_Count]]+misc[[#This Row],[Core_IFU_Count]]+misc[[#This Row],[Core_ROB_Count]]+misc[[#This Row],[Core_L2_Count - SPARE]]+misc[[#This Row],[Core_ML2_Count]]</f>
        <v>0</v>
      </c>
      <c r="AF51" t="str">
        <f>_xlfn.TEXTJOIN(", ",,IF(misc[[#This Row],[Core_IFU_Count]]&gt;0,"IFU",""),IF(misc[[#This Row],[Core_DCU_Count]]&gt;0,"DCU",""),IF(misc[[#This Row],[Core_DTLB_Count]]&gt;0,"DTLB",""),IF(misc[[#This Row],[Core_ROB_Count]]&gt;0,"ROB",""),IF(misc[[#This Row],[Core_ML2_Count]]&gt;0,"ML2",""),IF(misc[[#This Row],[Core_L2_Count - SPARE]]&gt;0,"L2",""))</f>
        <v/>
      </c>
      <c r="AG51" t="str">
        <f>_xlfn.TEXTJOIN("",,"*SOCKET0**CBB",misc[[#This Row],[CBB]],"**BASE**I_CCF**ENV",misc[[#This Row],[ENV]],splitchar,"CBREGS_ALL",misc[[#This Row],[CBO]],splitchar,"SPARE")</f>
        <v>*SOCKET0**CBB1**BASE**I_CCF**ENV0__CBREGS_ALL44__SPARE</v>
      </c>
      <c r="AH51">
        <f>COUNTIFS(cha_mc[TestName],misc[[#This Row],[LLC_MCA_String - Not Used]],cha_mc[VisualId],MC_Check!$H$2)</f>
        <v>0</v>
      </c>
    </row>
    <row r="52" spans="6:34" x14ac:dyDescent="0.3">
      <c r="F52">
        <v>1</v>
      </c>
      <c r="G52">
        <v>17</v>
      </c>
      <c r="H52" s="61">
        <f>IF(MC_Check!$AN$2="PHY",misc[[#This Row],[location]],misc[[#This Row],[Module_log]])</f>
        <v>17</v>
      </c>
      <c r="I52" s="61">
        <f>misc[[#This Row],[Module]]</f>
        <v>17</v>
      </c>
      <c r="J52" s="61">
        <f t="shared" si="1"/>
        <v>2</v>
      </c>
      <c r="K52" s="61">
        <f t="shared" si="2"/>
        <v>4</v>
      </c>
      <c r="L52" s="61">
        <v>1</v>
      </c>
      <c r="M52" s="61" t="str">
        <f>_xlfn.TEXTJOIN("",,misc[[#This Row],[ROW]],misc[[#This Row],[ROW]])</f>
        <v>44</v>
      </c>
      <c r="N52" s="5" t="b">
        <f>misc[[#This Row],[Core_Hitter_Count]]&gt;0</f>
        <v>0</v>
      </c>
      <c r="O52" t="b">
        <f>misc[[#This Row],[LLC_Hitter_Count]]&gt;0</f>
        <v>0</v>
      </c>
      <c r="P52" t="b">
        <f>misc[[#This Row],[CHA_Hitter_Count]]&gt;0</f>
        <v>0</v>
      </c>
      <c r="Q52" t="str">
        <f>_xlfn.TEXTJOIN("",,"*SOCKET0**CBB",misc[[#This Row],[CBB]],"**BASE**I_CCF_ENV",misc[[#This Row],[ENV]],splitchar,"CBREGS_ALL",misc[[#This Row],[CBO]],splitchar,"MC_STATUS*")</f>
        <v>*SOCKET0**CBB1**BASE**I_CCF_ENV1__CBREGS_ALL44__MC_STATUS*</v>
      </c>
      <c r="R52">
        <f>COUNTIFS(cha_mc[TestName],misc[[#This Row],[CBO_MCA_String]],cha_mc[VisualId],MC_Check!$H$2)</f>
        <v>0</v>
      </c>
      <c r="S52" t="str">
        <f>_xlfn.TEXTJOIN("",,"*SOCKET0**CBB",misc[[#This Row],[CBB]],"**COMPUTE",misc[[#This Row],[Compute]],"**MODULE",misc[[#This Row],[Module]],splitchar,"**CORE**IFU*CR*MC0*STATUS**")</f>
        <v>*SOCKET0**CBB1**COMPUTE2**MODULE17__**CORE**IFU*CR*MC0*STATUS**</v>
      </c>
      <c r="T52">
        <f>COUNTIFS(core_mc[TestName],misc[[#This Row],[IFU_MCA_String]],core_mc[VisualId],MC_Check!$H$2)</f>
        <v>0</v>
      </c>
      <c r="U52" t="str">
        <f>_xlfn.TEXTJOIN("",,"*SOCKET0**CBB",misc[[#This Row],[CBB]],"**COMPUTE",misc[[#This Row],[Compute]],"**MODULE",misc[[#This Row],[Module]],splitchar,"**CORE**ROB1*CR*MC*STATUS**")</f>
        <v>*SOCKET0**CBB1**COMPUTE2**MODULE17__**CORE**ROB1*CR*MC*STATUS**</v>
      </c>
      <c r="V52">
        <f>COUNTIFS(core_mc[TestName],misc[[#This Row],[ROB_MCA_String]],core_mc[VisualId],MC_Check!$H$2)</f>
        <v>0</v>
      </c>
      <c r="W52" t="str">
        <f>_xlfn.TEXTJOIN("",,"*SOCKET0**CBB",misc[[#This Row],[CBB]],"**COMPUTE",misc[[#This Row],[Compute]],"**MODULE",misc[[#This Row],[Module]],splitchar,"**CORE**DCU*CR*MC1*STATUS**")</f>
        <v>*SOCKET0**CBB1**COMPUTE2**MODULE17__**CORE**DCU*CR*MC1*STATUS**</v>
      </c>
      <c r="X52">
        <f>COUNTIFS(core_mc[TestName],misc[[#This Row],[DCU_MCA_String]],core_mc[VisualId],MC_Check!$H$2)</f>
        <v>0</v>
      </c>
      <c r="Y52" t="str">
        <f>_xlfn.TEXTJOIN("",,"*SOCKET0**CBB",misc[[#This Row],[CBB]],"**COMPUTE",misc[[#This Row],[Compute]],"**MODULE",misc[[#This Row],[Module]],splitchar,"**CORE**DTLB*CR*MC2*STATUS**")</f>
        <v>*SOCKET0**CBB1**COMPUTE2**MODULE17__**CORE**DTLB*CR*MC2*STATUS**</v>
      </c>
      <c r="Z52">
        <f>COUNTIFS(core_mc[TestName],misc[[#This Row],[CORE_DTLB_String]],core_mc[VisualId],MC_Check!$H$2)</f>
        <v>0</v>
      </c>
      <c r="AA52" t="str">
        <f>_xlfn.TEXTJOIN("",,"*SOCKET0**CBB",misc[[#This Row],[CBB]],"**COMPUTE",misc[[#This Row],[Compute]],"**MODULE",misc[[#This Row],[Module]],splitchar,"**ML2*CR*MC3*STATUS**")</f>
        <v>*SOCKET0**CBB1**COMPUTE2**MODULE17__**ML2*CR*MC3*STATUS**</v>
      </c>
      <c r="AB52">
        <f>COUNTIFS(core_mc[TestName],misc[[#This Row],[Core_ML2_String]],core_mc[VisualId],MC_Check!$H$2)</f>
        <v>0</v>
      </c>
      <c r="AC52" t="str">
        <f>_xlfn.TEXTJOIN("",,"*SOCKET0**CBB",misc[[#This Row],[CBB]],"**COMPUTE",misc[[#This Row],[Compute]],"**MODULE",misc[[#This Row],[Module]],splitchar,"SPARE")</f>
        <v>*SOCKET0**CBB1**COMPUTE2**MODULE17__SPARE</v>
      </c>
      <c r="AD52">
        <f>COUNTIFS(core_mc[TestName],misc[[#This Row],[Core_L2_String - SPARE]],core_mc[VisualId],MC_Check!$H$2)</f>
        <v>0</v>
      </c>
      <c r="AE52">
        <f>misc[[#This Row],[Core_DTLB_Count]]+misc[[#This Row],[Core_DCU_Count]]+misc[[#This Row],[Core_IFU_Count]]+misc[[#This Row],[Core_ROB_Count]]+misc[[#This Row],[Core_L2_Count - SPARE]]+misc[[#This Row],[Core_ML2_Count]]</f>
        <v>0</v>
      </c>
      <c r="AF52" t="str">
        <f>_xlfn.TEXTJOIN(", ",,IF(misc[[#This Row],[Core_IFU_Count]]&gt;0,"IFU",""),IF(misc[[#This Row],[Core_DCU_Count]]&gt;0,"DCU",""),IF(misc[[#This Row],[Core_DTLB_Count]]&gt;0,"DTLB",""),IF(misc[[#This Row],[Core_ROB_Count]]&gt;0,"ROB",""),IF(misc[[#This Row],[Core_ML2_Count]]&gt;0,"ML2",""),IF(misc[[#This Row],[Core_L2_Count - SPARE]]&gt;0,"L2",""))</f>
        <v/>
      </c>
      <c r="AG52" t="str">
        <f>_xlfn.TEXTJOIN("",,"*SOCKET0**CBB",misc[[#This Row],[CBB]],"**BASE**I_CCF**ENV",misc[[#This Row],[ENV]],splitchar,"CBREGS_ALL",misc[[#This Row],[CBO]],splitchar,"SPARE")</f>
        <v>*SOCKET0**CBB1**BASE**I_CCF**ENV1__CBREGS_ALL44__SPARE</v>
      </c>
      <c r="AH52">
        <f>COUNTIFS(cha_mc[TestName],misc[[#This Row],[LLC_MCA_String - Not Used]],cha_mc[VisualId],MC_Check!$H$2)</f>
        <v>0</v>
      </c>
    </row>
    <row r="53" spans="6:34" x14ac:dyDescent="0.3">
      <c r="F53">
        <v>1</v>
      </c>
      <c r="G53">
        <v>18</v>
      </c>
      <c r="H53" s="61">
        <f>IF(MC_Check!$AN$2="PHY",misc[[#This Row],[location]],misc[[#This Row],[Module_log]])</f>
        <v>18</v>
      </c>
      <c r="I53" s="61">
        <f>misc[[#This Row],[Module]]</f>
        <v>18</v>
      </c>
      <c r="J53" s="61">
        <f t="shared" si="1"/>
        <v>2</v>
      </c>
      <c r="K53" s="61">
        <f t="shared" si="2"/>
        <v>4</v>
      </c>
      <c r="L53" s="61">
        <v>2</v>
      </c>
      <c r="M53" s="61" t="str">
        <f>_xlfn.TEXTJOIN("",,misc[[#This Row],[ROW]],misc[[#This Row],[ROW]])</f>
        <v>44</v>
      </c>
      <c r="N53" s="5" t="b">
        <f>misc[[#This Row],[Core_Hitter_Count]]&gt;0</f>
        <v>0</v>
      </c>
      <c r="O53" t="b">
        <f>misc[[#This Row],[LLC_Hitter_Count]]&gt;0</f>
        <v>0</v>
      </c>
      <c r="P53" t="b">
        <f>misc[[#This Row],[CHA_Hitter_Count]]&gt;0</f>
        <v>0</v>
      </c>
      <c r="Q53" t="str">
        <f>_xlfn.TEXTJOIN("",,"*SOCKET0**CBB",misc[[#This Row],[CBB]],"**BASE**I_CCF_ENV",misc[[#This Row],[ENV]],splitchar,"CBREGS_ALL",misc[[#This Row],[CBO]],splitchar,"MC_STATUS*")</f>
        <v>*SOCKET0**CBB1**BASE**I_CCF_ENV2__CBREGS_ALL44__MC_STATUS*</v>
      </c>
      <c r="R53">
        <f>COUNTIFS(cha_mc[TestName],misc[[#This Row],[CBO_MCA_String]],cha_mc[VisualId],MC_Check!$H$2)</f>
        <v>0</v>
      </c>
      <c r="S53" t="str">
        <f>_xlfn.TEXTJOIN("",,"*SOCKET0**CBB",misc[[#This Row],[CBB]],"**COMPUTE",misc[[#This Row],[Compute]],"**MODULE",misc[[#This Row],[Module]],splitchar,"**CORE**IFU*CR*MC0*STATUS**")</f>
        <v>*SOCKET0**CBB1**COMPUTE2**MODULE18__**CORE**IFU*CR*MC0*STATUS**</v>
      </c>
      <c r="T53">
        <f>COUNTIFS(core_mc[TestName],misc[[#This Row],[IFU_MCA_String]],core_mc[VisualId],MC_Check!$H$2)</f>
        <v>0</v>
      </c>
      <c r="U53" t="str">
        <f>_xlfn.TEXTJOIN("",,"*SOCKET0**CBB",misc[[#This Row],[CBB]],"**COMPUTE",misc[[#This Row],[Compute]],"**MODULE",misc[[#This Row],[Module]],splitchar,"**CORE**ROB1*CR*MC*STATUS**")</f>
        <v>*SOCKET0**CBB1**COMPUTE2**MODULE18__**CORE**ROB1*CR*MC*STATUS**</v>
      </c>
      <c r="V53">
        <f>COUNTIFS(core_mc[TestName],misc[[#This Row],[ROB_MCA_String]],core_mc[VisualId],MC_Check!$H$2)</f>
        <v>0</v>
      </c>
      <c r="W53" t="str">
        <f>_xlfn.TEXTJOIN("",,"*SOCKET0**CBB",misc[[#This Row],[CBB]],"**COMPUTE",misc[[#This Row],[Compute]],"**MODULE",misc[[#This Row],[Module]],splitchar,"**CORE**DCU*CR*MC1*STATUS**")</f>
        <v>*SOCKET0**CBB1**COMPUTE2**MODULE18__**CORE**DCU*CR*MC1*STATUS**</v>
      </c>
      <c r="X53">
        <f>COUNTIFS(core_mc[TestName],misc[[#This Row],[DCU_MCA_String]],core_mc[VisualId],MC_Check!$H$2)</f>
        <v>0</v>
      </c>
      <c r="Y53" t="str">
        <f>_xlfn.TEXTJOIN("",,"*SOCKET0**CBB",misc[[#This Row],[CBB]],"**COMPUTE",misc[[#This Row],[Compute]],"**MODULE",misc[[#This Row],[Module]],splitchar,"**CORE**DTLB*CR*MC2*STATUS**")</f>
        <v>*SOCKET0**CBB1**COMPUTE2**MODULE18__**CORE**DTLB*CR*MC2*STATUS**</v>
      </c>
      <c r="Z53">
        <f>COUNTIFS(core_mc[TestName],misc[[#This Row],[CORE_DTLB_String]],core_mc[VisualId],MC_Check!$H$2)</f>
        <v>0</v>
      </c>
      <c r="AA53" t="str">
        <f>_xlfn.TEXTJOIN("",,"*SOCKET0**CBB",misc[[#This Row],[CBB]],"**COMPUTE",misc[[#This Row],[Compute]],"**MODULE",misc[[#This Row],[Module]],splitchar,"**ML2*CR*MC3*STATUS**")</f>
        <v>*SOCKET0**CBB1**COMPUTE2**MODULE18__**ML2*CR*MC3*STATUS**</v>
      </c>
      <c r="AB53">
        <f>COUNTIFS(core_mc[TestName],misc[[#This Row],[Core_ML2_String]],core_mc[VisualId],MC_Check!$H$2)</f>
        <v>0</v>
      </c>
      <c r="AC53" t="str">
        <f>_xlfn.TEXTJOIN("",,"*SOCKET0**CBB",misc[[#This Row],[CBB]],"**COMPUTE",misc[[#This Row],[Compute]],"**MODULE",misc[[#This Row],[Module]],splitchar,"SPARE")</f>
        <v>*SOCKET0**CBB1**COMPUTE2**MODULE18__SPARE</v>
      </c>
      <c r="AD53">
        <f>COUNTIFS(core_mc[TestName],misc[[#This Row],[Core_L2_String - SPARE]],core_mc[VisualId],MC_Check!$H$2)</f>
        <v>0</v>
      </c>
      <c r="AE53">
        <f>misc[[#This Row],[Core_DTLB_Count]]+misc[[#This Row],[Core_DCU_Count]]+misc[[#This Row],[Core_IFU_Count]]+misc[[#This Row],[Core_ROB_Count]]+misc[[#This Row],[Core_L2_Count - SPARE]]+misc[[#This Row],[Core_ML2_Count]]</f>
        <v>0</v>
      </c>
      <c r="AF53" t="str">
        <f>_xlfn.TEXTJOIN(", ",,IF(misc[[#This Row],[Core_IFU_Count]]&gt;0,"IFU",""),IF(misc[[#This Row],[Core_DCU_Count]]&gt;0,"DCU",""),IF(misc[[#This Row],[Core_DTLB_Count]]&gt;0,"DTLB",""),IF(misc[[#This Row],[Core_ROB_Count]]&gt;0,"ROB",""),IF(misc[[#This Row],[Core_ML2_Count]]&gt;0,"ML2",""),IF(misc[[#This Row],[Core_L2_Count - SPARE]]&gt;0,"L2",""))</f>
        <v/>
      </c>
      <c r="AG53" t="str">
        <f>_xlfn.TEXTJOIN("",,"*SOCKET0**CBB",misc[[#This Row],[CBB]],"**BASE**I_CCF**ENV",misc[[#This Row],[ENV]],splitchar,"CBREGS_ALL",misc[[#This Row],[CBO]],splitchar,"SPARE")</f>
        <v>*SOCKET0**CBB1**BASE**I_CCF**ENV2__CBREGS_ALL44__SPARE</v>
      </c>
      <c r="AH53">
        <f>COUNTIFS(cha_mc[TestName],misc[[#This Row],[LLC_MCA_String - Not Used]],cha_mc[VisualId],MC_Check!$H$2)</f>
        <v>0</v>
      </c>
    </row>
    <row r="54" spans="6:34" x14ac:dyDescent="0.3">
      <c r="F54">
        <v>1</v>
      </c>
      <c r="G54">
        <v>19</v>
      </c>
      <c r="H54" s="61">
        <f>IF(MC_Check!$AN$2="PHY",misc[[#This Row],[location]],misc[[#This Row],[Module_log]])</f>
        <v>19</v>
      </c>
      <c r="I54" s="61">
        <f>misc[[#This Row],[Module]]</f>
        <v>19</v>
      </c>
      <c r="J54" s="61">
        <f t="shared" si="1"/>
        <v>2</v>
      </c>
      <c r="K54" s="61">
        <f t="shared" si="2"/>
        <v>4</v>
      </c>
      <c r="L54" s="61">
        <v>3</v>
      </c>
      <c r="M54" s="61" t="str">
        <f>_xlfn.TEXTJOIN("",,misc[[#This Row],[ROW]],misc[[#This Row],[ROW]])</f>
        <v>44</v>
      </c>
      <c r="N54" s="5" t="b">
        <f>misc[[#This Row],[Core_Hitter_Count]]&gt;0</f>
        <v>0</v>
      </c>
      <c r="O54" t="b">
        <f>misc[[#This Row],[LLC_Hitter_Count]]&gt;0</f>
        <v>0</v>
      </c>
      <c r="P54" t="b">
        <f>misc[[#This Row],[CHA_Hitter_Count]]&gt;0</f>
        <v>0</v>
      </c>
      <c r="Q54" t="str">
        <f>_xlfn.TEXTJOIN("",,"*SOCKET0**CBB",misc[[#This Row],[CBB]],"**BASE**I_CCF_ENV",misc[[#This Row],[ENV]],splitchar,"CBREGS_ALL",misc[[#This Row],[CBO]],splitchar,"MC_STATUS*")</f>
        <v>*SOCKET0**CBB1**BASE**I_CCF_ENV3__CBREGS_ALL44__MC_STATUS*</v>
      </c>
      <c r="R54">
        <f>COUNTIFS(cha_mc[TestName],misc[[#This Row],[CBO_MCA_String]],cha_mc[VisualId],MC_Check!$H$2)</f>
        <v>0</v>
      </c>
      <c r="S54" t="str">
        <f>_xlfn.TEXTJOIN("",,"*SOCKET0**CBB",misc[[#This Row],[CBB]],"**COMPUTE",misc[[#This Row],[Compute]],"**MODULE",misc[[#This Row],[Module]],splitchar,"**CORE**IFU*CR*MC0*STATUS**")</f>
        <v>*SOCKET0**CBB1**COMPUTE2**MODULE19__**CORE**IFU*CR*MC0*STATUS**</v>
      </c>
      <c r="T54">
        <f>COUNTIFS(core_mc[TestName],misc[[#This Row],[IFU_MCA_String]],core_mc[VisualId],MC_Check!$H$2)</f>
        <v>0</v>
      </c>
      <c r="U54" t="str">
        <f>_xlfn.TEXTJOIN("",,"*SOCKET0**CBB",misc[[#This Row],[CBB]],"**COMPUTE",misc[[#This Row],[Compute]],"**MODULE",misc[[#This Row],[Module]],splitchar,"**CORE**ROB1*CR*MC*STATUS**")</f>
        <v>*SOCKET0**CBB1**COMPUTE2**MODULE19__**CORE**ROB1*CR*MC*STATUS**</v>
      </c>
      <c r="V54">
        <f>COUNTIFS(core_mc[TestName],misc[[#This Row],[ROB_MCA_String]],core_mc[VisualId],MC_Check!$H$2)</f>
        <v>0</v>
      </c>
      <c r="W54" t="str">
        <f>_xlfn.TEXTJOIN("",,"*SOCKET0**CBB",misc[[#This Row],[CBB]],"**COMPUTE",misc[[#This Row],[Compute]],"**MODULE",misc[[#This Row],[Module]],splitchar,"**CORE**DCU*CR*MC1*STATUS**")</f>
        <v>*SOCKET0**CBB1**COMPUTE2**MODULE19__**CORE**DCU*CR*MC1*STATUS**</v>
      </c>
      <c r="X54">
        <f>COUNTIFS(core_mc[TestName],misc[[#This Row],[DCU_MCA_String]],core_mc[VisualId],MC_Check!$H$2)</f>
        <v>0</v>
      </c>
      <c r="Y54" t="str">
        <f>_xlfn.TEXTJOIN("",,"*SOCKET0**CBB",misc[[#This Row],[CBB]],"**COMPUTE",misc[[#This Row],[Compute]],"**MODULE",misc[[#This Row],[Module]],splitchar,"**CORE**DTLB*CR*MC2*STATUS**")</f>
        <v>*SOCKET0**CBB1**COMPUTE2**MODULE19__**CORE**DTLB*CR*MC2*STATUS**</v>
      </c>
      <c r="Z54">
        <f>COUNTIFS(core_mc[TestName],misc[[#This Row],[CORE_DTLB_String]],core_mc[VisualId],MC_Check!$H$2)</f>
        <v>0</v>
      </c>
      <c r="AA54" t="str">
        <f>_xlfn.TEXTJOIN("",,"*SOCKET0**CBB",misc[[#This Row],[CBB]],"**COMPUTE",misc[[#This Row],[Compute]],"**MODULE",misc[[#This Row],[Module]],splitchar,"**ML2*CR*MC3*STATUS**")</f>
        <v>*SOCKET0**CBB1**COMPUTE2**MODULE19__**ML2*CR*MC3*STATUS**</v>
      </c>
      <c r="AB54">
        <f>COUNTIFS(core_mc[TestName],misc[[#This Row],[Core_ML2_String]],core_mc[VisualId],MC_Check!$H$2)</f>
        <v>0</v>
      </c>
      <c r="AC54" t="str">
        <f>_xlfn.TEXTJOIN("",,"*SOCKET0**CBB",misc[[#This Row],[CBB]],"**COMPUTE",misc[[#This Row],[Compute]],"**MODULE",misc[[#This Row],[Module]],splitchar,"SPARE")</f>
        <v>*SOCKET0**CBB1**COMPUTE2**MODULE19__SPARE</v>
      </c>
      <c r="AD54">
        <f>COUNTIFS(core_mc[TestName],misc[[#This Row],[Core_L2_String - SPARE]],core_mc[VisualId],MC_Check!$H$2)</f>
        <v>0</v>
      </c>
      <c r="AE54">
        <f>misc[[#This Row],[Core_DTLB_Count]]+misc[[#This Row],[Core_DCU_Count]]+misc[[#This Row],[Core_IFU_Count]]+misc[[#This Row],[Core_ROB_Count]]+misc[[#This Row],[Core_L2_Count - SPARE]]+misc[[#This Row],[Core_ML2_Count]]</f>
        <v>0</v>
      </c>
      <c r="AF54" t="str">
        <f>_xlfn.TEXTJOIN(", ",,IF(misc[[#This Row],[Core_IFU_Count]]&gt;0,"IFU",""),IF(misc[[#This Row],[Core_DCU_Count]]&gt;0,"DCU",""),IF(misc[[#This Row],[Core_DTLB_Count]]&gt;0,"DTLB",""),IF(misc[[#This Row],[Core_ROB_Count]]&gt;0,"ROB",""),IF(misc[[#This Row],[Core_ML2_Count]]&gt;0,"ML2",""),IF(misc[[#This Row],[Core_L2_Count - SPARE]]&gt;0,"L2",""))</f>
        <v/>
      </c>
      <c r="AG54" t="str">
        <f>_xlfn.TEXTJOIN("",,"*SOCKET0**CBB",misc[[#This Row],[CBB]],"**BASE**I_CCF**ENV",misc[[#This Row],[ENV]],splitchar,"CBREGS_ALL",misc[[#This Row],[CBO]],splitchar,"SPARE")</f>
        <v>*SOCKET0**CBB1**BASE**I_CCF**ENV3__CBREGS_ALL44__SPARE</v>
      </c>
      <c r="AH54">
        <f>COUNTIFS(cha_mc[TestName],misc[[#This Row],[LLC_MCA_String - Not Used]],cha_mc[VisualId],MC_Check!$H$2)</f>
        <v>0</v>
      </c>
    </row>
    <row r="55" spans="6:34" x14ac:dyDescent="0.3">
      <c r="F55">
        <v>1</v>
      </c>
      <c r="G55">
        <v>20</v>
      </c>
      <c r="H55" s="61">
        <f>IF(MC_Check!$AN$2="PHY",misc[[#This Row],[location]],misc[[#This Row],[Module_log]])</f>
        <v>20</v>
      </c>
      <c r="I55" s="61">
        <f>misc[[#This Row],[Module]]</f>
        <v>20</v>
      </c>
      <c r="J55" s="61">
        <f t="shared" si="1"/>
        <v>2</v>
      </c>
      <c r="K55" s="61">
        <f>K51+1</f>
        <v>5</v>
      </c>
      <c r="L55" s="61">
        <v>0</v>
      </c>
      <c r="M55" s="61" t="str">
        <f>_xlfn.TEXTJOIN("",,misc[[#This Row],[ROW]],misc[[#This Row],[ROW]])</f>
        <v>55</v>
      </c>
      <c r="N55" s="5" t="b">
        <f>misc[[#This Row],[Core_Hitter_Count]]&gt;0</f>
        <v>0</v>
      </c>
      <c r="O55" t="b">
        <f>misc[[#This Row],[LLC_Hitter_Count]]&gt;0</f>
        <v>0</v>
      </c>
      <c r="P55" t="b">
        <f>misc[[#This Row],[CHA_Hitter_Count]]&gt;0</f>
        <v>0</v>
      </c>
      <c r="Q55" t="str">
        <f>_xlfn.TEXTJOIN("",,"*SOCKET0**CBB",misc[[#This Row],[CBB]],"**BASE**I_CCF_ENV",misc[[#This Row],[ENV]],splitchar,"CBREGS_ALL",misc[[#This Row],[CBO]],splitchar,"MC_STATUS*")</f>
        <v>*SOCKET0**CBB1**BASE**I_CCF_ENV0__CBREGS_ALL55__MC_STATUS*</v>
      </c>
      <c r="R55">
        <f>COUNTIFS(cha_mc[TestName],misc[[#This Row],[CBO_MCA_String]],cha_mc[VisualId],MC_Check!$H$2)</f>
        <v>0</v>
      </c>
      <c r="S55" t="str">
        <f>_xlfn.TEXTJOIN("",,"*SOCKET0**CBB",misc[[#This Row],[CBB]],"**COMPUTE",misc[[#This Row],[Compute]],"**MODULE",misc[[#This Row],[Module]],splitchar,"**CORE**IFU*CR*MC0*STATUS**")</f>
        <v>*SOCKET0**CBB1**COMPUTE2**MODULE20__**CORE**IFU*CR*MC0*STATUS**</v>
      </c>
      <c r="T55">
        <f>COUNTIFS(core_mc[TestName],misc[[#This Row],[IFU_MCA_String]],core_mc[VisualId],MC_Check!$H$2)</f>
        <v>0</v>
      </c>
      <c r="U55" t="str">
        <f>_xlfn.TEXTJOIN("",,"*SOCKET0**CBB",misc[[#This Row],[CBB]],"**COMPUTE",misc[[#This Row],[Compute]],"**MODULE",misc[[#This Row],[Module]],splitchar,"**CORE**ROB1*CR*MC*STATUS**")</f>
        <v>*SOCKET0**CBB1**COMPUTE2**MODULE20__**CORE**ROB1*CR*MC*STATUS**</v>
      </c>
      <c r="V55">
        <f>COUNTIFS(core_mc[TestName],misc[[#This Row],[ROB_MCA_String]],core_mc[VisualId],MC_Check!$H$2)</f>
        <v>0</v>
      </c>
      <c r="W55" t="str">
        <f>_xlfn.TEXTJOIN("",,"*SOCKET0**CBB",misc[[#This Row],[CBB]],"**COMPUTE",misc[[#This Row],[Compute]],"**MODULE",misc[[#This Row],[Module]],splitchar,"**CORE**DCU*CR*MC1*STATUS**")</f>
        <v>*SOCKET0**CBB1**COMPUTE2**MODULE20__**CORE**DCU*CR*MC1*STATUS**</v>
      </c>
      <c r="X55">
        <f>COUNTIFS(core_mc[TestName],misc[[#This Row],[DCU_MCA_String]],core_mc[VisualId],MC_Check!$H$2)</f>
        <v>0</v>
      </c>
      <c r="Y55" t="str">
        <f>_xlfn.TEXTJOIN("",,"*SOCKET0**CBB",misc[[#This Row],[CBB]],"**COMPUTE",misc[[#This Row],[Compute]],"**MODULE",misc[[#This Row],[Module]],splitchar,"**CORE**DTLB*CR*MC2*STATUS**")</f>
        <v>*SOCKET0**CBB1**COMPUTE2**MODULE20__**CORE**DTLB*CR*MC2*STATUS**</v>
      </c>
      <c r="Z55">
        <f>COUNTIFS(core_mc[TestName],misc[[#This Row],[CORE_DTLB_String]],core_mc[VisualId],MC_Check!$H$2)</f>
        <v>0</v>
      </c>
      <c r="AA55" t="str">
        <f>_xlfn.TEXTJOIN("",,"*SOCKET0**CBB",misc[[#This Row],[CBB]],"**COMPUTE",misc[[#This Row],[Compute]],"**MODULE",misc[[#This Row],[Module]],splitchar,"**ML2*CR*MC3*STATUS**")</f>
        <v>*SOCKET0**CBB1**COMPUTE2**MODULE20__**ML2*CR*MC3*STATUS**</v>
      </c>
      <c r="AB55">
        <f>COUNTIFS(core_mc[TestName],misc[[#This Row],[Core_ML2_String]],core_mc[VisualId],MC_Check!$H$2)</f>
        <v>0</v>
      </c>
      <c r="AC55" t="str">
        <f>_xlfn.TEXTJOIN("",,"*SOCKET0**CBB",misc[[#This Row],[CBB]],"**COMPUTE",misc[[#This Row],[Compute]],"**MODULE",misc[[#This Row],[Module]],splitchar,"SPARE")</f>
        <v>*SOCKET0**CBB1**COMPUTE2**MODULE20__SPARE</v>
      </c>
      <c r="AD55">
        <f>COUNTIFS(core_mc[TestName],misc[[#This Row],[Core_L2_String - SPARE]],core_mc[VisualId],MC_Check!$H$2)</f>
        <v>0</v>
      </c>
      <c r="AE55">
        <f>misc[[#This Row],[Core_DTLB_Count]]+misc[[#This Row],[Core_DCU_Count]]+misc[[#This Row],[Core_IFU_Count]]+misc[[#This Row],[Core_ROB_Count]]+misc[[#This Row],[Core_L2_Count - SPARE]]+misc[[#This Row],[Core_ML2_Count]]</f>
        <v>0</v>
      </c>
      <c r="AF55" t="str">
        <f>_xlfn.TEXTJOIN(", ",,IF(misc[[#This Row],[Core_IFU_Count]]&gt;0,"IFU",""),IF(misc[[#This Row],[Core_DCU_Count]]&gt;0,"DCU",""),IF(misc[[#This Row],[Core_DTLB_Count]]&gt;0,"DTLB",""),IF(misc[[#This Row],[Core_ROB_Count]]&gt;0,"ROB",""),IF(misc[[#This Row],[Core_ML2_Count]]&gt;0,"ML2",""),IF(misc[[#This Row],[Core_L2_Count - SPARE]]&gt;0,"L2",""))</f>
        <v/>
      </c>
      <c r="AG55" t="str">
        <f>_xlfn.TEXTJOIN("",,"*SOCKET0**CBB",misc[[#This Row],[CBB]],"**BASE**I_CCF**ENV",misc[[#This Row],[ENV]],splitchar,"CBREGS_ALL",misc[[#This Row],[CBO]],splitchar,"SPARE")</f>
        <v>*SOCKET0**CBB1**BASE**I_CCF**ENV0__CBREGS_ALL55__SPARE</v>
      </c>
      <c r="AH55">
        <f>COUNTIFS(cha_mc[TestName],misc[[#This Row],[LLC_MCA_String - Not Used]],cha_mc[VisualId],MC_Check!$H$2)</f>
        <v>0</v>
      </c>
    </row>
    <row r="56" spans="6:34" x14ac:dyDescent="0.3">
      <c r="F56">
        <v>1</v>
      </c>
      <c r="G56">
        <v>21</v>
      </c>
      <c r="H56" s="61">
        <f>IF(MC_Check!$AN$2="PHY",misc[[#This Row],[location]],misc[[#This Row],[Module_log]])</f>
        <v>21</v>
      </c>
      <c r="I56" s="61">
        <f>misc[[#This Row],[Module]]</f>
        <v>21</v>
      </c>
      <c r="J56" s="61">
        <f t="shared" si="1"/>
        <v>2</v>
      </c>
      <c r="K56" s="61">
        <f t="shared" si="2"/>
        <v>5</v>
      </c>
      <c r="L56" s="61">
        <v>1</v>
      </c>
      <c r="M56" s="61" t="str">
        <f>_xlfn.TEXTJOIN("",,misc[[#This Row],[ROW]],misc[[#This Row],[ROW]])</f>
        <v>55</v>
      </c>
      <c r="N56" s="5" t="b">
        <f>misc[[#This Row],[Core_Hitter_Count]]&gt;0</f>
        <v>0</v>
      </c>
      <c r="O56" t="b">
        <f>misc[[#This Row],[LLC_Hitter_Count]]&gt;0</f>
        <v>0</v>
      </c>
      <c r="P56" t="b">
        <f>misc[[#This Row],[CHA_Hitter_Count]]&gt;0</f>
        <v>0</v>
      </c>
      <c r="Q56" t="str">
        <f>_xlfn.TEXTJOIN("",,"*SOCKET0**CBB",misc[[#This Row],[CBB]],"**BASE**I_CCF_ENV",misc[[#This Row],[ENV]],splitchar,"CBREGS_ALL",misc[[#This Row],[CBO]],splitchar,"MC_STATUS*")</f>
        <v>*SOCKET0**CBB1**BASE**I_CCF_ENV1__CBREGS_ALL55__MC_STATUS*</v>
      </c>
      <c r="R56">
        <f>COUNTIFS(cha_mc[TestName],misc[[#This Row],[CBO_MCA_String]],cha_mc[VisualId],MC_Check!$H$2)</f>
        <v>0</v>
      </c>
      <c r="S56" t="str">
        <f>_xlfn.TEXTJOIN("",,"*SOCKET0**CBB",misc[[#This Row],[CBB]],"**COMPUTE",misc[[#This Row],[Compute]],"**MODULE",misc[[#This Row],[Module]],splitchar,"**CORE**IFU*CR*MC0*STATUS**")</f>
        <v>*SOCKET0**CBB1**COMPUTE2**MODULE21__**CORE**IFU*CR*MC0*STATUS**</v>
      </c>
      <c r="T56">
        <f>COUNTIFS(core_mc[TestName],misc[[#This Row],[IFU_MCA_String]],core_mc[VisualId],MC_Check!$H$2)</f>
        <v>0</v>
      </c>
      <c r="U56" t="str">
        <f>_xlfn.TEXTJOIN("",,"*SOCKET0**CBB",misc[[#This Row],[CBB]],"**COMPUTE",misc[[#This Row],[Compute]],"**MODULE",misc[[#This Row],[Module]],splitchar,"**CORE**ROB1*CR*MC*STATUS**")</f>
        <v>*SOCKET0**CBB1**COMPUTE2**MODULE21__**CORE**ROB1*CR*MC*STATUS**</v>
      </c>
      <c r="V56">
        <f>COUNTIFS(core_mc[TestName],misc[[#This Row],[ROB_MCA_String]],core_mc[VisualId],MC_Check!$H$2)</f>
        <v>0</v>
      </c>
      <c r="W56" t="str">
        <f>_xlfn.TEXTJOIN("",,"*SOCKET0**CBB",misc[[#This Row],[CBB]],"**COMPUTE",misc[[#This Row],[Compute]],"**MODULE",misc[[#This Row],[Module]],splitchar,"**CORE**DCU*CR*MC1*STATUS**")</f>
        <v>*SOCKET0**CBB1**COMPUTE2**MODULE21__**CORE**DCU*CR*MC1*STATUS**</v>
      </c>
      <c r="X56">
        <f>COUNTIFS(core_mc[TestName],misc[[#This Row],[DCU_MCA_String]],core_mc[VisualId],MC_Check!$H$2)</f>
        <v>0</v>
      </c>
      <c r="Y56" t="str">
        <f>_xlfn.TEXTJOIN("",,"*SOCKET0**CBB",misc[[#This Row],[CBB]],"**COMPUTE",misc[[#This Row],[Compute]],"**MODULE",misc[[#This Row],[Module]],splitchar,"**CORE**DTLB*CR*MC2*STATUS**")</f>
        <v>*SOCKET0**CBB1**COMPUTE2**MODULE21__**CORE**DTLB*CR*MC2*STATUS**</v>
      </c>
      <c r="Z56">
        <f>COUNTIFS(core_mc[TestName],misc[[#This Row],[CORE_DTLB_String]],core_mc[VisualId],MC_Check!$H$2)</f>
        <v>0</v>
      </c>
      <c r="AA56" t="str">
        <f>_xlfn.TEXTJOIN("",,"*SOCKET0**CBB",misc[[#This Row],[CBB]],"**COMPUTE",misc[[#This Row],[Compute]],"**MODULE",misc[[#This Row],[Module]],splitchar,"**ML2*CR*MC3*STATUS**")</f>
        <v>*SOCKET0**CBB1**COMPUTE2**MODULE21__**ML2*CR*MC3*STATUS**</v>
      </c>
      <c r="AB56">
        <f>COUNTIFS(core_mc[TestName],misc[[#This Row],[Core_ML2_String]],core_mc[VisualId],MC_Check!$H$2)</f>
        <v>0</v>
      </c>
      <c r="AC56" t="str">
        <f>_xlfn.TEXTJOIN("",,"*SOCKET0**CBB",misc[[#This Row],[CBB]],"**COMPUTE",misc[[#This Row],[Compute]],"**MODULE",misc[[#This Row],[Module]],splitchar,"SPARE")</f>
        <v>*SOCKET0**CBB1**COMPUTE2**MODULE21__SPARE</v>
      </c>
      <c r="AD56">
        <f>COUNTIFS(core_mc[TestName],misc[[#This Row],[Core_L2_String - SPARE]],core_mc[VisualId],MC_Check!$H$2)</f>
        <v>0</v>
      </c>
      <c r="AE56">
        <f>misc[[#This Row],[Core_DTLB_Count]]+misc[[#This Row],[Core_DCU_Count]]+misc[[#This Row],[Core_IFU_Count]]+misc[[#This Row],[Core_ROB_Count]]+misc[[#This Row],[Core_L2_Count - SPARE]]+misc[[#This Row],[Core_ML2_Count]]</f>
        <v>0</v>
      </c>
      <c r="AF56" t="str">
        <f>_xlfn.TEXTJOIN(", ",,IF(misc[[#This Row],[Core_IFU_Count]]&gt;0,"IFU",""),IF(misc[[#This Row],[Core_DCU_Count]]&gt;0,"DCU",""),IF(misc[[#This Row],[Core_DTLB_Count]]&gt;0,"DTLB",""),IF(misc[[#This Row],[Core_ROB_Count]]&gt;0,"ROB",""),IF(misc[[#This Row],[Core_ML2_Count]]&gt;0,"ML2",""),IF(misc[[#This Row],[Core_L2_Count - SPARE]]&gt;0,"L2",""))</f>
        <v/>
      </c>
      <c r="AG56" t="str">
        <f>_xlfn.TEXTJOIN("",,"*SOCKET0**CBB",misc[[#This Row],[CBB]],"**BASE**I_CCF**ENV",misc[[#This Row],[ENV]],splitchar,"CBREGS_ALL",misc[[#This Row],[CBO]],splitchar,"SPARE")</f>
        <v>*SOCKET0**CBB1**BASE**I_CCF**ENV1__CBREGS_ALL55__SPARE</v>
      </c>
      <c r="AH56">
        <f>COUNTIFS(cha_mc[TestName],misc[[#This Row],[LLC_MCA_String - Not Used]],cha_mc[VisualId],MC_Check!$H$2)</f>
        <v>0</v>
      </c>
    </row>
    <row r="57" spans="6:34" x14ac:dyDescent="0.3">
      <c r="F57">
        <v>1</v>
      </c>
      <c r="G57">
        <v>22</v>
      </c>
      <c r="H57" s="61">
        <f>IF(MC_Check!$AN$2="PHY",misc[[#This Row],[location]],misc[[#This Row],[Module_log]])</f>
        <v>22</v>
      </c>
      <c r="I57" s="61">
        <f>misc[[#This Row],[Module]]</f>
        <v>22</v>
      </c>
      <c r="J57" s="61">
        <f t="shared" si="1"/>
        <v>2</v>
      </c>
      <c r="K57" s="61">
        <f t="shared" si="2"/>
        <v>5</v>
      </c>
      <c r="L57" s="61">
        <v>2</v>
      </c>
      <c r="M57" s="61" t="str">
        <f>_xlfn.TEXTJOIN("",,misc[[#This Row],[ROW]],misc[[#This Row],[ROW]])</f>
        <v>55</v>
      </c>
      <c r="N57" s="5" t="b">
        <f>misc[[#This Row],[Core_Hitter_Count]]&gt;0</f>
        <v>0</v>
      </c>
      <c r="O57" t="b">
        <f>misc[[#This Row],[LLC_Hitter_Count]]&gt;0</f>
        <v>0</v>
      </c>
      <c r="P57" t="b">
        <f>misc[[#This Row],[CHA_Hitter_Count]]&gt;0</f>
        <v>0</v>
      </c>
      <c r="Q57" t="str">
        <f>_xlfn.TEXTJOIN("",,"*SOCKET0**CBB",misc[[#This Row],[CBB]],"**BASE**I_CCF_ENV",misc[[#This Row],[ENV]],splitchar,"CBREGS_ALL",misc[[#This Row],[CBO]],splitchar,"MC_STATUS*")</f>
        <v>*SOCKET0**CBB1**BASE**I_CCF_ENV2__CBREGS_ALL55__MC_STATUS*</v>
      </c>
      <c r="R57">
        <f>COUNTIFS(cha_mc[TestName],misc[[#This Row],[CBO_MCA_String]],cha_mc[VisualId],MC_Check!$H$2)</f>
        <v>0</v>
      </c>
      <c r="S57" t="str">
        <f>_xlfn.TEXTJOIN("",,"*SOCKET0**CBB",misc[[#This Row],[CBB]],"**COMPUTE",misc[[#This Row],[Compute]],"**MODULE",misc[[#This Row],[Module]],splitchar,"**CORE**IFU*CR*MC0*STATUS**")</f>
        <v>*SOCKET0**CBB1**COMPUTE2**MODULE22__**CORE**IFU*CR*MC0*STATUS**</v>
      </c>
      <c r="T57">
        <f>COUNTIFS(core_mc[TestName],misc[[#This Row],[IFU_MCA_String]],core_mc[VisualId],MC_Check!$H$2)</f>
        <v>0</v>
      </c>
      <c r="U57" t="str">
        <f>_xlfn.TEXTJOIN("",,"*SOCKET0**CBB",misc[[#This Row],[CBB]],"**COMPUTE",misc[[#This Row],[Compute]],"**MODULE",misc[[#This Row],[Module]],splitchar,"**CORE**ROB1*CR*MC*STATUS**")</f>
        <v>*SOCKET0**CBB1**COMPUTE2**MODULE22__**CORE**ROB1*CR*MC*STATUS**</v>
      </c>
      <c r="V57">
        <f>COUNTIFS(core_mc[TestName],misc[[#This Row],[ROB_MCA_String]],core_mc[VisualId],MC_Check!$H$2)</f>
        <v>0</v>
      </c>
      <c r="W57" t="str">
        <f>_xlfn.TEXTJOIN("",,"*SOCKET0**CBB",misc[[#This Row],[CBB]],"**COMPUTE",misc[[#This Row],[Compute]],"**MODULE",misc[[#This Row],[Module]],splitchar,"**CORE**DCU*CR*MC1*STATUS**")</f>
        <v>*SOCKET0**CBB1**COMPUTE2**MODULE22__**CORE**DCU*CR*MC1*STATUS**</v>
      </c>
      <c r="X57">
        <f>COUNTIFS(core_mc[TestName],misc[[#This Row],[DCU_MCA_String]],core_mc[VisualId],MC_Check!$H$2)</f>
        <v>0</v>
      </c>
      <c r="Y57" t="str">
        <f>_xlfn.TEXTJOIN("",,"*SOCKET0**CBB",misc[[#This Row],[CBB]],"**COMPUTE",misc[[#This Row],[Compute]],"**MODULE",misc[[#This Row],[Module]],splitchar,"**CORE**DTLB*CR*MC2*STATUS**")</f>
        <v>*SOCKET0**CBB1**COMPUTE2**MODULE22__**CORE**DTLB*CR*MC2*STATUS**</v>
      </c>
      <c r="Z57">
        <f>COUNTIFS(core_mc[TestName],misc[[#This Row],[CORE_DTLB_String]],core_mc[VisualId],MC_Check!$H$2)</f>
        <v>0</v>
      </c>
      <c r="AA57" t="str">
        <f>_xlfn.TEXTJOIN("",,"*SOCKET0**CBB",misc[[#This Row],[CBB]],"**COMPUTE",misc[[#This Row],[Compute]],"**MODULE",misc[[#This Row],[Module]],splitchar,"**ML2*CR*MC3*STATUS**")</f>
        <v>*SOCKET0**CBB1**COMPUTE2**MODULE22__**ML2*CR*MC3*STATUS**</v>
      </c>
      <c r="AB57">
        <f>COUNTIFS(core_mc[TestName],misc[[#This Row],[Core_ML2_String]],core_mc[VisualId],MC_Check!$H$2)</f>
        <v>0</v>
      </c>
      <c r="AC57" t="str">
        <f>_xlfn.TEXTJOIN("",,"*SOCKET0**CBB",misc[[#This Row],[CBB]],"**COMPUTE",misc[[#This Row],[Compute]],"**MODULE",misc[[#This Row],[Module]],splitchar,"SPARE")</f>
        <v>*SOCKET0**CBB1**COMPUTE2**MODULE22__SPARE</v>
      </c>
      <c r="AD57">
        <f>COUNTIFS(core_mc[TestName],misc[[#This Row],[Core_L2_String - SPARE]],core_mc[VisualId],MC_Check!$H$2)</f>
        <v>0</v>
      </c>
      <c r="AE57">
        <f>misc[[#This Row],[Core_DTLB_Count]]+misc[[#This Row],[Core_DCU_Count]]+misc[[#This Row],[Core_IFU_Count]]+misc[[#This Row],[Core_ROB_Count]]+misc[[#This Row],[Core_L2_Count - SPARE]]+misc[[#This Row],[Core_ML2_Count]]</f>
        <v>0</v>
      </c>
      <c r="AF57" t="str">
        <f>_xlfn.TEXTJOIN(", ",,IF(misc[[#This Row],[Core_IFU_Count]]&gt;0,"IFU",""),IF(misc[[#This Row],[Core_DCU_Count]]&gt;0,"DCU",""),IF(misc[[#This Row],[Core_DTLB_Count]]&gt;0,"DTLB",""),IF(misc[[#This Row],[Core_ROB_Count]]&gt;0,"ROB",""),IF(misc[[#This Row],[Core_ML2_Count]]&gt;0,"ML2",""),IF(misc[[#This Row],[Core_L2_Count - SPARE]]&gt;0,"L2",""))</f>
        <v/>
      </c>
      <c r="AG57" t="str">
        <f>_xlfn.TEXTJOIN("",,"*SOCKET0**CBB",misc[[#This Row],[CBB]],"**BASE**I_CCF**ENV",misc[[#This Row],[ENV]],splitchar,"CBREGS_ALL",misc[[#This Row],[CBO]],splitchar,"SPARE")</f>
        <v>*SOCKET0**CBB1**BASE**I_CCF**ENV2__CBREGS_ALL55__SPARE</v>
      </c>
      <c r="AH57">
        <f>COUNTIFS(cha_mc[TestName],misc[[#This Row],[LLC_MCA_String - Not Used]],cha_mc[VisualId],MC_Check!$H$2)</f>
        <v>0</v>
      </c>
    </row>
    <row r="58" spans="6:34" x14ac:dyDescent="0.3">
      <c r="F58">
        <v>1</v>
      </c>
      <c r="G58">
        <v>23</v>
      </c>
      <c r="H58" s="61">
        <f>IF(MC_Check!$AN$2="PHY",misc[[#This Row],[location]],misc[[#This Row],[Module_log]])</f>
        <v>23</v>
      </c>
      <c r="I58" s="61">
        <f>misc[[#This Row],[Module]]</f>
        <v>23</v>
      </c>
      <c r="J58" s="61">
        <f t="shared" si="1"/>
        <v>2</v>
      </c>
      <c r="K58" s="61">
        <f t="shared" si="2"/>
        <v>5</v>
      </c>
      <c r="L58" s="61">
        <v>3</v>
      </c>
      <c r="M58" s="61" t="str">
        <f>_xlfn.TEXTJOIN("",,misc[[#This Row],[ROW]],misc[[#This Row],[ROW]])</f>
        <v>55</v>
      </c>
      <c r="N58" s="5" t="b">
        <f>misc[[#This Row],[Core_Hitter_Count]]&gt;0</f>
        <v>0</v>
      </c>
      <c r="O58" t="b">
        <f>misc[[#This Row],[LLC_Hitter_Count]]&gt;0</f>
        <v>0</v>
      </c>
      <c r="P58" t="b">
        <f>misc[[#This Row],[CHA_Hitter_Count]]&gt;0</f>
        <v>0</v>
      </c>
      <c r="Q58" t="str">
        <f>_xlfn.TEXTJOIN("",,"*SOCKET0**CBB",misc[[#This Row],[CBB]],"**BASE**I_CCF_ENV",misc[[#This Row],[ENV]],splitchar,"CBREGS_ALL",misc[[#This Row],[CBO]],splitchar,"MC_STATUS*")</f>
        <v>*SOCKET0**CBB1**BASE**I_CCF_ENV3__CBREGS_ALL55__MC_STATUS*</v>
      </c>
      <c r="R58">
        <f>COUNTIFS(cha_mc[TestName],misc[[#This Row],[CBO_MCA_String]],cha_mc[VisualId],MC_Check!$H$2)</f>
        <v>0</v>
      </c>
      <c r="S58" t="str">
        <f>_xlfn.TEXTJOIN("",,"*SOCKET0**CBB",misc[[#This Row],[CBB]],"**COMPUTE",misc[[#This Row],[Compute]],"**MODULE",misc[[#This Row],[Module]],splitchar,"**CORE**IFU*CR*MC0*STATUS**")</f>
        <v>*SOCKET0**CBB1**COMPUTE2**MODULE23__**CORE**IFU*CR*MC0*STATUS**</v>
      </c>
      <c r="T58">
        <f>COUNTIFS(core_mc[TestName],misc[[#This Row],[IFU_MCA_String]],core_mc[VisualId],MC_Check!$H$2)</f>
        <v>0</v>
      </c>
      <c r="U58" t="str">
        <f>_xlfn.TEXTJOIN("",,"*SOCKET0**CBB",misc[[#This Row],[CBB]],"**COMPUTE",misc[[#This Row],[Compute]],"**MODULE",misc[[#This Row],[Module]],splitchar,"**CORE**ROB1*CR*MC*STATUS**")</f>
        <v>*SOCKET0**CBB1**COMPUTE2**MODULE23__**CORE**ROB1*CR*MC*STATUS**</v>
      </c>
      <c r="V58">
        <f>COUNTIFS(core_mc[TestName],misc[[#This Row],[ROB_MCA_String]],core_mc[VisualId],MC_Check!$H$2)</f>
        <v>0</v>
      </c>
      <c r="W58" t="str">
        <f>_xlfn.TEXTJOIN("",,"*SOCKET0**CBB",misc[[#This Row],[CBB]],"**COMPUTE",misc[[#This Row],[Compute]],"**MODULE",misc[[#This Row],[Module]],splitchar,"**CORE**DCU*CR*MC1*STATUS**")</f>
        <v>*SOCKET0**CBB1**COMPUTE2**MODULE23__**CORE**DCU*CR*MC1*STATUS**</v>
      </c>
      <c r="X58">
        <f>COUNTIFS(core_mc[TestName],misc[[#This Row],[DCU_MCA_String]],core_mc[VisualId],MC_Check!$H$2)</f>
        <v>0</v>
      </c>
      <c r="Y58" t="str">
        <f>_xlfn.TEXTJOIN("",,"*SOCKET0**CBB",misc[[#This Row],[CBB]],"**COMPUTE",misc[[#This Row],[Compute]],"**MODULE",misc[[#This Row],[Module]],splitchar,"**CORE**DTLB*CR*MC2*STATUS**")</f>
        <v>*SOCKET0**CBB1**COMPUTE2**MODULE23__**CORE**DTLB*CR*MC2*STATUS**</v>
      </c>
      <c r="Z58">
        <f>COUNTIFS(core_mc[TestName],misc[[#This Row],[CORE_DTLB_String]],core_mc[VisualId],MC_Check!$H$2)</f>
        <v>0</v>
      </c>
      <c r="AA58" t="str">
        <f>_xlfn.TEXTJOIN("",,"*SOCKET0**CBB",misc[[#This Row],[CBB]],"**COMPUTE",misc[[#This Row],[Compute]],"**MODULE",misc[[#This Row],[Module]],splitchar,"**ML2*CR*MC3*STATUS**")</f>
        <v>*SOCKET0**CBB1**COMPUTE2**MODULE23__**ML2*CR*MC3*STATUS**</v>
      </c>
      <c r="AB58">
        <f>COUNTIFS(core_mc[TestName],misc[[#This Row],[Core_ML2_String]],core_mc[VisualId],MC_Check!$H$2)</f>
        <v>0</v>
      </c>
      <c r="AC58" t="str">
        <f>_xlfn.TEXTJOIN("",,"*SOCKET0**CBB",misc[[#This Row],[CBB]],"**COMPUTE",misc[[#This Row],[Compute]],"**MODULE",misc[[#This Row],[Module]],splitchar,"SPARE")</f>
        <v>*SOCKET0**CBB1**COMPUTE2**MODULE23__SPARE</v>
      </c>
      <c r="AD58">
        <f>COUNTIFS(core_mc[TestName],misc[[#This Row],[Core_L2_String - SPARE]],core_mc[VisualId],MC_Check!$H$2)</f>
        <v>0</v>
      </c>
      <c r="AE58">
        <f>misc[[#This Row],[Core_DTLB_Count]]+misc[[#This Row],[Core_DCU_Count]]+misc[[#This Row],[Core_IFU_Count]]+misc[[#This Row],[Core_ROB_Count]]+misc[[#This Row],[Core_L2_Count - SPARE]]+misc[[#This Row],[Core_ML2_Count]]</f>
        <v>0</v>
      </c>
      <c r="AF58" t="str">
        <f>_xlfn.TEXTJOIN(", ",,IF(misc[[#This Row],[Core_IFU_Count]]&gt;0,"IFU",""),IF(misc[[#This Row],[Core_DCU_Count]]&gt;0,"DCU",""),IF(misc[[#This Row],[Core_DTLB_Count]]&gt;0,"DTLB",""),IF(misc[[#This Row],[Core_ROB_Count]]&gt;0,"ROB",""),IF(misc[[#This Row],[Core_ML2_Count]]&gt;0,"ML2",""),IF(misc[[#This Row],[Core_L2_Count - SPARE]]&gt;0,"L2",""))</f>
        <v/>
      </c>
      <c r="AG58" t="str">
        <f>_xlfn.TEXTJOIN("",,"*SOCKET0**CBB",misc[[#This Row],[CBB]],"**BASE**I_CCF**ENV",misc[[#This Row],[ENV]],splitchar,"CBREGS_ALL",misc[[#This Row],[CBO]],splitchar,"SPARE")</f>
        <v>*SOCKET0**CBB1**BASE**I_CCF**ENV3__CBREGS_ALL55__SPARE</v>
      </c>
      <c r="AH58">
        <f>COUNTIFS(cha_mc[TestName],misc[[#This Row],[LLC_MCA_String - Not Used]],cha_mc[VisualId],MC_Check!$H$2)</f>
        <v>0</v>
      </c>
    </row>
    <row r="59" spans="6:34" x14ac:dyDescent="0.3">
      <c r="F59">
        <v>1</v>
      </c>
      <c r="G59">
        <v>24</v>
      </c>
      <c r="H59" s="61">
        <f>IF(MC_Check!$AN$2="PHY",misc[[#This Row],[location]],misc[[#This Row],[Module_log]])</f>
        <v>24</v>
      </c>
      <c r="I59" s="61">
        <f>misc[[#This Row],[Module]]</f>
        <v>24</v>
      </c>
      <c r="J59" s="61">
        <f t="shared" si="1"/>
        <v>3</v>
      </c>
      <c r="K59" s="61">
        <f>K55+1</f>
        <v>6</v>
      </c>
      <c r="L59" s="61">
        <v>0</v>
      </c>
      <c r="M59" s="61" t="str">
        <f>_xlfn.TEXTJOIN("",,misc[[#This Row],[ROW]],misc[[#This Row],[ROW]])</f>
        <v>66</v>
      </c>
      <c r="N59" s="5" t="b">
        <f>misc[[#This Row],[Core_Hitter_Count]]&gt;0</f>
        <v>0</v>
      </c>
      <c r="O59" t="b">
        <f>misc[[#This Row],[LLC_Hitter_Count]]&gt;0</f>
        <v>0</v>
      </c>
      <c r="P59" t="b">
        <f>misc[[#This Row],[CHA_Hitter_Count]]&gt;0</f>
        <v>0</v>
      </c>
      <c r="Q59" t="str">
        <f>_xlfn.TEXTJOIN("",,"*SOCKET0**CBB",misc[[#This Row],[CBB]],"**BASE**I_CCF_ENV",misc[[#This Row],[ENV]],splitchar,"CBREGS_ALL",misc[[#This Row],[CBO]],splitchar,"MC_STATUS*")</f>
        <v>*SOCKET0**CBB1**BASE**I_CCF_ENV0__CBREGS_ALL66__MC_STATUS*</v>
      </c>
      <c r="R59">
        <f>COUNTIFS(cha_mc[TestName],misc[[#This Row],[CBO_MCA_String]],cha_mc[VisualId],MC_Check!$H$2)</f>
        <v>0</v>
      </c>
      <c r="S59" t="str">
        <f>_xlfn.TEXTJOIN("",,"*SOCKET0**CBB",misc[[#This Row],[CBB]],"**COMPUTE",misc[[#This Row],[Compute]],"**MODULE",misc[[#This Row],[Module]],splitchar,"**CORE**IFU*CR*MC0*STATUS**")</f>
        <v>*SOCKET0**CBB1**COMPUTE3**MODULE24__**CORE**IFU*CR*MC0*STATUS**</v>
      </c>
      <c r="T59">
        <f>COUNTIFS(core_mc[TestName],misc[[#This Row],[IFU_MCA_String]],core_mc[VisualId],MC_Check!$H$2)</f>
        <v>0</v>
      </c>
      <c r="U59" t="str">
        <f>_xlfn.TEXTJOIN("",,"*SOCKET0**CBB",misc[[#This Row],[CBB]],"**COMPUTE",misc[[#This Row],[Compute]],"**MODULE",misc[[#This Row],[Module]],splitchar,"**CORE**ROB1*CR*MC*STATUS**")</f>
        <v>*SOCKET0**CBB1**COMPUTE3**MODULE24__**CORE**ROB1*CR*MC*STATUS**</v>
      </c>
      <c r="V59">
        <f>COUNTIFS(core_mc[TestName],misc[[#This Row],[ROB_MCA_String]],core_mc[VisualId],MC_Check!$H$2)</f>
        <v>0</v>
      </c>
      <c r="W59" t="str">
        <f>_xlfn.TEXTJOIN("",,"*SOCKET0**CBB",misc[[#This Row],[CBB]],"**COMPUTE",misc[[#This Row],[Compute]],"**MODULE",misc[[#This Row],[Module]],splitchar,"**CORE**DCU*CR*MC1*STATUS**")</f>
        <v>*SOCKET0**CBB1**COMPUTE3**MODULE24__**CORE**DCU*CR*MC1*STATUS**</v>
      </c>
      <c r="X59">
        <f>COUNTIFS(core_mc[TestName],misc[[#This Row],[DCU_MCA_String]],core_mc[VisualId],MC_Check!$H$2)</f>
        <v>0</v>
      </c>
      <c r="Y59" t="str">
        <f>_xlfn.TEXTJOIN("",,"*SOCKET0**CBB",misc[[#This Row],[CBB]],"**COMPUTE",misc[[#This Row],[Compute]],"**MODULE",misc[[#This Row],[Module]],splitchar,"**CORE**DTLB*CR*MC2*STATUS**")</f>
        <v>*SOCKET0**CBB1**COMPUTE3**MODULE24__**CORE**DTLB*CR*MC2*STATUS**</v>
      </c>
      <c r="Z59">
        <f>COUNTIFS(core_mc[TestName],misc[[#This Row],[CORE_DTLB_String]],core_mc[VisualId],MC_Check!$H$2)</f>
        <v>0</v>
      </c>
      <c r="AA59" t="str">
        <f>_xlfn.TEXTJOIN("",,"*SOCKET0**CBB",misc[[#This Row],[CBB]],"**COMPUTE",misc[[#This Row],[Compute]],"**MODULE",misc[[#This Row],[Module]],splitchar,"**ML2*CR*MC3*STATUS**")</f>
        <v>*SOCKET0**CBB1**COMPUTE3**MODULE24__**ML2*CR*MC3*STATUS**</v>
      </c>
      <c r="AB59">
        <f>COUNTIFS(core_mc[TestName],misc[[#This Row],[Core_ML2_String]],core_mc[VisualId],MC_Check!$H$2)</f>
        <v>0</v>
      </c>
      <c r="AC59" t="str">
        <f>_xlfn.TEXTJOIN("",,"*SOCKET0**CBB",misc[[#This Row],[CBB]],"**COMPUTE",misc[[#This Row],[Compute]],"**MODULE",misc[[#This Row],[Module]],splitchar,"SPARE")</f>
        <v>*SOCKET0**CBB1**COMPUTE3**MODULE24__SPARE</v>
      </c>
      <c r="AD59">
        <f>COUNTIFS(core_mc[TestName],misc[[#This Row],[Core_L2_String - SPARE]],core_mc[VisualId],MC_Check!$H$2)</f>
        <v>0</v>
      </c>
      <c r="AE59">
        <f>misc[[#This Row],[Core_DTLB_Count]]+misc[[#This Row],[Core_DCU_Count]]+misc[[#This Row],[Core_IFU_Count]]+misc[[#This Row],[Core_ROB_Count]]+misc[[#This Row],[Core_L2_Count - SPARE]]+misc[[#This Row],[Core_ML2_Count]]</f>
        <v>0</v>
      </c>
      <c r="AF59" t="str">
        <f>_xlfn.TEXTJOIN(", ",,IF(misc[[#This Row],[Core_IFU_Count]]&gt;0,"IFU",""),IF(misc[[#This Row],[Core_DCU_Count]]&gt;0,"DCU",""),IF(misc[[#This Row],[Core_DTLB_Count]]&gt;0,"DTLB",""),IF(misc[[#This Row],[Core_ROB_Count]]&gt;0,"ROB",""),IF(misc[[#This Row],[Core_ML2_Count]]&gt;0,"ML2",""),IF(misc[[#This Row],[Core_L2_Count - SPARE]]&gt;0,"L2",""))</f>
        <v/>
      </c>
      <c r="AG59" t="str">
        <f>_xlfn.TEXTJOIN("",,"*SOCKET0**CBB",misc[[#This Row],[CBB]],"**BASE**I_CCF**ENV",misc[[#This Row],[ENV]],splitchar,"CBREGS_ALL",misc[[#This Row],[CBO]],splitchar,"SPARE")</f>
        <v>*SOCKET0**CBB1**BASE**I_CCF**ENV0__CBREGS_ALL66__SPARE</v>
      </c>
      <c r="AH59">
        <f>COUNTIFS(cha_mc[TestName],misc[[#This Row],[LLC_MCA_String - Not Used]],cha_mc[VisualId],MC_Check!$H$2)</f>
        <v>0</v>
      </c>
    </row>
    <row r="60" spans="6:34" x14ac:dyDescent="0.3">
      <c r="F60">
        <v>1</v>
      </c>
      <c r="G60">
        <v>25</v>
      </c>
      <c r="H60" s="61">
        <f>IF(MC_Check!$AN$2="PHY",misc[[#This Row],[location]],misc[[#This Row],[Module_log]])</f>
        <v>25</v>
      </c>
      <c r="I60" s="61">
        <f>misc[[#This Row],[Module]]</f>
        <v>25</v>
      </c>
      <c r="J60" s="61">
        <f t="shared" si="1"/>
        <v>3</v>
      </c>
      <c r="K60" s="61">
        <f t="shared" si="2"/>
        <v>6</v>
      </c>
      <c r="L60" s="61">
        <v>1</v>
      </c>
      <c r="M60" s="61" t="str">
        <f>_xlfn.TEXTJOIN("",,misc[[#This Row],[ROW]],misc[[#This Row],[ROW]])</f>
        <v>66</v>
      </c>
      <c r="N60" s="5" t="b">
        <f>misc[[#This Row],[Core_Hitter_Count]]&gt;0</f>
        <v>0</v>
      </c>
      <c r="O60" t="b">
        <f>misc[[#This Row],[LLC_Hitter_Count]]&gt;0</f>
        <v>0</v>
      </c>
      <c r="P60" t="b">
        <f>misc[[#This Row],[CHA_Hitter_Count]]&gt;0</f>
        <v>0</v>
      </c>
      <c r="Q60" t="str">
        <f>_xlfn.TEXTJOIN("",,"*SOCKET0**CBB",misc[[#This Row],[CBB]],"**BASE**I_CCF_ENV",misc[[#This Row],[ENV]],splitchar,"CBREGS_ALL",misc[[#This Row],[CBO]],splitchar,"MC_STATUS*")</f>
        <v>*SOCKET0**CBB1**BASE**I_CCF_ENV1__CBREGS_ALL66__MC_STATUS*</v>
      </c>
      <c r="R60">
        <f>COUNTIFS(cha_mc[TestName],misc[[#This Row],[CBO_MCA_String]],cha_mc[VisualId],MC_Check!$H$2)</f>
        <v>0</v>
      </c>
      <c r="S60" t="str">
        <f>_xlfn.TEXTJOIN("",,"*SOCKET0**CBB",misc[[#This Row],[CBB]],"**COMPUTE",misc[[#This Row],[Compute]],"**MODULE",misc[[#This Row],[Module]],splitchar,"**CORE**IFU*CR*MC0*STATUS**")</f>
        <v>*SOCKET0**CBB1**COMPUTE3**MODULE25__**CORE**IFU*CR*MC0*STATUS**</v>
      </c>
      <c r="T60">
        <f>COUNTIFS(core_mc[TestName],misc[[#This Row],[IFU_MCA_String]],core_mc[VisualId],MC_Check!$H$2)</f>
        <v>0</v>
      </c>
      <c r="U60" t="str">
        <f>_xlfn.TEXTJOIN("",,"*SOCKET0**CBB",misc[[#This Row],[CBB]],"**COMPUTE",misc[[#This Row],[Compute]],"**MODULE",misc[[#This Row],[Module]],splitchar,"**CORE**ROB1*CR*MC*STATUS**")</f>
        <v>*SOCKET0**CBB1**COMPUTE3**MODULE25__**CORE**ROB1*CR*MC*STATUS**</v>
      </c>
      <c r="V60">
        <f>COUNTIFS(core_mc[TestName],misc[[#This Row],[ROB_MCA_String]],core_mc[VisualId],MC_Check!$H$2)</f>
        <v>0</v>
      </c>
      <c r="W60" t="str">
        <f>_xlfn.TEXTJOIN("",,"*SOCKET0**CBB",misc[[#This Row],[CBB]],"**COMPUTE",misc[[#This Row],[Compute]],"**MODULE",misc[[#This Row],[Module]],splitchar,"**CORE**DCU*CR*MC1*STATUS**")</f>
        <v>*SOCKET0**CBB1**COMPUTE3**MODULE25__**CORE**DCU*CR*MC1*STATUS**</v>
      </c>
      <c r="X60">
        <f>COUNTIFS(core_mc[TestName],misc[[#This Row],[DCU_MCA_String]],core_mc[VisualId],MC_Check!$H$2)</f>
        <v>0</v>
      </c>
      <c r="Y60" t="str">
        <f>_xlfn.TEXTJOIN("",,"*SOCKET0**CBB",misc[[#This Row],[CBB]],"**COMPUTE",misc[[#This Row],[Compute]],"**MODULE",misc[[#This Row],[Module]],splitchar,"**CORE**DTLB*CR*MC2*STATUS**")</f>
        <v>*SOCKET0**CBB1**COMPUTE3**MODULE25__**CORE**DTLB*CR*MC2*STATUS**</v>
      </c>
      <c r="Z60">
        <f>COUNTIFS(core_mc[TestName],misc[[#This Row],[CORE_DTLB_String]],core_mc[VisualId],MC_Check!$H$2)</f>
        <v>0</v>
      </c>
      <c r="AA60" t="str">
        <f>_xlfn.TEXTJOIN("",,"*SOCKET0**CBB",misc[[#This Row],[CBB]],"**COMPUTE",misc[[#This Row],[Compute]],"**MODULE",misc[[#This Row],[Module]],splitchar,"**ML2*CR*MC3*STATUS**")</f>
        <v>*SOCKET0**CBB1**COMPUTE3**MODULE25__**ML2*CR*MC3*STATUS**</v>
      </c>
      <c r="AB60">
        <f>COUNTIFS(core_mc[TestName],misc[[#This Row],[Core_ML2_String]],core_mc[VisualId],MC_Check!$H$2)</f>
        <v>0</v>
      </c>
      <c r="AC60" t="str">
        <f>_xlfn.TEXTJOIN("",,"*SOCKET0**CBB",misc[[#This Row],[CBB]],"**COMPUTE",misc[[#This Row],[Compute]],"**MODULE",misc[[#This Row],[Module]],splitchar,"SPARE")</f>
        <v>*SOCKET0**CBB1**COMPUTE3**MODULE25__SPARE</v>
      </c>
      <c r="AD60">
        <f>COUNTIFS(core_mc[TestName],misc[[#This Row],[Core_L2_String - SPARE]],core_mc[VisualId],MC_Check!$H$2)</f>
        <v>0</v>
      </c>
      <c r="AE60">
        <f>misc[[#This Row],[Core_DTLB_Count]]+misc[[#This Row],[Core_DCU_Count]]+misc[[#This Row],[Core_IFU_Count]]+misc[[#This Row],[Core_ROB_Count]]+misc[[#This Row],[Core_L2_Count - SPARE]]+misc[[#This Row],[Core_ML2_Count]]</f>
        <v>0</v>
      </c>
      <c r="AF60" t="str">
        <f>_xlfn.TEXTJOIN(", ",,IF(misc[[#This Row],[Core_IFU_Count]]&gt;0,"IFU",""),IF(misc[[#This Row],[Core_DCU_Count]]&gt;0,"DCU",""),IF(misc[[#This Row],[Core_DTLB_Count]]&gt;0,"DTLB",""),IF(misc[[#This Row],[Core_ROB_Count]]&gt;0,"ROB",""),IF(misc[[#This Row],[Core_ML2_Count]]&gt;0,"ML2",""),IF(misc[[#This Row],[Core_L2_Count - SPARE]]&gt;0,"L2",""))</f>
        <v/>
      </c>
      <c r="AG60" t="str">
        <f>_xlfn.TEXTJOIN("",,"*SOCKET0**CBB",misc[[#This Row],[CBB]],"**BASE**I_CCF**ENV",misc[[#This Row],[ENV]],splitchar,"CBREGS_ALL",misc[[#This Row],[CBO]],splitchar,"SPARE")</f>
        <v>*SOCKET0**CBB1**BASE**I_CCF**ENV1__CBREGS_ALL66__SPARE</v>
      </c>
      <c r="AH60">
        <f>COUNTIFS(cha_mc[TestName],misc[[#This Row],[LLC_MCA_String - Not Used]],cha_mc[VisualId],MC_Check!$H$2)</f>
        <v>0</v>
      </c>
    </row>
    <row r="61" spans="6:34" x14ac:dyDescent="0.3">
      <c r="F61">
        <v>1</v>
      </c>
      <c r="G61">
        <v>26</v>
      </c>
      <c r="H61" s="61">
        <f>IF(MC_Check!$AN$2="PHY",misc[[#This Row],[location]],misc[[#This Row],[Module_log]])</f>
        <v>26</v>
      </c>
      <c r="I61" s="61">
        <f>misc[[#This Row],[Module]]</f>
        <v>26</v>
      </c>
      <c r="J61" s="61">
        <f t="shared" si="1"/>
        <v>3</v>
      </c>
      <c r="K61" s="61">
        <f t="shared" si="2"/>
        <v>6</v>
      </c>
      <c r="L61" s="61">
        <v>2</v>
      </c>
      <c r="M61" s="61" t="str">
        <f>_xlfn.TEXTJOIN("",,misc[[#This Row],[ROW]],misc[[#This Row],[ROW]])</f>
        <v>66</v>
      </c>
      <c r="N61" s="5" t="b">
        <f>misc[[#This Row],[Core_Hitter_Count]]&gt;0</f>
        <v>0</v>
      </c>
      <c r="O61" t="b">
        <f>misc[[#This Row],[LLC_Hitter_Count]]&gt;0</f>
        <v>0</v>
      </c>
      <c r="P61" t="b">
        <f>misc[[#This Row],[CHA_Hitter_Count]]&gt;0</f>
        <v>0</v>
      </c>
      <c r="Q61" t="str">
        <f>_xlfn.TEXTJOIN("",,"*SOCKET0**CBB",misc[[#This Row],[CBB]],"**BASE**I_CCF_ENV",misc[[#This Row],[ENV]],splitchar,"CBREGS_ALL",misc[[#This Row],[CBO]],splitchar,"MC_STATUS*")</f>
        <v>*SOCKET0**CBB1**BASE**I_CCF_ENV2__CBREGS_ALL66__MC_STATUS*</v>
      </c>
      <c r="R61">
        <f>COUNTIFS(cha_mc[TestName],misc[[#This Row],[CBO_MCA_String]],cha_mc[VisualId],MC_Check!$H$2)</f>
        <v>0</v>
      </c>
      <c r="S61" t="str">
        <f>_xlfn.TEXTJOIN("",,"*SOCKET0**CBB",misc[[#This Row],[CBB]],"**COMPUTE",misc[[#This Row],[Compute]],"**MODULE",misc[[#This Row],[Module]],splitchar,"**CORE**IFU*CR*MC0*STATUS**")</f>
        <v>*SOCKET0**CBB1**COMPUTE3**MODULE26__**CORE**IFU*CR*MC0*STATUS**</v>
      </c>
      <c r="T61">
        <f>COUNTIFS(core_mc[TestName],misc[[#This Row],[IFU_MCA_String]],core_mc[VisualId],MC_Check!$H$2)</f>
        <v>0</v>
      </c>
      <c r="U61" t="str">
        <f>_xlfn.TEXTJOIN("",,"*SOCKET0**CBB",misc[[#This Row],[CBB]],"**COMPUTE",misc[[#This Row],[Compute]],"**MODULE",misc[[#This Row],[Module]],splitchar,"**CORE**ROB1*CR*MC*STATUS**")</f>
        <v>*SOCKET0**CBB1**COMPUTE3**MODULE26__**CORE**ROB1*CR*MC*STATUS**</v>
      </c>
      <c r="V61">
        <f>COUNTIFS(core_mc[TestName],misc[[#This Row],[ROB_MCA_String]],core_mc[VisualId],MC_Check!$H$2)</f>
        <v>0</v>
      </c>
      <c r="W61" t="str">
        <f>_xlfn.TEXTJOIN("",,"*SOCKET0**CBB",misc[[#This Row],[CBB]],"**COMPUTE",misc[[#This Row],[Compute]],"**MODULE",misc[[#This Row],[Module]],splitchar,"**CORE**DCU*CR*MC1*STATUS**")</f>
        <v>*SOCKET0**CBB1**COMPUTE3**MODULE26__**CORE**DCU*CR*MC1*STATUS**</v>
      </c>
      <c r="X61">
        <f>COUNTIFS(core_mc[TestName],misc[[#This Row],[DCU_MCA_String]],core_mc[VisualId],MC_Check!$H$2)</f>
        <v>0</v>
      </c>
      <c r="Y61" t="str">
        <f>_xlfn.TEXTJOIN("",,"*SOCKET0**CBB",misc[[#This Row],[CBB]],"**COMPUTE",misc[[#This Row],[Compute]],"**MODULE",misc[[#This Row],[Module]],splitchar,"**CORE**DTLB*CR*MC2*STATUS**")</f>
        <v>*SOCKET0**CBB1**COMPUTE3**MODULE26__**CORE**DTLB*CR*MC2*STATUS**</v>
      </c>
      <c r="Z61">
        <f>COUNTIFS(core_mc[TestName],misc[[#This Row],[CORE_DTLB_String]],core_mc[VisualId],MC_Check!$H$2)</f>
        <v>0</v>
      </c>
      <c r="AA61" t="str">
        <f>_xlfn.TEXTJOIN("",,"*SOCKET0**CBB",misc[[#This Row],[CBB]],"**COMPUTE",misc[[#This Row],[Compute]],"**MODULE",misc[[#This Row],[Module]],splitchar,"**ML2*CR*MC3*STATUS**")</f>
        <v>*SOCKET0**CBB1**COMPUTE3**MODULE26__**ML2*CR*MC3*STATUS**</v>
      </c>
      <c r="AB61">
        <f>COUNTIFS(core_mc[TestName],misc[[#This Row],[Core_ML2_String]],core_mc[VisualId],MC_Check!$H$2)</f>
        <v>0</v>
      </c>
      <c r="AC61" t="str">
        <f>_xlfn.TEXTJOIN("",,"*SOCKET0**CBB",misc[[#This Row],[CBB]],"**COMPUTE",misc[[#This Row],[Compute]],"**MODULE",misc[[#This Row],[Module]],splitchar,"SPARE")</f>
        <v>*SOCKET0**CBB1**COMPUTE3**MODULE26__SPARE</v>
      </c>
      <c r="AD61">
        <f>COUNTIFS(core_mc[TestName],misc[[#This Row],[Core_L2_String - SPARE]],core_mc[VisualId],MC_Check!$H$2)</f>
        <v>0</v>
      </c>
      <c r="AE61">
        <f>misc[[#This Row],[Core_DTLB_Count]]+misc[[#This Row],[Core_DCU_Count]]+misc[[#This Row],[Core_IFU_Count]]+misc[[#This Row],[Core_ROB_Count]]+misc[[#This Row],[Core_L2_Count - SPARE]]+misc[[#This Row],[Core_ML2_Count]]</f>
        <v>0</v>
      </c>
      <c r="AF61" t="str">
        <f>_xlfn.TEXTJOIN(", ",,IF(misc[[#This Row],[Core_IFU_Count]]&gt;0,"IFU",""),IF(misc[[#This Row],[Core_DCU_Count]]&gt;0,"DCU",""),IF(misc[[#This Row],[Core_DTLB_Count]]&gt;0,"DTLB",""),IF(misc[[#This Row],[Core_ROB_Count]]&gt;0,"ROB",""),IF(misc[[#This Row],[Core_ML2_Count]]&gt;0,"ML2",""),IF(misc[[#This Row],[Core_L2_Count - SPARE]]&gt;0,"L2",""))</f>
        <v/>
      </c>
      <c r="AG61" t="str">
        <f>_xlfn.TEXTJOIN("",,"*SOCKET0**CBB",misc[[#This Row],[CBB]],"**BASE**I_CCF**ENV",misc[[#This Row],[ENV]],splitchar,"CBREGS_ALL",misc[[#This Row],[CBO]],splitchar,"SPARE")</f>
        <v>*SOCKET0**CBB1**BASE**I_CCF**ENV2__CBREGS_ALL66__SPARE</v>
      </c>
      <c r="AH61">
        <f>COUNTIFS(cha_mc[TestName],misc[[#This Row],[LLC_MCA_String - Not Used]],cha_mc[VisualId],MC_Check!$H$2)</f>
        <v>0</v>
      </c>
    </row>
    <row r="62" spans="6:34" x14ac:dyDescent="0.3">
      <c r="F62">
        <v>1</v>
      </c>
      <c r="G62">
        <v>27</v>
      </c>
      <c r="H62" s="61">
        <f>IF(MC_Check!$AN$2="PHY",misc[[#This Row],[location]],misc[[#This Row],[Module_log]])</f>
        <v>27</v>
      </c>
      <c r="I62" s="61">
        <f>misc[[#This Row],[Module]]</f>
        <v>27</v>
      </c>
      <c r="J62" s="61">
        <f t="shared" si="1"/>
        <v>3</v>
      </c>
      <c r="K62" s="61">
        <f t="shared" si="2"/>
        <v>6</v>
      </c>
      <c r="L62" s="61">
        <v>3</v>
      </c>
      <c r="M62" s="61" t="str">
        <f>_xlfn.TEXTJOIN("",,misc[[#This Row],[ROW]],misc[[#This Row],[ROW]])</f>
        <v>66</v>
      </c>
      <c r="N62" s="5" t="b">
        <f>misc[[#This Row],[Core_Hitter_Count]]&gt;0</f>
        <v>0</v>
      </c>
      <c r="O62" t="b">
        <f>misc[[#This Row],[LLC_Hitter_Count]]&gt;0</f>
        <v>0</v>
      </c>
      <c r="P62" t="b">
        <f>misc[[#This Row],[CHA_Hitter_Count]]&gt;0</f>
        <v>0</v>
      </c>
      <c r="Q62" t="str">
        <f>_xlfn.TEXTJOIN("",,"*SOCKET0**CBB",misc[[#This Row],[CBB]],"**BASE**I_CCF_ENV",misc[[#This Row],[ENV]],splitchar,"CBREGS_ALL",misc[[#This Row],[CBO]],splitchar,"MC_STATUS*")</f>
        <v>*SOCKET0**CBB1**BASE**I_CCF_ENV3__CBREGS_ALL66__MC_STATUS*</v>
      </c>
      <c r="R62">
        <f>COUNTIFS(cha_mc[TestName],misc[[#This Row],[CBO_MCA_String]],cha_mc[VisualId],MC_Check!$H$2)</f>
        <v>0</v>
      </c>
      <c r="S62" t="str">
        <f>_xlfn.TEXTJOIN("",,"*SOCKET0**CBB",misc[[#This Row],[CBB]],"**COMPUTE",misc[[#This Row],[Compute]],"**MODULE",misc[[#This Row],[Module]],splitchar,"**CORE**IFU*CR*MC0*STATUS**")</f>
        <v>*SOCKET0**CBB1**COMPUTE3**MODULE27__**CORE**IFU*CR*MC0*STATUS**</v>
      </c>
      <c r="T62">
        <f>COUNTIFS(core_mc[TestName],misc[[#This Row],[IFU_MCA_String]],core_mc[VisualId],MC_Check!$H$2)</f>
        <v>0</v>
      </c>
      <c r="U62" t="str">
        <f>_xlfn.TEXTJOIN("",,"*SOCKET0**CBB",misc[[#This Row],[CBB]],"**COMPUTE",misc[[#This Row],[Compute]],"**MODULE",misc[[#This Row],[Module]],splitchar,"**CORE**ROB1*CR*MC*STATUS**")</f>
        <v>*SOCKET0**CBB1**COMPUTE3**MODULE27__**CORE**ROB1*CR*MC*STATUS**</v>
      </c>
      <c r="V62">
        <f>COUNTIFS(core_mc[TestName],misc[[#This Row],[ROB_MCA_String]],core_mc[VisualId],MC_Check!$H$2)</f>
        <v>0</v>
      </c>
      <c r="W62" t="str">
        <f>_xlfn.TEXTJOIN("",,"*SOCKET0**CBB",misc[[#This Row],[CBB]],"**COMPUTE",misc[[#This Row],[Compute]],"**MODULE",misc[[#This Row],[Module]],splitchar,"**CORE**DCU*CR*MC1*STATUS**")</f>
        <v>*SOCKET0**CBB1**COMPUTE3**MODULE27__**CORE**DCU*CR*MC1*STATUS**</v>
      </c>
      <c r="X62">
        <f>COUNTIFS(core_mc[TestName],misc[[#This Row],[DCU_MCA_String]],core_mc[VisualId],MC_Check!$H$2)</f>
        <v>0</v>
      </c>
      <c r="Y62" t="str">
        <f>_xlfn.TEXTJOIN("",,"*SOCKET0**CBB",misc[[#This Row],[CBB]],"**COMPUTE",misc[[#This Row],[Compute]],"**MODULE",misc[[#This Row],[Module]],splitchar,"**CORE**DTLB*CR*MC2*STATUS**")</f>
        <v>*SOCKET0**CBB1**COMPUTE3**MODULE27__**CORE**DTLB*CR*MC2*STATUS**</v>
      </c>
      <c r="Z62">
        <f>COUNTIFS(core_mc[TestName],misc[[#This Row],[CORE_DTLB_String]],core_mc[VisualId],MC_Check!$H$2)</f>
        <v>0</v>
      </c>
      <c r="AA62" t="str">
        <f>_xlfn.TEXTJOIN("",,"*SOCKET0**CBB",misc[[#This Row],[CBB]],"**COMPUTE",misc[[#This Row],[Compute]],"**MODULE",misc[[#This Row],[Module]],splitchar,"**ML2*CR*MC3*STATUS**")</f>
        <v>*SOCKET0**CBB1**COMPUTE3**MODULE27__**ML2*CR*MC3*STATUS**</v>
      </c>
      <c r="AB62">
        <f>COUNTIFS(core_mc[TestName],misc[[#This Row],[Core_ML2_String]],core_mc[VisualId],MC_Check!$H$2)</f>
        <v>0</v>
      </c>
      <c r="AC62" t="str">
        <f>_xlfn.TEXTJOIN("",,"*SOCKET0**CBB",misc[[#This Row],[CBB]],"**COMPUTE",misc[[#This Row],[Compute]],"**MODULE",misc[[#This Row],[Module]],splitchar,"SPARE")</f>
        <v>*SOCKET0**CBB1**COMPUTE3**MODULE27__SPARE</v>
      </c>
      <c r="AD62">
        <f>COUNTIFS(core_mc[TestName],misc[[#This Row],[Core_L2_String - SPARE]],core_mc[VisualId],MC_Check!$H$2)</f>
        <v>0</v>
      </c>
      <c r="AE62">
        <f>misc[[#This Row],[Core_DTLB_Count]]+misc[[#This Row],[Core_DCU_Count]]+misc[[#This Row],[Core_IFU_Count]]+misc[[#This Row],[Core_ROB_Count]]+misc[[#This Row],[Core_L2_Count - SPARE]]+misc[[#This Row],[Core_ML2_Count]]</f>
        <v>0</v>
      </c>
      <c r="AF62" t="str">
        <f>_xlfn.TEXTJOIN(", ",,IF(misc[[#This Row],[Core_IFU_Count]]&gt;0,"IFU",""),IF(misc[[#This Row],[Core_DCU_Count]]&gt;0,"DCU",""),IF(misc[[#This Row],[Core_DTLB_Count]]&gt;0,"DTLB",""),IF(misc[[#This Row],[Core_ROB_Count]]&gt;0,"ROB",""),IF(misc[[#This Row],[Core_ML2_Count]]&gt;0,"ML2",""),IF(misc[[#This Row],[Core_L2_Count - SPARE]]&gt;0,"L2",""))</f>
        <v/>
      </c>
      <c r="AG62" t="str">
        <f>_xlfn.TEXTJOIN("",,"*SOCKET0**CBB",misc[[#This Row],[CBB]],"**BASE**I_CCF**ENV",misc[[#This Row],[ENV]],splitchar,"CBREGS_ALL",misc[[#This Row],[CBO]],splitchar,"SPARE")</f>
        <v>*SOCKET0**CBB1**BASE**I_CCF**ENV3__CBREGS_ALL66__SPARE</v>
      </c>
      <c r="AH62">
        <f>COUNTIFS(cha_mc[TestName],misc[[#This Row],[LLC_MCA_String - Not Used]],cha_mc[VisualId],MC_Check!$H$2)</f>
        <v>0</v>
      </c>
    </row>
    <row r="63" spans="6:34" x14ac:dyDescent="0.3">
      <c r="F63">
        <v>1</v>
      </c>
      <c r="G63">
        <v>28</v>
      </c>
      <c r="H63" s="61">
        <f>IF(MC_Check!$AN$2="PHY",misc[[#This Row],[location]],misc[[#This Row],[Module_log]])</f>
        <v>28</v>
      </c>
      <c r="I63" s="61">
        <f>misc[[#This Row],[Module]]</f>
        <v>28</v>
      </c>
      <c r="J63" s="61">
        <f t="shared" si="1"/>
        <v>3</v>
      </c>
      <c r="K63" s="61">
        <f>K59+1</f>
        <v>7</v>
      </c>
      <c r="L63" s="61">
        <v>0</v>
      </c>
      <c r="M63" s="61" t="str">
        <f>_xlfn.TEXTJOIN("",,misc[[#This Row],[ROW]],misc[[#This Row],[ROW]])</f>
        <v>77</v>
      </c>
      <c r="N63" s="5" t="b">
        <f>misc[[#This Row],[Core_Hitter_Count]]&gt;0</f>
        <v>0</v>
      </c>
      <c r="O63" t="b">
        <f>misc[[#This Row],[LLC_Hitter_Count]]&gt;0</f>
        <v>0</v>
      </c>
      <c r="P63" t="b">
        <f>misc[[#This Row],[CHA_Hitter_Count]]&gt;0</f>
        <v>0</v>
      </c>
      <c r="Q63" t="str">
        <f>_xlfn.TEXTJOIN("",,"*SOCKET0**CBB",misc[[#This Row],[CBB]],"**BASE**I_CCF_ENV",misc[[#This Row],[ENV]],splitchar,"CBREGS_ALL",misc[[#This Row],[CBO]],splitchar,"MC_STATUS*")</f>
        <v>*SOCKET0**CBB1**BASE**I_CCF_ENV0__CBREGS_ALL77__MC_STATUS*</v>
      </c>
      <c r="R63">
        <f>COUNTIFS(cha_mc[TestName],misc[[#This Row],[CBO_MCA_String]],cha_mc[VisualId],MC_Check!$H$2)</f>
        <v>0</v>
      </c>
      <c r="S63" t="str">
        <f>_xlfn.TEXTJOIN("",,"*SOCKET0**CBB",misc[[#This Row],[CBB]],"**COMPUTE",misc[[#This Row],[Compute]],"**MODULE",misc[[#This Row],[Module]],splitchar,"**CORE**IFU*CR*MC0*STATUS**")</f>
        <v>*SOCKET0**CBB1**COMPUTE3**MODULE28__**CORE**IFU*CR*MC0*STATUS**</v>
      </c>
      <c r="T63">
        <f>COUNTIFS(core_mc[TestName],misc[[#This Row],[IFU_MCA_String]],core_mc[VisualId],MC_Check!$H$2)</f>
        <v>0</v>
      </c>
      <c r="U63" t="str">
        <f>_xlfn.TEXTJOIN("",,"*SOCKET0**CBB",misc[[#This Row],[CBB]],"**COMPUTE",misc[[#This Row],[Compute]],"**MODULE",misc[[#This Row],[Module]],splitchar,"**CORE**ROB1*CR*MC*STATUS**")</f>
        <v>*SOCKET0**CBB1**COMPUTE3**MODULE28__**CORE**ROB1*CR*MC*STATUS**</v>
      </c>
      <c r="V63">
        <f>COUNTIFS(core_mc[TestName],misc[[#This Row],[ROB_MCA_String]],core_mc[VisualId],MC_Check!$H$2)</f>
        <v>0</v>
      </c>
      <c r="W63" t="str">
        <f>_xlfn.TEXTJOIN("",,"*SOCKET0**CBB",misc[[#This Row],[CBB]],"**COMPUTE",misc[[#This Row],[Compute]],"**MODULE",misc[[#This Row],[Module]],splitchar,"**CORE**DCU*CR*MC1*STATUS**")</f>
        <v>*SOCKET0**CBB1**COMPUTE3**MODULE28__**CORE**DCU*CR*MC1*STATUS**</v>
      </c>
      <c r="X63">
        <f>COUNTIFS(core_mc[TestName],misc[[#This Row],[DCU_MCA_String]],core_mc[VisualId],MC_Check!$H$2)</f>
        <v>0</v>
      </c>
      <c r="Y63" t="str">
        <f>_xlfn.TEXTJOIN("",,"*SOCKET0**CBB",misc[[#This Row],[CBB]],"**COMPUTE",misc[[#This Row],[Compute]],"**MODULE",misc[[#This Row],[Module]],splitchar,"**CORE**DTLB*CR*MC2*STATUS**")</f>
        <v>*SOCKET0**CBB1**COMPUTE3**MODULE28__**CORE**DTLB*CR*MC2*STATUS**</v>
      </c>
      <c r="Z63">
        <f>COUNTIFS(core_mc[TestName],misc[[#This Row],[CORE_DTLB_String]],core_mc[VisualId],MC_Check!$H$2)</f>
        <v>0</v>
      </c>
      <c r="AA63" t="str">
        <f>_xlfn.TEXTJOIN("",,"*SOCKET0**CBB",misc[[#This Row],[CBB]],"**COMPUTE",misc[[#This Row],[Compute]],"**MODULE",misc[[#This Row],[Module]],splitchar,"**ML2*CR*MC3*STATUS**")</f>
        <v>*SOCKET0**CBB1**COMPUTE3**MODULE28__**ML2*CR*MC3*STATUS**</v>
      </c>
      <c r="AB63">
        <f>COUNTIFS(core_mc[TestName],misc[[#This Row],[Core_ML2_String]],core_mc[VisualId],MC_Check!$H$2)</f>
        <v>0</v>
      </c>
      <c r="AC63" t="str">
        <f>_xlfn.TEXTJOIN("",,"*SOCKET0**CBB",misc[[#This Row],[CBB]],"**COMPUTE",misc[[#This Row],[Compute]],"**MODULE",misc[[#This Row],[Module]],splitchar,"SPARE")</f>
        <v>*SOCKET0**CBB1**COMPUTE3**MODULE28__SPARE</v>
      </c>
      <c r="AD63">
        <f>COUNTIFS(core_mc[TestName],misc[[#This Row],[Core_L2_String - SPARE]],core_mc[VisualId],MC_Check!$H$2)</f>
        <v>0</v>
      </c>
      <c r="AE63">
        <f>misc[[#This Row],[Core_DTLB_Count]]+misc[[#This Row],[Core_DCU_Count]]+misc[[#This Row],[Core_IFU_Count]]+misc[[#This Row],[Core_ROB_Count]]+misc[[#This Row],[Core_L2_Count - SPARE]]+misc[[#This Row],[Core_ML2_Count]]</f>
        <v>0</v>
      </c>
      <c r="AF63" t="str">
        <f>_xlfn.TEXTJOIN(", ",,IF(misc[[#This Row],[Core_IFU_Count]]&gt;0,"IFU",""),IF(misc[[#This Row],[Core_DCU_Count]]&gt;0,"DCU",""),IF(misc[[#This Row],[Core_DTLB_Count]]&gt;0,"DTLB",""),IF(misc[[#This Row],[Core_ROB_Count]]&gt;0,"ROB",""),IF(misc[[#This Row],[Core_ML2_Count]]&gt;0,"ML2",""),IF(misc[[#This Row],[Core_L2_Count - SPARE]]&gt;0,"L2",""))</f>
        <v/>
      </c>
      <c r="AG63" t="str">
        <f>_xlfn.TEXTJOIN("",,"*SOCKET0**CBB",misc[[#This Row],[CBB]],"**BASE**I_CCF**ENV",misc[[#This Row],[ENV]],splitchar,"CBREGS_ALL",misc[[#This Row],[CBO]],splitchar,"SPARE")</f>
        <v>*SOCKET0**CBB1**BASE**I_CCF**ENV0__CBREGS_ALL77__SPARE</v>
      </c>
      <c r="AH63">
        <f>COUNTIFS(cha_mc[TestName],misc[[#This Row],[LLC_MCA_String - Not Used]],cha_mc[VisualId],MC_Check!$H$2)</f>
        <v>0</v>
      </c>
    </row>
    <row r="64" spans="6:34" x14ac:dyDescent="0.3">
      <c r="F64">
        <v>1</v>
      </c>
      <c r="G64">
        <v>29</v>
      </c>
      <c r="H64" s="61">
        <f>IF(MC_Check!$AN$2="PHY",misc[[#This Row],[location]],misc[[#This Row],[Module_log]])</f>
        <v>29</v>
      </c>
      <c r="I64" s="61">
        <f>misc[[#This Row],[Module]]</f>
        <v>29</v>
      </c>
      <c r="J64" s="61">
        <f t="shared" si="1"/>
        <v>3</v>
      </c>
      <c r="K64" s="61">
        <f t="shared" si="2"/>
        <v>7</v>
      </c>
      <c r="L64" s="61">
        <v>1</v>
      </c>
      <c r="M64" s="61" t="str">
        <f>_xlfn.TEXTJOIN("",,misc[[#This Row],[ROW]],misc[[#This Row],[ROW]])</f>
        <v>77</v>
      </c>
      <c r="N64" s="5" t="b">
        <f>misc[[#This Row],[Core_Hitter_Count]]&gt;0</f>
        <v>0</v>
      </c>
      <c r="O64" t="b">
        <f>misc[[#This Row],[LLC_Hitter_Count]]&gt;0</f>
        <v>0</v>
      </c>
      <c r="P64" t="b">
        <f>misc[[#This Row],[CHA_Hitter_Count]]&gt;0</f>
        <v>0</v>
      </c>
      <c r="Q64" t="str">
        <f>_xlfn.TEXTJOIN("",,"*SOCKET0**CBB",misc[[#This Row],[CBB]],"**BASE**I_CCF_ENV",misc[[#This Row],[ENV]],splitchar,"CBREGS_ALL",misc[[#This Row],[CBO]],splitchar,"MC_STATUS*")</f>
        <v>*SOCKET0**CBB1**BASE**I_CCF_ENV1__CBREGS_ALL77__MC_STATUS*</v>
      </c>
      <c r="R64">
        <f>COUNTIFS(cha_mc[TestName],misc[[#This Row],[CBO_MCA_String]],cha_mc[VisualId],MC_Check!$H$2)</f>
        <v>0</v>
      </c>
      <c r="S64" t="str">
        <f>_xlfn.TEXTJOIN("",,"*SOCKET0**CBB",misc[[#This Row],[CBB]],"**COMPUTE",misc[[#This Row],[Compute]],"**MODULE",misc[[#This Row],[Module]],splitchar,"**CORE**IFU*CR*MC0*STATUS**")</f>
        <v>*SOCKET0**CBB1**COMPUTE3**MODULE29__**CORE**IFU*CR*MC0*STATUS**</v>
      </c>
      <c r="T64">
        <f>COUNTIFS(core_mc[TestName],misc[[#This Row],[IFU_MCA_String]],core_mc[VisualId],MC_Check!$H$2)</f>
        <v>0</v>
      </c>
      <c r="U64" t="str">
        <f>_xlfn.TEXTJOIN("",,"*SOCKET0**CBB",misc[[#This Row],[CBB]],"**COMPUTE",misc[[#This Row],[Compute]],"**MODULE",misc[[#This Row],[Module]],splitchar,"**CORE**ROB1*CR*MC*STATUS**")</f>
        <v>*SOCKET0**CBB1**COMPUTE3**MODULE29__**CORE**ROB1*CR*MC*STATUS**</v>
      </c>
      <c r="V64">
        <f>COUNTIFS(core_mc[TestName],misc[[#This Row],[ROB_MCA_String]],core_mc[VisualId],MC_Check!$H$2)</f>
        <v>0</v>
      </c>
      <c r="W64" t="str">
        <f>_xlfn.TEXTJOIN("",,"*SOCKET0**CBB",misc[[#This Row],[CBB]],"**COMPUTE",misc[[#This Row],[Compute]],"**MODULE",misc[[#This Row],[Module]],splitchar,"**CORE**DCU*CR*MC1*STATUS**")</f>
        <v>*SOCKET0**CBB1**COMPUTE3**MODULE29__**CORE**DCU*CR*MC1*STATUS**</v>
      </c>
      <c r="X64">
        <f>COUNTIFS(core_mc[TestName],misc[[#This Row],[DCU_MCA_String]],core_mc[VisualId],MC_Check!$H$2)</f>
        <v>0</v>
      </c>
      <c r="Y64" t="str">
        <f>_xlfn.TEXTJOIN("",,"*SOCKET0**CBB",misc[[#This Row],[CBB]],"**COMPUTE",misc[[#This Row],[Compute]],"**MODULE",misc[[#This Row],[Module]],splitchar,"**CORE**DTLB*CR*MC2*STATUS**")</f>
        <v>*SOCKET0**CBB1**COMPUTE3**MODULE29__**CORE**DTLB*CR*MC2*STATUS**</v>
      </c>
      <c r="Z64">
        <f>COUNTIFS(core_mc[TestName],misc[[#This Row],[CORE_DTLB_String]],core_mc[VisualId],MC_Check!$H$2)</f>
        <v>0</v>
      </c>
      <c r="AA64" t="str">
        <f>_xlfn.TEXTJOIN("",,"*SOCKET0**CBB",misc[[#This Row],[CBB]],"**COMPUTE",misc[[#This Row],[Compute]],"**MODULE",misc[[#This Row],[Module]],splitchar,"**ML2*CR*MC3*STATUS**")</f>
        <v>*SOCKET0**CBB1**COMPUTE3**MODULE29__**ML2*CR*MC3*STATUS**</v>
      </c>
      <c r="AB64">
        <f>COUNTIFS(core_mc[TestName],misc[[#This Row],[Core_ML2_String]],core_mc[VisualId],MC_Check!$H$2)</f>
        <v>0</v>
      </c>
      <c r="AC64" t="str">
        <f>_xlfn.TEXTJOIN("",,"*SOCKET0**CBB",misc[[#This Row],[CBB]],"**COMPUTE",misc[[#This Row],[Compute]],"**MODULE",misc[[#This Row],[Module]],splitchar,"SPARE")</f>
        <v>*SOCKET0**CBB1**COMPUTE3**MODULE29__SPARE</v>
      </c>
      <c r="AD64">
        <f>COUNTIFS(core_mc[TestName],misc[[#This Row],[Core_L2_String - SPARE]],core_mc[VisualId],MC_Check!$H$2)</f>
        <v>0</v>
      </c>
      <c r="AE64">
        <f>misc[[#This Row],[Core_DTLB_Count]]+misc[[#This Row],[Core_DCU_Count]]+misc[[#This Row],[Core_IFU_Count]]+misc[[#This Row],[Core_ROB_Count]]+misc[[#This Row],[Core_L2_Count - SPARE]]+misc[[#This Row],[Core_ML2_Count]]</f>
        <v>0</v>
      </c>
      <c r="AF64" t="str">
        <f>_xlfn.TEXTJOIN(", ",,IF(misc[[#This Row],[Core_IFU_Count]]&gt;0,"IFU",""),IF(misc[[#This Row],[Core_DCU_Count]]&gt;0,"DCU",""),IF(misc[[#This Row],[Core_DTLB_Count]]&gt;0,"DTLB",""),IF(misc[[#This Row],[Core_ROB_Count]]&gt;0,"ROB",""),IF(misc[[#This Row],[Core_ML2_Count]]&gt;0,"ML2",""),IF(misc[[#This Row],[Core_L2_Count - SPARE]]&gt;0,"L2",""))</f>
        <v/>
      </c>
      <c r="AG64" t="str">
        <f>_xlfn.TEXTJOIN("",,"*SOCKET0**CBB",misc[[#This Row],[CBB]],"**BASE**I_CCF**ENV",misc[[#This Row],[ENV]],splitchar,"CBREGS_ALL",misc[[#This Row],[CBO]],splitchar,"SPARE")</f>
        <v>*SOCKET0**CBB1**BASE**I_CCF**ENV1__CBREGS_ALL77__SPARE</v>
      </c>
      <c r="AH64">
        <f>COUNTIFS(cha_mc[TestName],misc[[#This Row],[LLC_MCA_String - Not Used]],cha_mc[VisualId],MC_Check!$H$2)</f>
        <v>0</v>
      </c>
    </row>
    <row r="65" spans="6:34" x14ac:dyDescent="0.3">
      <c r="F65">
        <v>1</v>
      </c>
      <c r="G65">
        <v>30</v>
      </c>
      <c r="H65" s="61">
        <f>IF(MC_Check!$AN$2="PHY",misc[[#This Row],[location]],misc[[#This Row],[Module_log]])</f>
        <v>30</v>
      </c>
      <c r="I65" s="61">
        <f>misc[[#This Row],[Module]]</f>
        <v>30</v>
      </c>
      <c r="J65" s="61">
        <f t="shared" si="1"/>
        <v>3</v>
      </c>
      <c r="K65" s="61">
        <f t="shared" si="2"/>
        <v>7</v>
      </c>
      <c r="L65" s="61">
        <v>2</v>
      </c>
      <c r="M65" s="61" t="str">
        <f>_xlfn.TEXTJOIN("",,misc[[#This Row],[ROW]],misc[[#This Row],[ROW]])</f>
        <v>77</v>
      </c>
      <c r="N65" s="5" t="b">
        <f>misc[[#This Row],[Core_Hitter_Count]]&gt;0</f>
        <v>0</v>
      </c>
      <c r="O65" t="b">
        <f>misc[[#This Row],[LLC_Hitter_Count]]&gt;0</f>
        <v>0</v>
      </c>
      <c r="P65" t="b">
        <f>misc[[#This Row],[CHA_Hitter_Count]]&gt;0</f>
        <v>0</v>
      </c>
      <c r="Q65" t="str">
        <f>_xlfn.TEXTJOIN("",,"*SOCKET0**CBB",misc[[#This Row],[CBB]],"**BASE**I_CCF_ENV",misc[[#This Row],[ENV]],splitchar,"CBREGS_ALL",misc[[#This Row],[CBO]],splitchar,"MC_STATUS*")</f>
        <v>*SOCKET0**CBB1**BASE**I_CCF_ENV2__CBREGS_ALL77__MC_STATUS*</v>
      </c>
      <c r="R65">
        <f>COUNTIFS(cha_mc[TestName],misc[[#This Row],[CBO_MCA_String]],cha_mc[VisualId],MC_Check!$H$2)</f>
        <v>0</v>
      </c>
      <c r="S65" t="str">
        <f>_xlfn.TEXTJOIN("",,"*SOCKET0**CBB",misc[[#This Row],[CBB]],"**COMPUTE",misc[[#This Row],[Compute]],"**MODULE",misc[[#This Row],[Module]],splitchar,"**CORE**IFU*CR*MC0*STATUS**")</f>
        <v>*SOCKET0**CBB1**COMPUTE3**MODULE30__**CORE**IFU*CR*MC0*STATUS**</v>
      </c>
      <c r="T65">
        <f>COUNTIFS(core_mc[TestName],misc[[#This Row],[IFU_MCA_String]],core_mc[VisualId],MC_Check!$H$2)</f>
        <v>0</v>
      </c>
      <c r="U65" t="str">
        <f>_xlfn.TEXTJOIN("",,"*SOCKET0**CBB",misc[[#This Row],[CBB]],"**COMPUTE",misc[[#This Row],[Compute]],"**MODULE",misc[[#This Row],[Module]],splitchar,"**CORE**ROB1*CR*MC*STATUS**")</f>
        <v>*SOCKET0**CBB1**COMPUTE3**MODULE30__**CORE**ROB1*CR*MC*STATUS**</v>
      </c>
      <c r="V65">
        <f>COUNTIFS(core_mc[TestName],misc[[#This Row],[ROB_MCA_String]],core_mc[VisualId],MC_Check!$H$2)</f>
        <v>0</v>
      </c>
      <c r="W65" t="str">
        <f>_xlfn.TEXTJOIN("",,"*SOCKET0**CBB",misc[[#This Row],[CBB]],"**COMPUTE",misc[[#This Row],[Compute]],"**MODULE",misc[[#This Row],[Module]],splitchar,"**CORE**DCU*CR*MC1*STATUS**")</f>
        <v>*SOCKET0**CBB1**COMPUTE3**MODULE30__**CORE**DCU*CR*MC1*STATUS**</v>
      </c>
      <c r="X65">
        <f>COUNTIFS(core_mc[TestName],misc[[#This Row],[DCU_MCA_String]],core_mc[VisualId],MC_Check!$H$2)</f>
        <v>0</v>
      </c>
      <c r="Y65" t="str">
        <f>_xlfn.TEXTJOIN("",,"*SOCKET0**CBB",misc[[#This Row],[CBB]],"**COMPUTE",misc[[#This Row],[Compute]],"**MODULE",misc[[#This Row],[Module]],splitchar,"**CORE**DTLB*CR*MC2*STATUS**")</f>
        <v>*SOCKET0**CBB1**COMPUTE3**MODULE30__**CORE**DTLB*CR*MC2*STATUS**</v>
      </c>
      <c r="Z65">
        <f>COUNTIFS(core_mc[TestName],misc[[#This Row],[CORE_DTLB_String]],core_mc[VisualId],MC_Check!$H$2)</f>
        <v>0</v>
      </c>
      <c r="AA65" t="str">
        <f>_xlfn.TEXTJOIN("",,"*SOCKET0**CBB",misc[[#This Row],[CBB]],"**COMPUTE",misc[[#This Row],[Compute]],"**MODULE",misc[[#This Row],[Module]],splitchar,"**ML2*CR*MC3*STATUS**")</f>
        <v>*SOCKET0**CBB1**COMPUTE3**MODULE30__**ML2*CR*MC3*STATUS**</v>
      </c>
      <c r="AB65">
        <f>COUNTIFS(core_mc[TestName],misc[[#This Row],[Core_ML2_String]],core_mc[VisualId],MC_Check!$H$2)</f>
        <v>0</v>
      </c>
      <c r="AC65" t="str">
        <f>_xlfn.TEXTJOIN("",,"*SOCKET0**CBB",misc[[#This Row],[CBB]],"**COMPUTE",misc[[#This Row],[Compute]],"**MODULE",misc[[#This Row],[Module]],splitchar,"SPARE")</f>
        <v>*SOCKET0**CBB1**COMPUTE3**MODULE30__SPARE</v>
      </c>
      <c r="AD65">
        <f>COUNTIFS(core_mc[TestName],misc[[#This Row],[Core_L2_String - SPARE]],core_mc[VisualId],MC_Check!$H$2)</f>
        <v>0</v>
      </c>
      <c r="AE65">
        <f>misc[[#This Row],[Core_DTLB_Count]]+misc[[#This Row],[Core_DCU_Count]]+misc[[#This Row],[Core_IFU_Count]]+misc[[#This Row],[Core_ROB_Count]]+misc[[#This Row],[Core_L2_Count - SPARE]]+misc[[#This Row],[Core_ML2_Count]]</f>
        <v>0</v>
      </c>
      <c r="AF65" t="str">
        <f>_xlfn.TEXTJOIN(", ",,IF(misc[[#This Row],[Core_IFU_Count]]&gt;0,"IFU",""),IF(misc[[#This Row],[Core_DCU_Count]]&gt;0,"DCU",""),IF(misc[[#This Row],[Core_DTLB_Count]]&gt;0,"DTLB",""),IF(misc[[#This Row],[Core_ROB_Count]]&gt;0,"ROB",""),IF(misc[[#This Row],[Core_ML2_Count]]&gt;0,"ML2",""),IF(misc[[#This Row],[Core_L2_Count - SPARE]]&gt;0,"L2",""))</f>
        <v/>
      </c>
      <c r="AG65" t="str">
        <f>_xlfn.TEXTJOIN("",,"*SOCKET0**CBB",misc[[#This Row],[CBB]],"**BASE**I_CCF**ENV",misc[[#This Row],[ENV]],splitchar,"CBREGS_ALL",misc[[#This Row],[CBO]],splitchar,"SPARE")</f>
        <v>*SOCKET0**CBB1**BASE**I_CCF**ENV2__CBREGS_ALL77__SPARE</v>
      </c>
      <c r="AH65">
        <f>COUNTIFS(cha_mc[TestName],misc[[#This Row],[LLC_MCA_String - Not Used]],cha_mc[VisualId],MC_Check!$H$2)</f>
        <v>0</v>
      </c>
    </row>
    <row r="66" spans="6:34" x14ac:dyDescent="0.3">
      <c r="F66">
        <v>1</v>
      </c>
      <c r="G66">
        <v>31</v>
      </c>
      <c r="H66" s="61">
        <f>IF(MC_Check!$AN$2="PHY",misc[[#This Row],[location]],misc[[#This Row],[Module_log]])</f>
        <v>31</v>
      </c>
      <c r="I66" s="61">
        <f>misc[[#This Row],[Module]]</f>
        <v>31</v>
      </c>
      <c r="J66" s="61">
        <f t="shared" si="1"/>
        <v>3</v>
      </c>
      <c r="K66" s="61">
        <f t="shared" si="2"/>
        <v>7</v>
      </c>
      <c r="L66" s="61">
        <v>3</v>
      </c>
      <c r="M66" s="61" t="str">
        <f>_xlfn.TEXTJOIN("",,misc[[#This Row],[ROW]],misc[[#This Row],[ROW]])</f>
        <v>77</v>
      </c>
      <c r="N66" s="5" t="b">
        <f>misc[[#This Row],[Core_Hitter_Count]]&gt;0</f>
        <v>0</v>
      </c>
      <c r="O66" t="b">
        <f>misc[[#This Row],[LLC_Hitter_Count]]&gt;0</f>
        <v>0</v>
      </c>
      <c r="P66" t="b">
        <f>misc[[#This Row],[CHA_Hitter_Count]]&gt;0</f>
        <v>0</v>
      </c>
      <c r="Q66" t="str">
        <f>_xlfn.TEXTJOIN("",,"*SOCKET0**CBB",misc[[#This Row],[CBB]],"**BASE**I_CCF_ENV",misc[[#This Row],[ENV]],splitchar,"CBREGS_ALL",misc[[#This Row],[CBO]],splitchar,"MC_STATUS*")</f>
        <v>*SOCKET0**CBB1**BASE**I_CCF_ENV3__CBREGS_ALL77__MC_STATUS*</v>
      </c>
      <c r="R66">
        <f>COUNTIFS(cha_mc[TestName],misc[[#This Row],[CBO_MCA_String]],cha_mc[VisualId],MC_Check!$H$2)</f>
        <v>0</v>
      </c>
      <c r="S66" t="str">
        <f>_xlfn.TEXTJOIN("",,"*SOCKET0**CBB",misc[[#This Row],[CBB]],"**COMPUTE",misc[[#This Row],[Compute]],"**MODULE",misc[[#This Row],[Module]],splitchar,"**CORE**IFU*CR*MC0*STATUS**")</f>
        <v>*SOCKET0**CBB1**COMPUTE3**MODULE31__**CORE**IFU*CR*MC0*STATUS**</v>
      </c>
      <c r="T66">
        <f>COUNTIFS(core_mc[TestName],misc[[#This Row],[IFU_MCA_String]],core_mc[VisualId],MC_Check!$H$2)</f>
        <v>0</v>
      </c>
      <c r="U66" t="str">
        <f>_xlfn.TEXTJOIN("",,"*SOCKET0**CBB",misc[[#This Row],[CBB]],"**COMPUTE",misc[[#This Row],[Compute]],"**MODULE",misc[[#This Row],[Module]],splitchar,"**CORE**ROB1*CR*MC*STATUS**")</f>
        <v>*SOCKET0**CBB1**COMPUTE3**MODULE31__**CORE**ROB1*CR*MC*STATUS**</v>
      </c>
      <c r="V66">
        <f>COUNTIFS(core_mc[TestName],misc[[#This Row],[ROB_MCA_String]],core_mc[VisualId],MC_Check!$H$2)</f>
        <v>0</v>
      </c>
      <c r="W66" t="str">
        <f>_xlfn.TEXTJOIN("",,"*SOCKET0**CBB",misc[[#This Row],[CBB]],"**COMPUTE",misc[[#This Row],[Compute]],"**MODULE",misc[[#This Row],[Module]],splitchar,"**CORE**DCU*CR*MC1*STATUS**")</f>
        <v>*SOCKET0**CBB1**COMPUTE3**MODULE31__**CORE**DCU*CR*MC1*STATUS**</v>
      </c>
      <c r="X66">
        <f>COUNTIFS(core_mc[TestName],misc[[#This Row],[DCU_MCA_String]],core_mc[VisualId],MC_Check!$H$2)</f>
        <v>0</v>
      </c>
      <c r="Y66" t="str">
        <f>_xlfn.TEXTJOIN("",,"*SOCKET0**CBB",misc[[#This Row],[CBB]],"**COMPUTE",misc[[#This Row],[Compute]],"**MODULE",misc[[#This Row],[Module]],splitchar,"**CORE**DTLB*CR*MC2*STATUS**")</f>
        <v>*SOCKET0**CBB1**COMPUTE3**MODULE31__**CORE**DTLB*CR*MC2*STATUS**</v>
      </c>
      <c r="Z66">
        <f>COUNTIFS(core_mc[TestName],misc[[#This Row],[CORE_DTLB_String]],core_mc[VisualId],MC_Check!$H$2)</f>
        <v>0</v>
      </c>
      <c r="AA66" t="str">
        <f>_xlfn.TEXTJOIN("",,"*SOCKET0**CBB",misc[[#This Row],[CBB]],"**COMPUTE",misc[[#This Row],[Compute]],"**MODULE",misc[[#This Row],[Module]],splitchar,"**ML2*CR*MC3*STATUS**")</f>
        <v>*SOCKET0**CBB1**COMPUTE3**MODULE31__**ML2*CR*MC3*STATUS**</v>
      </c>
      <c r="AB66">
        <f>COUNTIFS(core_mc[TestName],misc[[#This Row],[Core_ML2_String]],core_mc[VisualId],MC_Check!$H$2)</f>
        <v>0</v>
      </c>
      <c r="AC66" t="str">
        <f>_xlfn.TEXTJOIN("",,"*SOCKET0**CBB",misc[[#This Row],[CBB]],"**COMPUTE",misc[[#This Row],[Compute]],"**MODULE",misc[[#This Row],[Module]],splitchar,"SPARE")</f>
        <v>*SOCKET0**CBB1**COMPUTE3**MODULE31__SPARE</v>
      </c>
      <c r="AD66">
        <f>COUNTIFS(core_mc[TestName],misc[[#This Row],[Core_L2_String - SPARE]],core_mc[VisualId],MC_Check!$H$2)</f>
        <v>0</v>
      </c>
      <c r="AE66">
        <f>misc[[#This Row],[Core_DTLB_Count]]+misc[[#This Row],[Core_DCU_Count]]+misc[[#This Row],[Core_IFU_Count]]+misc[[#This Row],[Core_ROB_Count]]+misc[[#This Row],[Core_L2_Count - SPARE]]+misc[[#This Row],[Core_ML2_Count]]</f>
        <v>0</v>
      </c>
      <c r="AF66" t="str">
        <f>_xlfn.TEXTJOIN(", ",,IF(misc[[#This Row],[Core_IFU_Count]]&gt;0,"IFU",""),IF(misc[[#This Row],[Core_DCU_Count]]&gt;0,"DCU",""),IF(misc[[#This Row],[Core_DTLB_Count]]&gt;0,"DTLB",""),IF(misc[[#This Row],[Core_ROB_Count]]&gt;0,"ROB",""),IF(misc[[#This Row],[Core_ML2_Count]]&gt;0,"ML2",""),IF(misc[[#This Row],[Core_L2_Count - SPARE]]&gt;0,"L2",""))</f>
        <v/>
      </c>
      <c r="AG66" t="str">
        <f>_xlfn.TEXTJOIN("",,"*SOCKET0**CBB",misc[[#This Row],[CBB]],"**BASE**I_CCF**ENV",misc[[#This Row],[ENV]],splitchar,"CBREGS_ALL",misc[[#This Row],[CBO]],splitchar,"SPARE")</f>
        <v>*SOCKET0**CBB1**BASE**I_CCF**ENV3__CBREGS_ALL77__SPARE</v>
      </c>
      <c r="AH66">
        <f>COUNTIFS(cha_mc[TestName],misc[[#This Row],[LLC_MCA_String - Not Used]],cha_mc[VisualId],MC_Check!$H$2)</f>
        <v>0</v>
      </c>
    </row>
    <row r="67" spans="6:34" x14ac:dyDescent="0.3">
      <c r="F67">
        <v>2</v>
      </c>
      <c r="G67">
        <v>0</v>
      </c>
      <c r="H67" s="61">
        <f>IF(MC_Check!$AN$2="PHY",misc[[#This Row],[location]],misc[[#This Row],[Module_log]])</f>
        <v>0</v>
      </c>
      <c r="I67" s="61">
        <f>misc[[#This Row],[Module]]</f>
        <v>0</v>
      </c>
      <c r="J67" s="61">
        <v>0</v>
      </c>
      <c r="K67" s="61">
        <v>0</v>
      </c>
      <c r="L67" s="61">
        <v>0</v>
      </c>
      <c r="M67" s="61" t="str">
        <f>_xlfn.TEXTJOIN("",,misc[[#This Row],[ROW]],misc[[#This Row],[ROW]])</f>
        <v>00</v>
      </c>
      <c r="N67" s="5" t="b">
        <f>misc[[#This Row],[Core_Hitter_Count]]&gt;0</f>
        <v>0</v>
      </c>
      <c r="O67" t="b">
        <f>misc[[#This Row],[LLC_Hitter_Count]]&gt;0</f>
        <v>0</v>
      </c>
      <c r="P67" t="b">
        <f>misc[[#This Row],[CHA_Hitter_Count]]&gt;0</f>
        <v>0</v>
      </c>
      <c r="Q67" t="str">
        <f>_xlfn.TEXTJOIN("",,"*SOCKET0**CBB",misc[[#This Row],[CBB]],"**BASE**I_CCF_ENV",misc[[#This Row],[ENV]],splitchar,"CBREGS_ALL",misc[[#This Row],[CBO]],splitchar,"MC_STATUS*")</f>
        <v>*SOCKET0**CBB2**BASE**I_CCF_ENV0__CBREGS_ALL00__MC_STATUS*</v>
      </c>
      <c r="R67">
        <f>COUNTIFS(cha_mc[TestName],misc[[#This Row],[CBO_MCA_String]],cha_mc[VisualId],MC_Check!$H$2)</f>
        <v>0</v>
      </c>
      <c r="S67" t="str">
        <f>_xlfn.TEXTJOIN("",,"*SOCKET0**CBB",misc[[#This Row],[CBB]],"**COMPUTE",misc[[#This Row],[Compute]],"**MODULE",misc[[#This Row],[Module]],splitchar,"**CORE**IFU*CR*MC0*STATUS**")</f>
        <v>*SOCKET0**CBB2**COMPUTE0**MODULE0__**CORE**IFU*CR*MC0*STATUS**</v>
      </c>
      <c r="T67">
        <f>COUNTIFS(core_mc[TestName],misc[[#This Row],[IFU_MCA_String]],core_mc[VisualId],MC_Check!$H$2)</f>
        <v>0</v>
      </c>
      <c r="U67" t="str">
        <f>_xlfn.TEXTJOIN("",,"*SOCKET0**CBB",misc[[#This Row],[CBB]],"**COMPUTE",misc[[#This Row],[Compute]],"**MODULE",misc[[#This Row],[Module]],splitchar,"**CORE**ROB1*CR*MC*STATUS**")</f>
        <v>*SOCKET0**CBB2**COMPUTE0**MODULE0__**CORE**ROB1*CR*MC*STATUS**</v>
      </c>
      <c r="V67">
        <f>COUNTIFS(core_mc[TestName],misc[[#This Row],[ROB_MCA_String]],core_mc[VisualId],MC_Check!$H$2)</f>
        <v>0</v>
      </c>
      <c r="W67" t="str">
        <f>_xlfn.TEXTJOIN("",,"*SOCKET0**CBB",misc[[#This Row],[CBB]],"**COMPUTE",misc[[#This Row],[Compute]],"**MODULE",misc[[#This Row],[Module]],splitchar,"**CORE**DCU*CR*MC1*STATUS**")</f>
        <v>*SOCKET0**CBB2**COMPUTE0**MODULE0__**CORE**DCU*CR*MC1*STATUS**</v>
      </c>
      <c r="X67">
        <f>COUNTIFS(core_mc[TestName],misc[[#This Row],[DCU_MCA_String]],core_mc[VisualId],MC_Check!$H$2)</f>
        <v>0</v>
      </c>
      <c r="Y67" t="str">
        <f>_xlfn.TEXTJOIN("",,"*SOCKET0**CBB",misc[[#This Row],[CBB]],"**COMPUTE",misc[[#This Row],[Compute]],"**MODULE",misc[[#This Row],[Module]],splitchar,"**CORE**DTLB*CR*MC2*STATUS**")</f>
        <v>*SOCKET0**CBB2**COMPUTE0**MODULE0__**CORE**DTLB*CR*MC2*STATUS**</v>
      </c>
      <c r="Z67">
        <f>COUNTIFS(core_mc[TestName],misc[[#This Row],[CORE_DTLB_String]],core_mc[VisualId],MC_Check!$H$2)</f>
        <v>0</v>
      </c>
      <c r="AA67" t="str">
        <f>_xlfn.TEXTJOIN("",,"*SOCKET0**CBB",misc[[#This Row],[CBB]],"**COMPUTE",misc[[#This Row],[Compute]],"**MODULE",misc[[#This Row],[Module]],splitchar,"**ML2*CR*MC3*STATUS**")</f>
        <v>*SOCKET0**CBB2**COMPUTE0**MODULE0__**ML2*CR*MC3*STATUS**</v>
      </c>
      <c r="AB67">
        <f>COUNTIFS(core_mc[TestName],misc[[#This Row],[Core_ML2_String]],core_mc[VisualId],MC_Check!$H$2)</f>
        <v>0</v>
      </c>
      <c r="AC67" t="str">
        <f>_xlfn.TEXTJOIN("",,"*SOCKET0**CBB",misc[[#This Row],[CBB]],"**COMPUTE",misc[[#This Row],[Compute]],"**MODULE",misc[[#This Row],[Module]],splitchar,"SPARE")</f>
        <v>*SOCKET0**CBB2**COMPUTE0**MODULE0__SPARE</v>
      </c>
      <c r="AD67">
        <f>COUNTIFS(core_mc[TestName],misc[[#This Row],[Core_L2_String - SPARE]],core_mc[VisualId],MC_Check!$H$2)</f>
        <v>0</v>
      </c>
      <c r="AE67">
        <f>misc[[#This Row],[Core_DTLB_Count]]+misc[[#This Row],[Core_DCU_Count]]+misc[[#This Row],[Core_IFU_Count]]+misc[[#This Row],[Core_ROB_Count]]+misc[[#This Row],[Core_L2_Count - SPARE]]+misc[[#This Row],[Core_ML2_Count]]</f>
        <v>0</v>
      </c>
      <c r="AF67" t="str">
        <f>_xlfn.TEXTJOIN(", ",,IF(misc[[#This Row],[Core_IFU_Count]]&gt;0,"IFU",""),IF(misc[[#This Row],[Core_DCU_Count]]&gt;0,"DCU",""),IF(misc[[#This Row],[Core_DTLB_Count]]&gt;0,"DTLB",""),IF(misc[[#This Row],[Core_ROB_Count]]&gt;0,"ROB",""),IF(misc[[#This Row],[Core_ML2_Count]]&gt;0,"ML2",""),IF(misc[[#This Row],[Core_L2_Count - SPARE]]&gt;0,"L2",""))</f>
        <v/>
      </c>
      <c r="AG67" t="str">
        <f>_xlfn.TEXTJOIN("",,"*SOCKET0**CBB",misc[[#This Row],[CBB]],"**BASE**I_CCF**ENV",misc[[#This Row],[ENV]],splitchar,"CBREGS_ALL",misc[[#This Row],[CBO]],splitchar,"SPARE")</f>
        <v>*SOCKET0**CBB2**BASE**I_CCF**ENV0__CBREGS_ALL00__SPARE</v>
      </c>
      <c r="AH67">
        <f>COUNTIFS(cha_mc[TestName],misc[[#This Row],[LLC_MCA_String - Not Used]],cha_mc[VisualId],MC_Check!$H$2)</f>
        <v>0</v>
      </c>
    </row>
    <row r="68" spans="6:34" x14ac:dyDescent="0.3">
      <c r="F68">
        <v>2</v>
      </c>
      <c r="G68">
        <v>1</v>
      </c>
      <c r="H68" s="61">
        <f>IF(MC_Check!$AN$2="PHY",misc[[#This Row],[location]],misc[[#This Row],[Module_log]])</f>
        <v>1</v>
      </c>
      <c r="I68" s="61">
        <f>misc[[#This Row],[Module]]</f>
        <v>1</v>
      </c>
      <c r="J68" s="61">
        <v>0</v>
      </c>
      <c r="K68" s="61">
        <v>0</v>
      </c>
      <c r="L68" s="61">
        <v>1</v>
      </c>
      <c r="M68" s="61" t="str">
        <f>_xlfn.TEXTJOIN("",,misc[[#This Row],[ROW]],misc[[#This Row],[ROW]])</f>
        <v>00</v>
      </c>
      <c r="N68" s="5" t="b">
        <f>misc[[#This Row],[Core_Hitter_Count]]&gt;0</f>
        <v>0</v>
      </c>
      <c r="O68" t="b">
        <f>misc[[#This Row],[LLC_Hitter_Count]]&gt;0</f>
        <v>0</v>
      </c>
      <c r="P68" t="b">
        <f>misc[[#This Row],[CHA_Hitter_Count]]&gt;0</f>
        <v>0</v>
      </c>
      <c r="Q68" t="str">
        <f>_xlfn.TEXTJOIN("",,"*SOCKET0**CBB",misc[[#This Row],[CBB]],"**BASE**I_CCF_ENV",misc[[#This Row],[ENV]],splitchar,"CBREGS_ALL",misc[[#This Row],[CBO]],splitchar,"MC_STATUS*")</f>
        <v>*SOCKET0**CBB2**BASE**I_CCF_ENV1__CBREGS_ALL00__MC_STATUS*</v>
      </c>
      <c r="R68">
        <f>COUNTIFS(cha_mc[TestName],misc[[#This Row],[CBO_MCA_String]],cha_mc[VisualId],MC_Check!$H$2)</f>
        <v>0</v>
      </c>
      <c r="S68" t="str">
        <f>_xlfn.TEXTJOIN("",,"*SOCKET0**CBB",misc[[#This Row],[CBB]],"**COMPUTE",misc[[#This Row],[Compute]],"**MODULE",misc[[#This Row],[Module]],splitchar,"**CORE**IFU*CR*MC0*STATUS**")</f>
        <v>*SOCKET0**CBB2**COMPUTE0**MODULE1__**CORE**IFU*CR*MC0*STATUS**</v>
      </c>
      <c r="T68">
        <f>COUNTIFS(core_mc[TestName],misc[[#This Row],[IFU_MCA_String]],core_mc[VisualId],MC_Check!$H$2)</f>
        <v>0</v>
      </c>
      <c r="U68" t="str">
        <f>_xlfn.TEXTJOIN("",,"*SOCKET0**CBB",misc[[#This Row],[CBB]],"**COMPUTE",misc[[#This Row],[Compute]],"**MODULE",misc[[#This Row],[Module]],splitchar,"**CORE**ROB1*CR*MC*STATUS**")</f>
        <v>*SOCKET0**CBB2**COMPUTE0**MODULE1__**CORE**ROB1*CR*MC*STATUS**</v>
      </c>
      <c r="V68">
        <f>COUNTIFS(core_mc[TestName],misc[[#This Row],[ROB_MCA_String]],core_mc[VisualId],MC_Check!$H$2)</f>
        <v>0</v>
      </c>
      <c r="W68" t="str">
        <f>_xlfn.TEXTJOIN("",,"*SOCKET0**CBB",misc[[#This Row],[CBB]],"**COMPUTE",misc[[#This Row],[Compute]],"**MODULE",misc[[#This Row],[Module]],splitchar,"**CORE**DCU*CR*MC1*STATUS**")</f>
        <v>*SOCKET0**CBB2**COMPUTE0**MODULE1__**CORE**DCU*CR*MC1*STATUS**</v>
      </c>
      <c r="X68">
        <f>COUNTIFS(core_mc[TestName],misc[[#This Row],[DCU_MCA_String]],core_mc[VisualId],MC_Check!$H$2)</f>
        <v>0</v>
      </c>
      <c r="Y68" t="str">
        <f>_xlfn.TEXTJOIN("",,"*SOCKET0**CBB",misc[[#This Row],[CBB]],"**COMPUTE",misc[[#This Row],[Compute]],"**MODULE",misc[[#This Row],[Module]],splitchar,"**CORE**DTLB*CR*MC2*STATUS**")</f>
        <v>*SOCKET0**CBB2**COMPUTE0**MODULE1__**CORE**DTLB*CR*MC2*STATUS**</v>
      </c>
      <c r="Z68">
        <f>COUNTIFS(core_mc[TestName],misc[[#This Row],[CORE_DTLB_String]],core_mc[VisualId],MC_Check!$H$2)</f>
        <v>0</v>
      </c>
      <c r="AA68" t="str">
        <f>_xlfn.TEXTJOIN("",,"*SOCKET0**CBB",misc[[#This Row],[CBB]],"**COMPUTE",misc[[#This Row],[Compute]],"**MODULE",misc[[#This Row],[Module]],splitchar,"**ML2*CR*MC3*STATUS**")</f>
        <v>*SOCKET0**CBB2**COMPUTE0**MODULE1__**ML2*CR*MC3*STATUS**</v>
      </c>
      <c r="AB68">
        <f>COUNTIFS(core_mc[TestName],misc[[#This Row],[Core_ML2_String]],core_mc[VisualId],MC_Check!$H$2)</f>
        <v>0</v>
      </c>
      <c r="AC68" t="str">
        <f>_xlfn.TEXTJOIN("",,"*SOCKET0**CBB",misc[[#This Row],[CBB]],"**COMPUTE",misc[[#This Row],[Compute]],"**MODULE",misc[[#This Row],[Module]],splitchar,"SPARE")</f>
        <v>*SOCKET0**CBB2**COMPUTE0**MODULE1__SPARE</v>
      </c>
      <c r="AD68">
        <f>COUNTIFS(core_mc[TestName],misc[[#This Row],[Core_L2_String - SPARE]],core_mc[VisualId],MC_Check!$H$2)</f>
        <v>0</v>
      </c>
      <c r="AE68">
        <f>misc[[#This Row],[Core_DTLB_Count]]+misc[[#This Row],[Core_DCU_Count]]+misc[[#This Row],[Core_IFU_Count]]+misc[[#This Row],[Core_ROB_Count]]+misc[[#This Row],[Core_L2_Count - SPARE]]+misc[[#This Row],[Core_ML2_Count]]</f>
        <v>0</v>
      </c>
      <c r="AF68" t="str">
        <f>_xlfn.TEXTJOIN(", ",,IF(misc[[#This Row],[Core_IFU_Count]]&gt;0,"IFU",""),IF(misc[[#This Row],[Core_DCU_Count]]&gt;0,"DCU",""),IF(misc[[#This Row],[Core_DTLB_Count]]&gt;0,"DTLB",""),IF(misc[[#This Row],[Core_ROB_Count]]&gt;0,"ROB",""),IF(misc[[#This Row],[Core_ML2_Count]]&gt;0,"ML2",""),IF(misc[[#This Row],[Core_L2_Count - SPARE]]&gt;0,"L2",""))</f>
        <v/>
      </c>
      <c r="AG68" t="str">
        <f>_xlfn.TEXTJOIN("",,"*SOCKET0**CBB",misc[[#This Row],[CBB]],"**BASE**I_CCF**ENV",misc[[#This Row],[ENV]],splitchar,"CBREGS_ALL",misc[[#This Row],[CBO]],splitchar,"SPARE")</f>
        <v>*SOCKET0**CBB2**BASE**I_CCF**ENV1__CBREGS_ALL00__SPARE</v>
      </c>
      <c r="AH68">
        <f>COUNTIFS(cha_mc[TestName],misc[[#This Row],[LLC_MCA_String - Not Used]],cha_mc[VisualId],MC_Check!$H$2)</f>
        <v>0</v>
      </c>
    </row>
    <row r="69" spans="6:34" x14ac:dyDescent="0.3">
      <c r="F69">
        <v>2</v>
      </c>
      <c r="G69">
        <v>2</v>
      </c>
      <c r="H69" s="61">
        <f>IF(MC_Check!$AN$2="PHY",misc[[#This Row],[location]],misc[[#This Row],[Module_log]])</f>
        <v>2</v>
      </c>
      <c r="I69" s="61">
        <f>misc[[#This Row],[Module]]</f>
        <v>2</v>
      </c>
      <c r="J69" s="61">
        <v>0</v>
      </c>
      <c r="K69" s="61">
        <v>0</v>
      </c>
      <c r="L69" s="61">
        <v>2</v>
      </c>
      <c r="M69" s="61" t="str">
        <f>_xlfn.TEXTJOIN("",,misc[[#This Row],[ROW]],misc[[#This Row],[ROW]])</f>
        <v>00</v>
      </c>
      <c r="N69" s="5" t="b">
        <f>misc[[#This Row],[Core_Hitter_Count]]&gt;0</f>
        <v>0</v>
      </c>
      <c r="O69" t="b">
        <f>misc[[#This Row],[LLC_Hitter_Count]]&gt;0</f>
        <v>0</v>
      </c>
      <c r="P69" t="b">
        <f>misc[[#This Row],[CHA_Hitter_Count]]&gt;0</f>
        <v>0</v>
      </c>
      <c r="Q69" t="str">
        <f>_xlfn.TEXTJOIN("",,"*SOCKET0**CBB",misc[[#This Row],[CBB]],"**BASE**I_CCF_ENV",misc[[#This Row],[ENV]],splitchar,"CBREGS_ALL",misc[[#This Row],[CBO]],splitchar,"MC_STATUS*")</f>
        <v>*SOCKET0**CBB2**BASE**I_CCF_ENV2__CBREGS_ALL00__MC_STATUS*</v>
      </c>
      <c r="R69">
        <f>COUNTIFS(cha_mc[TestName],misc[[#This Row],[CBO_MCA_String]],cha_mc[VisualId],MC_Check!$H$2)</f>
        <v>0</v>
      </c>
      <c r="S69" t="str">
        <f>_xlfn.TEXTJOIN("",,"*SOCKET0**CBB",misc[[#This Row],[CBB]],"**COMPUTE",misc[[#This Row],[Compute]],"**MODULE",misc[[#This Row],[Module]],splitchar,"**CORE**IFU*CR*MC0*STATUS**")</f>
        <v>*SOCKET0**CBB2**COMPUTE0**MODULE2__**CORE**IFU*CR*MC0*STATUS**</v>
      </c>
      <c r="T69">
        <f>COUNTIFS(core_mc[TestName],misc[[#This Row],[IFU_MCA_String]],core_mc[VisualId],MC_Check!$H$2)</f>
        <v>0</v>
      </c>
      <c r="U69" t="str">
        <f>_xlfn.TEXTJOIN("",,"*SOCKET0**CBB",misc[[#This Row],[CBB]],"**COMPUTE",misc[[#This Row],[Compute]],"**MODULE",misc[[#This Row],[Module]],splitchar,"**CORE**ROB1*CR*MC*STATUS**")</f>
        <v>*SOCKET0**CBB2**COMPUTE0**MODULE2__**CORE**ROB1*CR*MC*STATUS**</v>
      </c>
      <c r="V69">
        <f>COUNTIFS(core_mc[TestName],misc[[#This Row],[ROB_MCA_String]],core_mc[VisualId],MC_Check!$H$2)</f>
        <v>0</v>
      </c>
      <c r="W69" t="str">
        <f>_xlfn.TEXTJOIN("",,"*SOCKET0**CBB",misc[[#This Row],[CBB]],"**COMPUTE",misc[[#This Row],[Compute]],"**MODULE",misc[[#This Row],[Module]],splitchar,"**CORE**DCU*CR*MC1*STATUS**")</f>
        <v>*SOCKET0**CBB2**COMPUTE0**MODULE2__**CORE**DCU*CR*MC1*STATUS**</v>
      </c>
      <c r="X69">
        <f>COUNTIFS(core_mc[TestName],misc[[#This Row],[DCU_MCA_String]],core_mc[VisualId],MC_Check!$H$2)</f>
        <v>0</v>
      </c>
      <c r="Y69" t="str">
        <f>_xlfn.TEXTJOIN("",,"*SOCKET0**CBB",misc[[#This Row],[CBB]],"**COMPUTE",misc[[#This Row],[Compute]],"**MODULE",misc[[#This Row],[Module]],splitchar,"**CORE**DTLB*CR*MC2*STATUS**")</f>
        <v>*SOCKET0**CBB2**COMPUTE0**MODULE2__**CORE**DTLB*CR*MC2*STATUS**</v>
      </c>
      <c r="Z69">
        <f>COUNTIFS(core_mc[TestName],misc[[#This Row],[CORE_DTLB_String]],core_mc[VisualId],MC_Check!$H$2)</f>
        <v>0</v>
      </c>
      <c r="AA69" t="str">
        <f>_xlfn.TEXTJOIN("",,"*SOCKET0**CBB",misc[[#This Row],[CBB]],"**COMPUTE",misc[[#This Row],[Compute]],"**MODULE",misc[[#This Row],[Module]],splitchar,"**ML2*CR*MC3*STATUS**")</f>
        <v>*SOCKET0**CBB2**COMPUTE0**MODULE2__**ML2*CR*MC3*STATUS**</v>
      </c>
      <c r="AB69">
        <f>COUNTIFS(core_mc[TestName],misc[[#This Row],[Core_ML2_String]],core_mc[VisualId],MC_Check!$H$2)</f>
        <v>0</v>
      </c>
      <c r="AC69" t="str">
        <f>_xlfn.TEXTJOIN("",,"*SOCKET0**CBB",misc[[#This Row],[CBB]],"**COMPUTE",misc[[#This Row],[Compute]],"**MODULE",misc[[#This Row],[Module]],splitchar,"SPARE")</f>
        <v>*SOCKET0**CBB2**COMPUTE0**MODULE2__SPARE</v>
      </c>
      <c r="AD69">
        <f>COUNTIFS(core_mc[TestName],misc[[#This Row],[Core_L2_String - SPARE]],core_mc[VisualId],MC_Check!$H$2)</f>
        <v>0</v>
      </c>
      <c r="AE69">
        <f>misc[[#This Row],[Core_DTLB_Count]]+misc[[#This Row],[Core_DCU_Count]]+misc[[#This Row],[Core_IFU_Count]]+misc[[#This Row],[Core_ROB_Count]]+misc[[#This Row],[Core_L2_Count - SPARE]]+misc[[#This Row],[Core_ML2_Count]]</f>
        <v>0</v>
      </c>
      <c r="AF69" t="str">
        <f>_xlfn.TEXTJOIN(", ",,IF(misc[[#This Row],[Core_IFU_Count]]&gt;0,"IFU",""),IF(misc[[#This Row],[Core_DCU_Count]]&gt;0,"DCU",""),IF(misc[[#This Row],[Core_DTLB_Count]]&gt;0,"DTLB",""),IF(misc[[#This Row],[Core_ROB_Count]]&gt;0,"ROB",""),IF(misc[[#This Row],[Core_ML2_Count]]&gt;0,"ML2",""),IF(misc[[#This Row],[Core_L2_Count - SPARE]]&gt;0,"L2",""))</f>
        <v/>
      </c>
      <c r="AG69" t="str">
        <f>_xlfn.TEXTJOIN("",,"*SOCKET0**CBB",misc[[#This Row],[CBB]],"**BASE**I_CCF**ENV",misc[[#This Row],[ENV]],splitchar,"CBREGS_ALL",misc[[#This Row],[CBO]],splitchar,"SPARE")</f>
        <v>*SOCKET0**CBB2**BASE**I_CCF**ENV2__CBREGS_ALL00__SPARE</v>
      </c>
      <c r="AH69">
        <f>COUNTIFS(cha_mc[TestName],misc[[#This Row],[LLC_MCA_String - Not Used]],cha_mc[VisualId],MC_Check!$H$2)</f>
        <v>0</v>
      </c>
    </row>
    <row r="70" spans="6:34" x14ac:dyDescent="0.3">
      <c r="F70">
        <v>2</v>
      </c>
      <c r="G70">
        <v>3</v>
      </c>
      <c r="H70" s="61">
        <f>IF(MC_Check!$AN$2="PHY",misc[[#This Row],[location]],misc[[#This Row],[Module_log]])</f>
        <v>3</v>
      </c>
      <c r="I70" s="61">
        <f>misc[[#This Row],[Module]]</f>
        <v>3</v>
      </c>
      <c r="J70" s="61">
        <v>0</v>
      </c>
      <c r="K70" s="61">
        <v>0</v>
      </c>
      <c r="L70" s="61">
        <v>3</v>
      </c>
      <c r="M70" s="61" t="str">
        <f>_xlfn.TEXTJOIN("",,misc[[#This Row],[ROW]],misc[[#This Row],[ROW]])</f>
        <v>00</v>
      </c>
      <c r="N70" s="5" t="b">
        <f>misc[[#This Row],[Core_Hitter_Count]]&gt;0</f>
        <v>0</v>
      </c>
      <c r="O70" t="b">
        <f>misc[[#This Row],[LLC_Hitter_Count]]&gt;0</f>
        <v>0</v>
      </c>
      <c r="P70" t="b">
        <f>misc[[#This Row],[CHA_Hitter_Count]]&gt;0</f>
        <v>0</v>
      </c>
      <c r="Q70" t="str">
        <f>_xlfn.TEXTJOIN("",,"*SOCKET0**CBB",misc[[#This Row],[CBB]],"**BASE**I_CCF_ENV",misc[[#This Row],[ENV]],splitchar,"CBREGS_ALL",misc[[#This Row],[CBO]],splitchar,"MC_STATUS*")</f>
        <v>*SOCKET0**CBB2**BASE**I_CCF_ENV3__CBREGS_ALL00__MC_STATUS*</v>
      </c>
      <c r="R70">
        <f>COUNTIFS(cha_mc[TestName],misc[[#This Row],[CBO_MCA_String]],cha_mc[VisualId],MC_Check!$H$2)</f>
        <v>0</v>
      </c>
      <c r="S70" t="str">
        <f>_xlfn.TEXTJOIN("",,"*SOCKET0**CBB",misc[[#This Row],[CBB]],"**COMPUTE",misc[[#This Row],[Compute]],"**MODULE",misc[[#This Row],[Module]],splitchar,"**CORE**IFU*CR*MC0*STATUS**")</f>
        <v>*SOCKET0**CBB2**COMPUTE0**MODULE3__**CORE**IFU*CR*MC0*STATUS**</v>
      </c>
      <c r="T70">
        <f>COUNTIFS(core_mc[TestName],misc[[#This Row],[IFU_MCA_String]],core_mc[VisualId],MC_Check!$H$2)</f>
        <v>0</v>
      </c>
      <c r="U70" t="str">
        <f>_xlfn.TEXTJOIN("",,"*SOCKET0**CBB",misc[[#This Row],[CBB]],"**COMPUTE",misc[[#This Row],[Compute]],"**MODULE",misc[[#This Row],[Module]],splitchar,"**CORE**ROB1*CR*MC*STATUS**")</f>
        <v>*SOCKET0**CBB2**COMPUTE0**MODULE3__**CORE**ROB1*CR*MC*STATUS**</v>
      </c>
      <c r="V70">
        <f>COUNTIFS(core_mc[TestName],misc[[#This Row],[ROB_MCA_String]],core_mc[VisualId],MC_Check!$H$2)</f>
        <v>0</v>
      </c>
      <c r="W70" t="str">
        <f>_xlfn.TEXTJOIN("",,"*SOCKET0**CBB",misc[[#This Row],[CBB]],"**COMPUTE",misc[[#This Row],[Compute]],"**MODULE",misc[[#This Row],[Module]],splitchar,"**CORE**DCU*CR*MC1*STATUS**")</f>
        <v>*SOCKET0**CBB2**COMPUTE0**MODULE3__**CORE**DCU*CR*MC1*STATUS**</v>
      </c>
      <c r="X70">
        <f>COUNTIFS(core_mc[TestName],misc[[#This Row],[DCU_MCA_String]],core_mc[VisualId],MC_Check!$H$2)</f>
        <v>0</v>
      </c>
      <c r="Y70" t="str">
        <f>_xlfn.TEXTJOIN("",,"*SOCKET0**CBB",misc[[#This Row],[CBB]],"**COMPUTE",misc[[#This Row],[Compute]],"**MODULE",misc[[#This Row],[Module]],splitchar,"**CORE**DTLB*CR*MC2*STATUS**")</f>
        <v>*SOCKET0**CBB2**COMPUTE0**MODULE3__**CORE**DTLB*CR*MC2*STATUS**</v>
      </c>
      <c r="Z70">
        <f>COUNTIFS(core_mc[TestName],misc[[#This Row],[CORE_DTLB_String]],core_mc[VisualId],MC_Check!$H$2)</f>
        <v>0</v>
      </c>
      <c r="AA70" t="str">
        <f>_xlfn.TEXTJOIN("",,"*SOCKET0**CBB",misc[[#This Row],[CBB]],"**COMPUTE",misc[[#This Row],[Compute]],"**MODULE",misc[[#This Row],[Module]],splitchar,"**ML2*CR*MC3*STATUS**")</f>
        <v>*SOCKET0**CBB2**COMPUTE0**MODULE3__**ML2*CR*MC3*STATUS**</v>
      </c>
      <c r="AB70">
        <f>COUNTIFS(core_mc[TestName],misc[[#This Row],[Core_ML2_String]],core_mc[VisualId],MC_Check!$H$2)</f>
        <v>0</v>
      </c>
      <c r="AC70" t="str">
        <f>_xlfn.TEXTJOIN("",,"*SOCKET0**CBB",misc[[#This Row],[CBB]],"**COMPUTE",misc[[#This Row],[Compute]],"**MODULE",misc[[#This Row],[Module]],splitchar,"SPARE")</f>
        <v>*SOCKET0**CBB2**COMPUTE0**MODULE3__SPARE</v>
      </c>
      <c r="AD70">
        <f>COUNTIFS(core_mc[TestName],misc[[#This Row],[Core_L2_String - SPARE]],core_mc[VisualId],MC_Check!$H$2)</f>
        <v>0</v>
      </c>
      <c r="AE70">
        <f>misc[[#This Row],[Core_DTLB_Count]]+misc[[#This Row],[Core_DCU_Count]]+misc[[#This Row],[Core_IFU_Count]]+misc[[#This Row],[Core_ROB_Count]]+misc[[#This Row],[Core_L2_Count - SPARE]]+misc[[#This Row],[Core_ML2_Count]]</f>
        <v>0</v>
      </c>
      <c r="AF70" t="str">
        <f>_xlfn.TEXTJOIN(", ",,IF(misc[[#This Row],[Core_IFU_Count]]&gt;0,"IFU",""),IF(misc[[#This Row],[Core_DCU_Count]]&gt;0,"DCU",""),IF(misc[[#This Row],[Core_DTLB_Count]]&gt;0,"DTLB",""),IF(misc[[#This Row],[Core_ROB_Count]]&gt;0,"ROB",""),IF(misc[[#This Row],[Core_ML2_Count]]&gt;0,"ML2",""),IF(misc[[#This Row],[Core_L2_Count - SPARE]]&gt;0,"L2",""))</f>
        <v/>
      </c>
      <c r="AG70" t="str">
        <f>_xlfn.TEXTJOIN("",,"*SOCKET0**CBB",misc[[#This Row],[CBB]],"**BASE**I_CCF**ENV",misc[[#This Row],[ENV]],splitchar,"CBREGS_ALL",misc[[#This Row],[CBO]],splitchar,"SPARE")</f>
        <v>*SOCKET0**CBB2**BASE**I_CCF**ENV3__CBREGS_ALL00__SPARE</v>
      </c>
      <c r="AH70">
        <f>COUNTIFS(cha_mc[TestName],misc[[#This Row],[LLC_MCA_String - Not Used]],cha_mc[VisualId],MC_Check!$H$2)</f>
        <v>0</v>
      </c>
    </row>
    <row r="71" spans="6:34" x14ac:dyDescent="0.3">
      <c r="F71">
        <v>2</v>
      </c>
      <c r="G71">
        <v>4</v>
      </c>
      <c r="H71" s="61">
        <f>IF(MC_Check!$AN$2="PHY",misc[[#This Row],[location]],misc[[#This Row],[Module_log]])</f>
        <v>4</v>
      </c>
      <c r="I71" s="61">
        <f>misc[[#This Row],[Module]]</f>
        <v>4</v>
      </c>
      <c r="J71" s="61">
        <v>0</v>
      </c>
      <c r="K71" s="61">
        <f>K67+1</f>
        <v>1</v>
      </c>
      <c r="L71" s="61">
        <v>0</v>
      </c>
      <c r="M71" s="61" t="str">
        <f>_xlfn.TEXTJOIN("",,misc[[#This Row],[ROW]],misc[[#This Row],[ROW]])</f>
        <v>11</v>
      </c>
      <c r="N71" s="5" t="b">
        <f>misc[[#This Row],[Core_Hitter_Count]]&gt;0</f>
        <v>0</v>
      </c>
      <c r="O71" t="b">
        <f>misc[[#This Row],[LLC_Hitter_Count]]&gt;0</f>
        <v>0</v>
      </c>
      <c r="P71" t="b">
        <f>misc[[#This Row],[CHA_Hitter_Count]]&gt;0</f>
        <v>0</v>
      </c>
      <c r="Q71" t="str">
        <f>_xlfn.TEXTJOIN("",,"*SOCKET0**CBB",misc[[#This Row],[CBB]],"**BASE**I_CCF_ENV",misc[[#This Row],[ENV]],splitchar,"CBREGS_ALL",misc[[#This Row],[CBO]],splitchar,"MC_STATUS*")</f>
        <v>*SOCKET0**CBB2**BASE**I_CCF_ENV0__CBREGS_ALL11__MC_STATUS*</v>
      </c>
      <c r="R71">
        <f>COUNTIFS(cha_mc[TestName],misc[[#This Row],[CBO_MCA_String]],cha_mc[VisualId],MC_Check!$H$2)</f>
        <v>0</v>
      </c>
      <c r="S71" t="str">
        <f>_xlfn.TEXTJOIN("",,"*SOCKET0**CBB",misc[[#This Row],[CBB]],"**COMPUTE",misc[[#This Row],[Compute]],"**MODULE",misc[[#This Row],[Module]],splitchar,"**CORE**IFU*CR*MC0*STATUS**")</f>
        <v>*SOCKET0**CBB2**COMPUTE0**MODULE4__**CORE**IFU*CR*MC0*STATUS**</v>
      </c>
      <c r="T71">
        <f>COUNTIFS(core_mc[TestName],misc[[#This Row],[IFU_MCA_String]],core_mc[VisualId],MC_Check!$H$2)</f>
        <v>0</v>
      </c>
      <c r="U71" t="str">
        <f>_xlfn.TEXTJOIN("",,"*SOCKET0**CBB",misc[[#This Row],[CBB]],"**COMPUTE",misc[[#This Row],[Compute]],"**MODULE",misc[[#This Row],[Module]],splitchar,"**CORE**ROB1*CR*MC*STATUS**")</f>
        <v>*SOCKET0**CBB2**COMPUTE0**MODULE4__**CORE**ROB1*CR*MC*STATUS**</v>
      </c>
      <c r="V71">
        <f>COUNTIFS(core_mc[TestName],misc[[#This Row],[ROB_MCA_String]],core_mc[VisualId],MC_Check!$H$2)</f>
        <v>0</v>
      </c>
      <c r="W71" t="str">
        <f>_xlfn.TEXTJOIN("",,"*SOCKET0**CBB",misc[[#This Row],[CBB]],"**COMPUTE",misc[[#This Row],[Compute]],"**MODULE",misc[[#This Row],[Module]],splitchar,"**CORE**DCU*CR*MC1*STATUS**")</f>
        <v>*SOCKET0**CBB2**COMPUTE0**MODULE4__**CORE**DCU*CR*MC1*STATUS**</v>
      </c>
      <c r="X71">
        <f>COUNTIFS(core_mc[TestName],misc[[#This Row],[DCU_MCA_String]],core_mc[VisualId],MC_Check!$H$2)</f>
        <v>0</v>
      </c>
      <c r="Y71" t="str">
        <f>_xlfn.TEXTJOIN("",,"*SOCKET0**CBB",misc[[#This Row],[CBB]],"**COMPUTE",misc[[#This Row],[Compute]],"**MODULE",misc[[#This Row],[Module]],splitchar,"**CORE**DTLB*CR*MC2*STATUS**")</f>
        <v>*SOCKET0**CBB2**COMPUTE0**MODULE4__**CORE**DTLB*CR*MC2*STATUS**</v>
      </c>
      <c r="Z71">
        <f>COUNTIFS(core_mc[TestName],misc[[#This Row],[CORE_DTLB_String]],core_mc[VisualId],MC_Check!$H$2)</f>
        <v>0</v>
      </c>
      <c r="AA71" t="str">
        <f>_xlfn.TEXTJOIN("",,"*SOCKET0**CBB",misc[[#This Row],[CBB]],"**COMPUTE",misc[[#This Row],[Compute]],"**MODULE",misc[[#This Row],[Module]],splitchar,"**ML2*CR*MC3*STATUS**")</f>
        <v>*SOCKET0**CBB2**COMPUTE0**MODULE4__**ML2*CR*MC3*STATUS**</v>
      </c>
      <c r="AB71">
        <f>COUNTIFS(core_mc[TestName],misc[[#This Row],[Core_ML2_String]],core_mc[VisualId],MC_Check!$H$2)</f>
        <v>0</v>
      </c>
      <c r="AC71" t="str">
        <f>_xlfn.TEXTJOIN("",,"*SOCKET0**CBB",misc[[#This Row],[CBB]],"**COMPUTE",misc[[#This Row],[Compute]],"**MODULE",misc[[#This Row],[Module]],splitchar,"SPARE")</f>
        <v>*SOCKET0**CBB2**COMPUTE0**MODULE4__SPARE</v>
      </c>
      <c r="AD71">
        <f>COUNTIFS(core_mc[TestName],misc[[#This Row],[Core_L2_String - SPARE]],core_mc[VisualId],MC_Check!$H$2)</f>
        <v>0</v>
      </c>
      <c r="AE71">
        <f>misc[[#This Row],[Core_DTLB_Count]]+misc[[#This Row],[Core_DCU_Count]]+misc[[#This Row],[Core_IFU_Count]]+misc[[#This Row],[Core_ROB_Count]]+misc[[#This Row],[Core_L2_Count - SPARE]]+misc[[#This Row],[Core_ML2_Count]]</f>
        <v>0</v>
      </c>
      <c r="AF71" t="str">
        <f>_xlfn.TEXTJOIN(", ",,IF(misc[[#This Row],[Core_IFU_Count]]&gt;0,"IFU",""),IF(misc[[#This Row],[Core_DCU_Count]]&gt;0,"DCU",""),IF(misc[[#This Row],[Core_DTLB_Count]]&gt;0,"DTLB",""),IF(misc[[#This Row],[Core_ROB_Count]]&gt;0,"ROB",""),IF(misc[[#This Row],[Core_ML2_Count]]&gt;0,"ML2",""),IF(misc[[#This Row],[Core_L2_Count - SPARE]]&gt;0,"L2",""))</f>
        <v/>
      </c>
      <c r="AG71" t="str">
        <f>_xlfn.TEXTJOIN("",,"*SOCKET0**CBB",misc[[#This Row],[CBB]],"**BASE**I_CCF**ENV",misc[[#This Row],[ENV]],splitchar,"CBREGS_ALL",misc[[#This Row],[CBO]],splitchar,"SPARE")</f>
        <v>*SOCKET0**CBB2**BASE**I_CCF**ENV0__CBREGS_ALL11__SPARE</v>
      </c>
      <c r="AH71">
        <f>COUNTIFS(cha_mc[TestName],misc[[#This Row],[LLC_MCA_String - Not Used]],cha_mc[VisualId],MC_Check!$H$2)</f>
        <v>0</v>
      </c>
    </row>
    <row r="72" spans="6:34" x14ac:dyDescent="0.3">
      <c r="F72">
        <v>2</v>
      </c>
      <c r="G72">
        <v>5</v>
      </c>
      <c r="H72" s="61">
        <f>IF(MC_Check!$AN$2="PHY",misc[[#This Row],[location]],misc[[#This Row],[Module_log]])</f>
        <v>5</v>
      </c>
      <c r="I72" s="61">
        <f>misc[[#This Row],[Module]]</f>
        <v>5</v>
      </c>
      <c r="J72" s="61">
        <v>0</v>
      </c>
      <c r="K72" s="61">
        <f t="shared" ref="K72:K98" si="3">K68+1</f>
        <v>1</v>
      </c>
      <c r="L72" s="61">
        <v>1</v>
      </c>
      <c r="M72" s="61" t="str">
        <f>_xlfn.TEXTJOIN("",,misc[[#This Row],[ROW]],misc[[#This Row],[ROW]])</f>
        <v>11</v>
      </c>
      <c r="N72" s="5" t="b">
        <f>misc[[#This Row],[Core_Hitter_Count]]&gt;0</f>
        <v>0</v>
      </c>
      <c r="O72" t="b">
        <f>misc[[#This Row],[LLC_Hitter_Count]]&gt;0</f>
        <v>0</v>
      </c>
      <c r="P72" t="b">
        <f>misc[[#This Row],[CHA_Hitter_Count]]&gt;0</f>
        <v>0</v>
      </c>
      <c r="Q72" t="str">
        <f>_xlfn.TEXTJOIN("",,"*SOCKET0**CBB",misc[[#This Row],[CBB]],"**BASE**I_CCF_ENV",misc[[#This Row],[ENV]],splitchar,"CBREGS_ALL",misc[[#This Row],[CBO]],splitchar,"MC_STATUS*")</f>
        <v>*SOCKET0**CBB2**BASE**I_CCF_ENV1__CBREGS_ALL11__MC_STATUS*</v>
      </c>
      <c r="R72">
        <f>COUNTIFS(cha_mc[TestName],misc[[#This Row],[CBO_MCA_String]],cha_mc[VisualId],MC_Check!$H$2)</f>
        <v>0</v>
      </c>
      <c r="S72" t="str">
        <f>_xlfn.TEXTJOIN("",,"*SOCKET0**CBB",misc[[#This Row],[CBB]],"**COMPUTE",misc[[#This Row],[Compute]],"**MODULE",misc[[#This Row],[Module]],splitchar,"**CORE**IFU*CR*MC0*STATUS**")</f>
        <v>*SOCKET0**CBB2**COMPUTE0**MODULE5__**CORE**IFU*CR*MC0*STATUS**</v>
      </c>
      <c r="T72">
        <f>COUNTIFS(core_mc[TestName],misc[[#This Row],[IFU_MCA_String]],core_mc[VisualId],MC_Check!$H$2)</f>
        <v>0</v>
      </c>
      <c r="U72" t="str">
        <f>_xlfn.TEXTJOIN("",,"*SOCKET0**CBB",misc[[#This Row],[CBB]],"**COMPUTE",misc[[#This Row],[Compute]],"**MODULE",misc[[#This Row],[Module]],splitchar,"**CORE**ROB1*CR*MC*STATUS**")</f>
        <v>*SOCKET0**CBB2**COMPUTE0**MODULE5__**CORE**ROB1*CR*MC*STATUS**</v>
      </c>
      <c r="V72">
        <f>COUNTIFS(core_mc[TestName],misc[[#This Row],[ROB_MCA_String]],core_mc[VisualId],MC_Check!$H$2)</f>
        <v>0</v>
      </c>
      <c r="W72" t="str">
        <f>_xlfn.TEXTJOIN("",,"*SOCKET0**CBB",misc[[#This Row],[CBB]],"**COMPUTE",misc[[#This Row],[Compute]],"**MODULE",misc[[#This Row],[Module]],splitchar,"**CORE**DCU*CR*MC1*STATUS**")</f>
        <v>*SOCKET0**CBB2**COMPUTE0**MODULE5__**CORE**DCU*CR*MC1*STATUS**</v>
      </c>
      <c r="X72">
        <f>COUNTIFS(core_mc[TestName],misc[[#This Row],[DCU_MCA_String]],core_mc[VisualId],MC_Check!$H$2)</f>
        <v>0</v>
      </c>
      <c r="Y72" t="str">
        <f>_xlfn.TEXTJOIN("",,"*SOCKET0**CBB",misc[[#This Row],[CBB]],"**COMPUTE",misc[[#This Row],[Compute]],"**MODULE",misc[[#This Row],[Module]],splitchar,"**CORE**DTLB*CR*MC2*STATUS**")</f>
        <v>*SOCKET0**CBB2**COMPUTE0**MODULE5__**CORE**DTLB*CR*MC2*STATUS**</v>
      </c>
      <c r="Z72">
        <f>COUNTIFS(core_mc[TestName],misc[[#This Row],[CORE_DTLB_String]],core_mc[VisualId],MC_Check!$H$2)</f>
        <v>0</v>
      </c>
      <c r="AA72" t="str">
        <f>_xlfn.TEXTJOIN("",,"*SOCKET0**CBB",misc[[#This Row],[CBB]],"**COMPUTE",misc[[#This Row],[Compute]],"**MODULE",misc[[#This Row],[Module]],splitchar,"**ML2*CR*MC3*STATUS**")</f>
        <v>*SOCKET0**CBB2**COMPUTE0**MODULE5__**ML2*CR*MC3*STATUS**</v>
      </c>
      <c r="AB72">
        <f>COUNTIFS(core_mc[TestName],misc[[#This Row],[Core_ML2_String]],core_mc[VisualId],MC_Check!$H$2)</f>
        <v>0</v>
      </c>
      <c r="AC72" t="str">
        <f>_xlfn.TEXTJOIN("",,"*SOCKET0**CBB",misc[[#This Row],[CBB]],"**COMPUTE",misc[[#This Row],[Compute]],"**MODULE",misc[[#This Row],[Module]],splitchar,"SPARE")</f>
        <v>*SOCKET0**CBB2**COMPUTE0**MODULE5__SPARE</v>
      </c>
      <c r="AD72">
        <f>COUNTIFS(core_mc[TestName],misc[[#This Row],[Core_L2_String - SPARE]],core_mc[VisualId],MC_Check!$H$2)</f>
        <v>0</v>
      </c>
      <c r="AE72">
        <f>misc[[#This Row],[Core_DTLB_Count]]+misc[[#This Row],[Core_DCU_Count]]+misc[[#This Row],[Core_IFU_Count]]+misc[[#This Row],[Core_ROB_Count]]+misc[[#This Row],[Core_L2_Count - SPARE]]+misc[[#This Row],[Core_ML2_Count]]</f>
        <v>0</v>
      </c>
      <c r="AF72" t="str">
        <f>_xlfn.TEXTJOIN(", ",,IF(misc[[#This Row],[Core_IFU_Count]]&gt;0,"IFU",""),IF(misc[[#This Row],[Core_DCU_Count]]&gt;0,"DCU",""),IF(misc[[#This Row],[Core_DTLB_Count]]&gt;0,"DTLB",""),IF(misc[[#This Row],[Core_ROB_Count]]&gt;0,"ROB",""),IF(misc[[#This Row],[Core_ML2_Count]]&gt;0,"ML2",""),IF(misc[[#This Row],[Core_L2_Count - SPARE]]&gt;0,"L2",""))</f>
        <v/>
      </c>
      <c r="AG72" t="str">
        <f>_xlfn.TEXTJOIN("",,"*SOCKET0**CBB",misc[[#This Row],[CBB]],"**BASE**I_CCF**ENV",misc[[#This Row],[ENV]],splitchar,"CBREGS_ALL",misc[[#This Row],[CBO]],splitchar,"SPARE")</f>
        <v>*SOCKET0**CBB2**BASE**I_CCF**ENV1__CBREGS_ALL11__SPARE</v>
      </c>
      <c r="AH72">
        <f>COUNTIFS(cha_mc[TestName],misc[[#This Row],[LLC_MCA_String - Not Used]],cha_mc[VisualId],MC_Check!$H$2)</f>
        <v>0</v>
      </c>
    </row>
    <row r="73" spans="6:34" x14ac:dyDescent="0.3">
      <c r="F73">
        <v>2</v>
      </c>
      <c r="G73">
        <v>6</v>
      </c>
      <c r="H73" s="61">
        <f>IF(MC_Check!$AN$2="PHY",misc[[#This Row],[location]],misc[[#This Row],[Module_log]])</f>
        <v>6</v>
      </c>
      <c r="I73" s="61">
        <f>misc[[#This Row],[Module]]</f>
        <v>6</v>
      </c>
      <c r="J73" s="61">
        <v>0</v>
      </c>
      <c r="K73" s="61">
        <f t="shared" si="3"/>
        <v>1</v>
      </c>
      <c r="L73" s="61">
        <v>2</v>
      </c>
      <c r="M73" s="61" t="str">
        <f>_xlfn.TEXTJOIN("",,misc[[#This Row],[ROW]],misc[[#This Row],[ROW]])</f>
        <v>11</v>
      </c>
      <c r="N73" s="5" t="b">
        <f>misc[[#This Row],[Core_Hitter_Count]]&gt;0</f>
        <v>0</v>
      </c>
      <c r="O73" t="b">
        <f>misc[[#This Row],[LLC_Hitter_Count]]&gt;0</f>
        <v>0</v>
      </c>
      <c r="P73" t="b">
        <f>misc[[#This Row],[CHA_Hitter_Count]]&gt;0</f>
        <v>0</v>
      </c>
      <c r="Q73" t="str">
        <f>_xlfn.TEXTJOIN("",,"*SOCKET0**CBB",misc[[#This Row],[CBB]],"**BASE**I_CCF_ENV",misc[[#This Row],[ENV]],splitchar,"CBREGS_ALL",misc[[#This Row],[CBO]],splitchar,"MC_STATUS*")</f>
        <v>*SOCKET0**CBB2**BASE**I_CCF_ENV2__CBREGS_ALL11__MC_STATUS*</v>
      </c>
      <c r="R73">
        <f>COUNTIFS(cha_mc[TestName],misc[[#This Row],[CBO_MCA_String]],cha_mc[VisualId],MC_Check!$H$2)</f>
        <v>0</v>
      </c>
      <c r="S73" t="str">
        <f>_xlfn.TEXTJOIN("",,"*SOCKET0**CBB",misc[[#This Row],[CBB]],"**COMPUTE",misc[[#This Row],[Compute]],"**MODULE",misc[[#This Row],[Module]],splitchar,"**CORE**IFU*CR*MC0*STATUS**")</f>
        <v>*SOCKET0**CBB2**COMPUTE0**MODULE6__**CORE**IFU*CR*MC0*STATUS**</v>
      </c>
      <c r="T73">
        <f>COUNTIFS(core_mc[TestName],misc[[#This Row],[IFU_MCA_String]],core_mc[VisualId],MC_Check!$H$2)</f>
        <v>0</v>
      </c>
      <c r="U73" t="str">
        <f>_xlfn.TEXTJOIN("",,"*SOCKET0**CBB",misc[[#This Row],[CBB]],"**COMPUTE",misc[[#This Row],[Compute]],"**MODULE",misc[[#This Row],[Module]],splitchar,"**CORE**ROB1*CR*MC*STATUS**")</f>
        <v>*SOCKET0**CBB2**COMPUTE0**MODULE6__**CORE**ROB1*CR*MC*STATUS**</v>
      </c>
      <c r="V73">
        <f>COUNTIFS(core_mc[TestName],misc[[#This Row],[ROB_MCA_String]],core_mc[VisualId],MC_Check!$H$2)</f>
        <v>0</v>
      </c>
      <c r="W73" t="str">
        <f>_xlfn.TEXTJOIN("",,"*SOCKET0**CBB",misc[[#This Row],[CBB]],"**COMPUTE",misc[[#This Row],[Compute]],"**MODULE",misc[[#This Row],[Module]],splitchar,"**CORE**DCU*CR*MC1*STATUS**")</f>
        <v>*SOCKET0**CBB2**COMPUTE0**MODULE6__**CORE**DCU*CR*MC1*STATUS**</v>
      </c>
      <c r="X73">
        <f>COUNTIFS(core_mc[TestName],misc[[#This Row],[DCU_MCA_String]],core_mc[VisualId],MC_Check!$H$2)</f>
        <v>0</v>
      </c>
      <c r="Y73" t="str">
        <f>_xlfn.TEXTJOIN("",,"*SOCKET0**CBB",misc[[#This Row],[CBB]],"**COMPUTE",misc[[#This Row],[Compute]],"**MODULE",misc[[#This Row],[Module]],splitchar,"**CORE**DTLB*CR*MC2*STATUS**")</f>
        <v>*SOCKET0**CBB2**COMPUTE0**MODULE6__**CORE**DTLB*CR*MC2*STATUS**</v>
      </c>
      <c r="Z73">
        <f>COUNTIFS(core_mc[TestName],misc[[#This Row],[CORE_DTLB_String]],core_mc[VisualId],MC_Check!$H$2)</f>
        <v>0</v>
      </c>
      <c r="AA73" t="str">
        <f>_xlfn.TEXTJOIN("",,"*SOCKET0**CBB",misc[[#This Row],[CBB]],"**COMPUTE",misc[[#This Row],[Compute]],"**MODULE",misc[[#This Row],[Module]],splitchar,"**ML2*CR*MC3*STATUS**")</f>
        <v>*SOCKET0**CBB2**COMPUTE0**MODULE6__**ML2*CR*MC3*STATUS**</v>
      </c>
      <c r="AB73">
        <f>COUNTIFS(core_mc[TestName],misc[[#This Row],[Core_ML2_String]],core_mc[VisualId],MC_Check!$H$2)</f>
        <v>0</v>
      </c>
      <c r="AC73" t="str">
        <f>_xlfn.TEXTJOIN("",,"*SOCKET0**CBB",misc[[#This Row],[CBB]],"**COMPUTE",misc[[#This Row],[Compute]],"**MODULE",misc[[#This Row],[Module]],splitchar,"SPARE")</f>
        <v>*SOCKET0**CBB2**COMPUTE0**MODULE6__SPARE</v>
      </c>
      <c r="AD73">
        <f>COUNTIFS(core_mc[TestName],misc[[#This Row],[Core_L2_String - SPARE]],core_mc[VisualId],MC_Check!$H$2)</f>
        <v>0</v>
      </c>
      <c r="AE73">
        <f>misc[[#This Row],[Core_DTLB_Count]]+misc[[#This Row],[Core_DCU_Count]]+misc[[#This Row],[Core_IFU_Count]]+misc[[#This Row],[Core_ROB_Count]]+misc[[#This Row],[Core_L2_Count - SPARE]]+misc[[#This Row],[Core_ML2_Count]]</f>
        <v>0</v>
      </c>
      <c r="AF73" t="str">
        <f>_xlfn.TEXTJOIN(", ",,IF(misc[[#This Row],[Core_IFU_Count]]&gt;0,"IFU",""),IF(misc[[#This Row],[Core_DCU_Count]]&gt;0,"DCU",""),IF(misc[[#This Row],[Core_DTLB_Count]]&gt;0,"DTLB",""),IF(misc[[#This Row],[Core_ROB_Count]]&gt;0,"ROB",""),IF(misc[[#This Row],[Core_ML2_Count]]&gt;0,"ML2",""),IF(misc[[#This Row],[Core_L2_Count - SPARE]]&gt;0,"L2",""))</f>
        <v/>
      </c>
      <c r="AG73" t="str">
        <f>_xlfn.TEXTJOIN("",,"*SOCKET0**CBB",misc[[#This Row],[CBB]],"**BASE**I_CCF**ENV",misc[[#This Row],[ENV]],splitchar,"CBREGS_ALL",misc[[#This Row],[CBO]],splitchar,"SPARE")</f>
        <v>*SOCKET0**CBB2**BASE**I_CCF**ENV2__CBREGS_ALL11__SPARE</v>
      </c>
      <c r="AH73">
        <f>COUNTIFS(cha_mc[TestName],misc[[#This Row],[LLC_MCA_String - Not Used]],cha_mc[VisualId],MC_Check!$H$2)</f>
        <v>0</v>
      </c>
    </row>
    <row r="74" spans="6:34" x14ac:dyDescent="0.3">
      <c r="F74">
        <v>2</v>
      </c>
      <c r="G74">
        <v>7</v>
      </c>
      <c r="H74" s="61">
        <f>IF(MC_Check!$AN$2="PHY",misc[[#This Row],[location]],misc[[#This Row],[Module_log]])</f>
        <v>7</v>
      </c>
      <c r="I74" s="61">
        <f>misc[[#This Row],[Module]]</f>
        <v>7</v>
      </c>
      <c r="J74" s="61">
        <v>0</v>
      </c>
      <c r="K74" s="61">
        <f t="shared" si="3"/>
        <v>1</v>
      </c>
      <c r="L74" s="61">
        <v>3</v>
      </c>
      <c r="M74" s="61" t="str">
        <f>_xlfn.TEXTJOIN("",,misc[[#This Row],[ROW]],misc[[#This Row],[ROW]])</f>
        <v>11</v>
      </c>
      <c r="N74" s="5" t="b">
        <f>misc[[#This Row],[Core_Hitter_Count]]&gt;0</f>
        <v>0</v>
      </c>
      <c r="O74" t="b">
        <f>misc[[#This Row],[LLC_Hitter_Count]]&gt;0</f>
        <v>0</v>
      </c>
      <c r="P74" t="b">
        <f>misc[[#This Row],[CHA_Hitter_Count]]&gt;0</f>
        <v>0</v>
      </c>
      <c r="Q74" t="str">
        <f>_xlfn.TEXTJOIN("",,"*SOCKET0**CBB",misc[[#This Row],[CBB]],"**BASE**I_CCF_ENV",misc[[#This Row],[ENV]],splitchar,"CBREGS_ALL",misc[[#This Row],[CBO]],splitchar,"MC_STATUS*")</f>
        <v>*SOCKET0**CBB2**BASE**I_CCF_ENV3__CBREGS_ALL11__MC_STATUS*</v>
      </c>
      <c r="R74">
        <f>COUNTIFS(cha_mc[TestName],misc[[#This Row],[CBO_MCA_String]],cha_mc[VisualId],MC_Check!$H$2)</f>
        <v>0</v>
      </c>
      <c r="S74" t="str">
        <f>_xlfn.TEXTJOIN("",,"*SOCKET0**CBB",misc[[#This Row],[CBB]],"**COMPUTE",misc[[#This Row],[Compute]],"**MODULE",misc[[#This Row],[Module]],splitchar,"**CORE**IFU*CR*MC0*STATUS**")</f>
        <v>*SOCKET0**CBB2**COMPUTE0**MODULE7__**CORE**IFU*CR*MC0*STATUS**</v>
      </c>
      <c r="T74">
        <f>COUNTIFS(core_mc[TestName],misc[[#This Row],[IFU_MCA_String]],core_mc[VisualId],MC_Check!$H$2)</f>
        <v>0</v>
      </c>
      <c r="U74" t="str">
        <f>_xlfn.TEXTJOIN("",,"*SOCKET0**CBB",misc[[#This Row],[CBB]],"**COMPUTE",misc[[#This Row],[Compute]],"**MODULE",misc[[#This Row],[Module]],splitchar,"**CORE**ROB1*CR*MC*STATUS**")</f>
        <v>*SOCKET0**CBB2**COMPUTE0**MODULE7__**CORE**ROB1*CR*MC*STATUS**</v>
      </c>
      <c r="V74">
        <f>COUNTIFS(core_mc[TestName],misc[[#This Row],[ROB_MCA_String]],core_mc[VisualId],MC_Check!$H$2)</f>
        <v>0</v>
      </c>
      <c r="W74" t="str">
        <f>_xlfn.TEXTJOIN("",,"*SOCKET0**CBB",misc[[#This Row],[CBB]],"**COMPUTE",misc[[#This Row],[Compute]],"**MODULE",misc[[#This Row],[Module]],splitchar,"**CORE**DCU*CR*MC1*STATUS**")</f>
        <v>*SOCKET0**CBB2**COMPUTE0**MODULE7__**CORE**DCU*CR*MC1*STATUS**</v>
      </c>
      <c r="X74">
        <f>COUNTIFS(core_mc[TestName],misc[[#This Row],[DCU_MCA_String]],core_mc[VisualId],MC_Check!$H$2)</f>
        <v>0</v>
      </c>
      <c r="Y74" t="str">
        <f>_xlfn.TEXTJOIN("",,"*SOCKET0**CBB",misc[[#This Row],[CBB]],"**COMPUTE",misc[[#This Row],[Compute]],"**MODULE",misc[[#This Row],[Module]],splitchar,"**CORE**DTLB*CR*MC2*STATUS**")</f>
        <v>*SOCKET0**CBB2**COMPUTE0**MODULE7__**CORE**DTLB*CR*MC2*STATUS**</v>
      </c>
      <c r="Z74">
        <f>COUNTIFS(core_mc[TestName],misc[[#This Row],[CORE_DTLB_String]],core_mc[VisualId],MC_Check!$H$2)</f>
        <v>0</v>
      </c>
      <c r="AA74" t="str">
        <f>_xlfn.TEXTJOIN("",,"*SOCKET0**CBB",misc[[#This Row],[CBB]],"**COMPUTE",misc[[#This Row],[Compute]],"**MODULE",misc[[#This Row],[Module]],splitchar,"**ML2*CR*MC3*STATUS**")</f>
        <v>*SOCKET0**CBB2**COMPUTE0**MODULE7__**ML2*CR*MC3*STATUS**</v>
      </c>
      <c r="AB74">
        <f>COUNTIFS(core_mc[TestName],misc[[#This Row],[Core_ML2_String]],core_mc[VisualId],MC_Check!$H$2)</f>
        <v>0</v>
      </c>
      <c r="AC74" t="str">
        <f>_xlfn.TEXTJOIN("",,"*SOCKET0**CBB",misc[[#This Row],[CBB]],"**COMPUTE",misc[[#This Row],[Compute]],"**MODULE",misc[[#This Row],[Module]],splitchar,"SPARE")</f>
        <v>*SOCKET0**CBB2**COMPUTE0**MODULE7__SPARE</v>
      </c>
      <c r="AD74">
        <f>COUNTIFS(core_mc[TestName],misc[[#This Row],[Core_L2_String - SPARE]],core_mc[VisualId],MC_Check!$H$2)</f>
        <v>0</v>
      </c>
      <c r="AE74">
        <f>misc[[#This Row],[Core_DTLB_Count]]+misc[[#This Row],[Core_DCU_Count]]+misc[[#This Row],[Core_IFU_Count]]+misc[[#This Row],[Core_ROB_Count]]+misc[[#This Row],[Core_L2_Count - SPARE]]+misc[[#This Row],[Core_ML2_Count]]</f>
        <v>0</v>
      </c>
      <c r="AF74" t="str">
        <f>_xlfn.TEXTJOIN(", ",,IF(misc[[#This Row],[Core_IFU_Count]]&gt;0,"IFU",""),IF(misc[[#This Row],[Core_DCU_Count]]&gt;0,"DCU",""),IF(misc[[#This Row],[Core_DTLB_Count]]&gt;0,"DTLB",""),IF(misc[[#This Row],[Core_ROB_Count]]&gt;0,"ROB",""),IF(misc[[#This Row],[Core_ML2_Count]]&gt;0,"ML2",""),IF(misc[[#This Row],[Core_L2_Count - SPARE]]&gt;0,"L2",""))</f>
        <v/>
      </c>
      <c r="AG74" t="str">
        <f>_xlfn.TEXTJOIN("",,"*SOCKET0**CBB",misc[[#This Row],[CBB]],"**BASE**I_CCF**ENV",misc[[#This Row],[ENV]],splitchar,"CBREGS_ALL",misc[[#This Row],[CBO]],splitchar,"SPARE")</f>
        <v>*SOCKET0**CBB2**BASE**I_CCF**ENV3__CBREGS_ALL11__SPARE</v>
      </c>
      <c r="AH74">
        <f>COUNTIFS(cha_mc[TestName],misc[[#This Row],[LLC_MCA_String - Not Used]],cha_mc[VisualId],MC_Check!$H$2)</f>
        <v>0</v>
      </c>
    </row>
    <row r="75" spans="6:34" x14ac:dyDescent="0.3">
      <c r="F75">
        <v>2</v>
      </c>
      <c r="G75">
        <v>8</v>
      </c>
      <c r="H75" s="61">
        <f>IF(MC_Check!$AN$2="PHY",misc[[#This Row],[location]],misc[[#This Row],[Module_log]])</f>
        <v>8</v>
      </c>
      <c r="I75" s="61">
        <f>misc[[#This Row],[Module]]</f>
        <v>8</v>
      </c>
      <c r="J75" s="61">
        <f>J67+1</f>
        <v>1</v>
      </c>
      <c r="K75" s="61">
        <f>K71+1</f>
        <v>2</v>
      </c>
      <c r="L75" s="61">
        <v>0</v>
      </c>
      <c r="M75" s="61" t="str">
        <f>_xlfn.TEXTJOIN("",,misc[[#This Row],[ROW]],misc[[#This Row],[ROW]])</f>
        <v>22</v>
      </c>
      <c r="N75" s="5" t="b">
        <f>misc[[#This Row],[Core_Hitter_Count]]&gt;0</f>
        <v>0</v>
      </c>
      <c r="O75" t="b">
        <f>misc[[#This Row],[LLC_Hitter_Count]]&gt;0</f>
        <v>0</v>
      </c>
      <c r="P75" t="b">
        <f>misc[[#This Row],[CHA_Hitter_Count]]&gt;0</f>
        <v>0</v>
      </c>
      <c r="Q75" t="str">
        <f>_xlfn.TEXTJOIN("",,"*SOCKET0**CBB",misc[[#This Row],[CBB]],"**BASE**I_CCF_ENV",misc[[#This Row],[ENV]],splitchar,"CBREGS_ALL",misc[[#This Row],[CBO]],splitchar,"MC_STATUS*")</f>
        <v>*SOCKET0**CBB2**BASE**I_CCF_ENV0__CBREGS_ALL22__MC_STATUS*</v>
      </c>
      <c r="R75">
        <f>COUNTIFS(cha_mc[TestName],misc[[#This Row],[CBO_MCA_String]],cha_mc[VisualId],MC_Check!$H$2)</f>
        <v>0</v>
      </c>
      <c r="S75" t="str">
        <f>_xlfn.TEXTJOIN("",,"*SOCKET0**CBB",misc[[#This Row],[CBB]],"**COMPUTE",misc[[#This Row],[Compute]],"**MODULE",misc[[#This Row],[Module]],splitchar,"**CORE**IFU*CR*MC0*STATUS**")</f>
        <v>*SOCKET0**CBB2**COMPUTE1**MODULE8__**CORE**IFU*CR*MC0*STATUS**</v>
      </c>
      <c r="T75">
        <f>COUNTIFS(core_mc[TestName],misc[[#This Row],[IFU_MCA_String]],core_mc[VisualId],MC_Check!$H$2)</f>
        <v>0</v>
      </c>
      <c r="U75" t="str">
        <f>_xlfn.TEXTJOIN("",,"*SOCKET0**CBB",misc[[#This Row],[CBB]],"**COMPUTE",misc[[#This Row],[Compute]],"**MODULE",misc[[#This Row],[Module]],splitchar,"**CORE**ROB1*CR*MC*STATUS**")</f>
        <v>*SOCKET0**CBB2**COMPUTE1**MODULE8__**CORE**ROB1*CR*MC*STATUS**</v>
      </c>
      <c r="V75">
        <f>COUNTIFS(core_mc[TestName],misc[[#This Row],[ROB_MCA_String]],core_mc[VisualId],MC_Check!$H$2)</f>
        <v>0</v>
      </c>
      <c r="W75" t="str">
        <f>_xlfn.TEXTJOIN("",,"*SOCKET0**CBB",misc[[#This Row],[CBB]],"**COMPUTE",misc[[#This Row],[Compute]],"**MODULE",misc[[#This Row],[Module]],splitchar,"**CORE**DCU*CR*MC1*STATUS**")</f>
        <v>*SOCKET0**CBB2**COMPUTE1**MODULE8__**CORE**DCU*CR*MC1*STATUS**</v>
      </c>
      <c r="X75">
        <f>COUNTIFS(core_mc[TestName],misc[[#This Row],[DCU_MCA_String]],core_mc[VisualId],MC_Check!$H$2)</f>
        <v>0</v>
      </c>
      <c r="Y75" t="str">
        <f>_xlfn.TEXTJOIN("",,"*SOCKET0**CBB",misc[[#This Row],[CBB]],"**COMPUTE",misc[[#This Row],[Compute]],"**MODULE",misc[[#This Row],[Module]],splitchar,"**CORE**DTLB*CR*MC2*STATUS**")</f>
        <v>*SOCKET0**CBB2**COMPUTE1**MODULE8__**CORE**DTLB*CR*MC2*STATUS**</v>
      </c>
      <c r="Z75">
        <f>COUNTIFS(core_mc[TestName],misc[[#This Row],[CORE_DTLB_String]],core_mc[VisualId],MC_Check!$H$2)</f>
        <v>0</v>
      </c>
      <c r="AA75" t="str">
        <f>_xlfn.TEXTJOIN("",,"*SOCKET0**CBB",misc[[#This Row],[CBB]],"**COMPUTE",misc[[#This Row],[Compute]],"**MODULE",misc[[#This Row],[Module]],splitchar,"**ML2*CR*MC3*STATUS**")</f>
        <v>*SOCKET0**CBB2**COMPUTE1**MODULE8__**ML2*CR*MC3*STATUS**</v>
      </c>
      <c r="AB75">
        <f>COUNTIFS(core_mc[TestName],misc[[#This Row],[Core_ML2_String]],core_mc[VisualId],MC_Check!$H$2)</f>
        <v>0</v>
      </c>
      <c r="AC75" t="str">
        <f>_xlfn.TEXTJOIN("",,"*SOCKET0**CBB",misc[[#This Row],[CBB]],"**COMPUTE",misc[[#This Row],[Compute]],"**MODULE",misc[[#This Row],[Module]],splitchar,"SPARE")</f>
        <v>*SOCKET0**CBB2**COMPUTE1**MODULE8__SPARE</v>
      </c>
      <c r="AD75">
        <f>COUNTIFS(core_mc[TestName],misc[[#This Row],[Core_L2_String - SPARE]],core_mc[VisualId],MC_Check!$H$2)</f>
        <v>0</v>
      </c>
      <c r="AE75">
        <f>misc[[#This Row],[Core_DTLB_Count]]+misc[[#This Row],[Core_DCU_Count]]+misc[[#This Row],[Core_IFU_Count]]+misc[[#This Row],[Core_ROB_Count]]+misc[[#This Row],[Core_L2_Count - SPARE]]+misc[[#This Row],[Core_ML2_Count]]</f>
        <v>0</v>
      </c>
      <c r="AF75" t="str">
        <f>_xlfn.TEXTJOIN(", ",,IF(misc[[#This Row],[Core_IFU_Count]]&gt;0,"IFU",""),IF(misc[[#This Row],[Core_DCU_Count]]&gt;0,"DCU",""),IF(misc[[#This Row],[Core_DTLB_Count]]&gt;0,"DTLB",""),IF(misc[[#This Row],[Core_ROB_Count]]&gt;0,"ROB",""),IF(misc[[#This Row],[Core_ML2_Count]]&gt;0,"ML2",""),IF(misc[[#This Row],[Core_L2_Count - SPARE]]&gt;0,"L2",""))</f>
        <v/>
      </c>
      <c r="AG75" t="str">
        <f>_xlfn.TEXTJOIN("",,"*SOCKET0**CBB",misc[[#This Row],[CBB]],"**BASE**I_CCF**ENV",misc[[#This Row],[ENV]],splitchar,"CBREGS_ALL",misc[[#This Row],[CBO]],splitchar,"SPARE")</f>
        <v>*SOCKET0**CBB2**BASE**I_CCF**ENV0__CBREGS_ALL22__SPARE</v>
      </c>
      <c r="AH75">
        <f>COUNTIFS(cha_mc[TestName],misc[[#This Row],[LLC_MCA_String - Not Used]],cha_mc[VisualId],MC_Check!$H$2)</f>
        <v>0</v>
      </c>
    </row>
    <row r="76" spans="6:34" x14ac:dyDescent="0.3">
      <c r="F76">
        <v>2</v>
      </c>
      <c r="G76">
        <v>9</v>
      </c>
      <c r="H76" s="61">
        <f>IF(MC_Check!$AN$2="PHY",misc[[#This Row],[location]],misc[[#This Row],[Module_log]])</f>
        <v>9</v>
      </c>
      <c r="I76" s="61">
        <f>misc[[#This Row],[Module]]</f>
        <v>9</v>
      </c>
      <c r="J76" s="61">
        <f t="shared" ref="J76:J98" si="4">J68+1</f>
        <v>1</v>
      </c>
      <c r="K76" s="61">
        <f t="shared" si="3"/>
        <v>2</v>
      </c>
      <c r="L76" s="61">
        <v>1</v>
      </c>
      <c r="M76" s="61" t="str">
        <f>_xlfn.TEXTJOIN("",,misc[[#This Row],[ROW]],misc[[#This Row],[ROW]])</f>
        <v>22</v>
      </c>
      <c r="N76" s="5" t="b">
        <f>misc[[#This Row],[Core_Hitter_Count]]&gt;0</f>
        <v>0</v>
      </c>
      <c r="O76" t="b">
        <f>misc[[#This Row],[LLC_Hitter_Count]]&gt;0</f>
        <v>0</v>
      </c>
      <c r="P76" t="b">
        <f>misc[[#This Row],[CHA_Hitter_Count]]&gt;0</f>
        <v>0</v>
      </c>
      <c r="Q76" t="str">
        <f>_xlfn.TEXTJOIN("",,"*SOCKET0**CBB",misc[[#This Row],[CBB]],"**BASE**I_CCF_ENV",misc[[#This Row],[ENV]],splitchar,"CBREGS_ALL",misc[[#This Row],[CBO]],splitchar,"MC_STATUS*")</f>
        <v>*SOCKET0**CBB2**BASE**I_CCF_ENV1__CBREGS_ALL22__MC_STATUS*</v>
      </c>
      <c r="R76">
        <f>COUNTIFS(cha_mc[TestName],misc[[#This Row],[CBO_MCA_String]],cha_mc[VisualId],MC_Check!$H$2)</f>
        <v>0</v>
      </c>
      <c r="S76" t="str">
        <f>_xlfn.TEXTJOIN("",,"*SOCKET0**CBB",misc[[#This Row],[CBB]],"**COMPUTE",misc[[#This Row],[Compute]],"**MODULE",misc[[#This Row],[Module]],splitchar,"**CORE**IFU*CR*MC0*STATUS**")</f>
        <v>*SOCKET0**CBB2**COMPUTE1**MODULE9__**CORE**IFU*CR*MC0*STATUS**</v>
      </c>
      <c r="T76">
        <f>COUNTIFS(core_mc[TestName],misc[[#This Row],[IFU_MCA_String]],core_mc[VisualId],MC_Check!$H$2)</f>
        <v>0</v>
      </c>
      <c r="U76" t="str">
        <f>_xlfn.TEXTJOIN("",,"*SOCKET0**CBB",misc[[#This Row],[CBB]],"**COMPUTE",misc[[#This Row],[Compute]],"**MODULE",misc[[#This Row],[Module]],splitchar,"**CORE**ROB1*CR*MC*STATUS**")</f>
        <v>*SOCKET0**CBB2**COMPUTE1**MODULE9__**CORE**ROB1*CR*MC*STATUS**</v>
      </c>
      <c r="V76">
        <f>COUNTIFS(core_mc[TestName],misc[[#This Row],[ROB_MCA_String]],core_mc[VisualId],MC_Check!$H$2)</f>
        <v>0</v>
      </c>
      <c r="W76" t="str">
        <f>_xlfn.TEXTJOIN("",,"*SOCKET0**CBB",misc[[#This Row],[CBB]],"**COMPUTE",misc[[#This Row],[Compute]],"**MODULE",misc[[#This Row],[Module]],splitchar,"**CORE**DCU*CR*MC1*STATUS**")</f>
        <v>*SOCKET0**CBB2**COMPUTE1**MODULE9__**CORE**DCU*CR*MC1*STATUS**</v>
      </c>
      <c r="X76">
        <f>COUNTIFS(core_mc[TestName],misc[[#This Row],[DCU_MCA_String]],core_mc[VisualId],MC_Check!$H$2)</f>
        <v>0</v>
      </c>
      <c r="Y76" t="str">
        <f>_xlfn.TEXTJOIN("",,"*SOCKET0**CBB",misc[[#This Row],[CBB]],"**COMPUTE",misc[[#This Row],[Compute]],"**MODULE",misc[[#This Row],[Module]],splitchar,"**CORE**DTLB*CR*MC2*STATUS**")</f>
        <v>*SOCKET0**CBB2**COMPUTE1**MODULE9__**CORE**DTLB*CR*MC2*STATUS**</v>
      </c>
      <c r="Z76">
        <f>COUNTIFS(core_mc[TestName],misc[[#This Row],[CORE_DTLB_String]],core_mc[VisualId],MC_Check!$H$2)</f>
        <v>0</v>
      </c>
      <c r="AA76" t="str">
        <f>_xlfn.TEXTJOIN("",,"*SOCKET0**CBB",misc[[#This Row],[CBB]],"**COMPUTE",misc[[#This Row],[Compute]],"**MODULE",misc[[#This Row],[Module]],splitchar,"**ML2*CR*MC3*STATUS**")</f>
        <v>*SOCKET0**CBB2**COMPUTE1**MODULE9__**ML2*CR*MC3*STATUS**</v>
      </c>
      <c r="AB76">
        <f>COUNTIFS(core_mc[TestName],misc[[#This Row],[Core_ML2_String]],core_mc[VisualId],MC_Check!$H$2)</f>
        <v>0</v>
      </c>
      <c r="AC76" t="str">
        <f>_xlfn.TEXTJOIN("",,"*SOCKET0**CBB",misc[[#This Row],[CBB]],"**COMPUTE",misc[[#This Row],[Compute]],"**MODULE",misc[[#This Row],[Module]],splitchar,"SPARE")</f>
        <v>*SOCKET0**CBB2**COMPUTE1**MODULE9__SPARE</v>
      </c>
      <c r="AD76">
        <f>COUNTIFS(core_mc[TestName],misc[[#This Row],[Core_L2_String - SPARE]],core_mc[VisualId],MC_Check!$H$2)</f>
        <v>0</v>
      </c>
      <c r="AE76">
        <f>misc[[#This Row],[Core_DTLB_Count]]+misc[[#This Row],[Core_DCU_Count]]+misc[[#This Row],[Core_IFU_Count]]+misc[[#This Row],[Core_ROB_Count]]+misc[[#This Row],[Core_L2_Count - SPARE]]+misc[[#This Row],[Core_ML2_Count]]</f>
        <v>0</v>
      </c>
      <c r="AF76" t="str">
        <f>_xlfn.TEXTJOIN(", ",,IF(misc[[#This Row],[Core_IFU_Count]]&gt;0,"IFU",""),IF(misc[[#This Row],[Core_DCU_Count]]&gt;0,"DCU",""),IF(misc[[#This Row],[Core_DTLB_Count]]&gt;0,"DTLB",""),IF(misc[[#This Row],[Core_ROB_Count]]&gt;0,"ROB",""),IF(misc[[#This Row],[Core_ML2_Count]]&gt;0,"ML2",""),IF(misc[[#This Row],[Core_L2_Count - SPARE]]&gt;0,"L2",""))</f>
        <v/>
      </c>
      <c r="AG76" t="str">
        <f>_xlfn.TEXTJOIN("",,"*SOCKET0**CBB",misc[[#This Row],[CBB]],"**BASE**I_CCF**ENV",misc[[#This Row],[ENV]],splitchar,"CBREGS_ALL",misc[[#This Row],[CBO]],splitchar,"SPARE")</f>
        <v>*SOCKET0**CBB2**BASE**I_CCF**ENV1__CBREGS_ALL22__SPARE</v>
      </c>
      <c r="AH76">
        <f>COUNTIFS(cha_mc[TestName],misc[[#This Row],[LLC_MCA_String - Not Used]],cha_mc[VisualId],MC_Check!$H$2)</f>
        <v>0</v>
      </c>
    </row>
    <row r="77" spans="6:34" x14ac:dyDescent="0.3">
      <c r="F77">
        <v>2</v>
      </c>
      <c r="G77">
        <v>10</v>
      </c>
      <c r="H77" s="61">
        <f>IF(MC_Check!$AN$2="PHY",misc[[#This Row],[location]],misc[[#This Row],[Module_log]])</f>
        <v>10</v>
      </c>
      <c r="I77" s="61">
        <f>misc[[#This Row],[Module]]</f>
        <v>10</v>
      </c>
      <c r="J77" s="61">
        <f t="shared" si="4"/>
        <v>1</v>
      </c>
      <c r="K77" s="61">
        <f t="shared" si="3"/>
        <v>2</v>
      </c>
      <c r="L77" s="61">
        <v>2</v>
      </c>
      <c r="M77" s="61" t="str">
        <f>_xlfn.TEXTJOIN("",,misc[[#This Row],[ROW]],misc[[#This Row],[ROW]])</f>
        <v>22</v>
      </c>
      <c r="N77" s="5" t="b">
        <f>misc[[#This Row],[Core_Hitter_Count]]&gt;0</f>
        <v>0</v>
      </c>
      <c r="O77" t="b">
        <f>misc[[#This Row],[LLC_Hitter_Count]]&gt;0</f>
        <v>0</v>
      </c>
      <c r="P77" t="b">
        <f>misc[[#This Row],[CHA_Hitter_Count]]&gt;0</f>
        <v>0</v>
      </c>
      <c r="Q77" t="str">
        <f>_xlfn.TEXTJOIN("",,"*SOCKET0**CBB",misc[[#This Row],[CBB]],"**BASE**I_CCF_ENV",misc[[#This Row],[ENV]],splitchar,"CBREGS_ALL",misc[[#This Row],[CBO]],splitchar,"MC_STATUS*")</f>
        <v>*SOCKET0**CBB2**BASE**I_CCF_ENV2__CBREGS_ALL22__MC_STATUS*</v>
      </c>
      <c r="R77">
        <f>COUNTIFS(cha_mc[TestName],misc[[#This Row],[CBO_MCA_String]],cha_mc[VisualId],MC_Check!$H$2)</f>
        <v>0</v>
      </c>
      <c r="S77" t="str">
        <f>_xlfn.TEXTJOIN("",,"*SOCKET0**CBB",misc[[#This Row],[CBB]],"**COMPUTE",misc[[#This Row],[Compute]],"**MODULE",misc[[#This Row],[Module]],splitchar,"**CORE**IFU*CR*MC0*STATUS**")</f>
        <v>*SOCKET0**CBB2**COMPUTE1**MODULE10__**CORE**IFU*CR*MC0*STATUS**</v>
      </c>
      <c r="T77">
        <f>COUNTIFS(core_mc[TestName],misc[[#This Row],[IFU_MCA_String]],core_mc[VisualId],MC_Check!$H$2)</f>
        <v>0</v>
      </c>
      <c r="U77" t="str">
        <f>_xlfn.TEXTJOIN("",,"*SOCKET0**CBB",misc[[#This Row],[CBB]],"**COMPUTE",misc[[#This Row],[Compute]],"**MODULE",misc[[#This Row],[Module]],splitchar,"**CORE**ROB1*CR*MC*STATUS**")</f>
        <v>*SOCKET0**CBB2**COMPUTE1**MODULE10__**CORE**ROB1*CR*MC*STATUS**</v>
      </c>
      <c r="V77">
        <f>COUNTIFS(core_mc[TestName],misc[[#This Row],[ROB_MCA_String]],core_mc[VisualId],MC_Check!$H$2)</f>
        <v>0</v>
      </c>
      <c r="W77" t="str">
        <f>_xlfn.TEXTJOIN("",,"*SOCKET0**CBB",misc[[#This Row],[CBB]],"**COMPUTE",misc[[#This Row],[Compute]],"**MODULE",misc[[#This Row],[Module]],splitchar,"**CORE**DCU*CR*MC1*STATUS**")</f>
        <v>*SOCKET0**CBB2**COMPUTE1**MODULE10__**CORE**DCU*CR*MC1*STATUS**</v>
      </c>
      <c r="X77">
        <f>COUNTIFS(core_mc[TestName],misc[[#This Row],[DCU_MCA_String]],core_mc[VisualId],MC_Check!$H$2)</f>
        <v>0</v>
      </c>
      <c r="Y77" t="str">
        <f>_xlfn.TEXTJOIN("",,"*SOCKET0**CBB",misc[[#This Row],[CBB]],"**COMPUTE",misc[[#This Row],[Compute]],"**MODULE",misc[[#This Row],[Module]],splitchar,"**CORE**DTLB*CR*MC2*STATUS**")</f>
        <v>*SOCKET0**CBB2**COMPUTE1**MODULE10__**CORE**DTLB*CR*MC2*STATUS**</v>
      </c>
      <c r="Z77">
        <f>COUNTIFS(core_mc[TestName],misc[[#This Row],[CORE_DTLB_String]],core_mc[VisualId],MC_Check!$H$2)</f>
        <v>0</v>
      </c>
      <c r="AA77" t="str">
        <f>_xlfn.TEXTJOIN("",,"*SOCKET0**CBB",misc[[#This Row],[CBB]],"**COMPUTE",misc[[#This Row],[Compute]],"**MODULE",misc[[#This Row],[Module]],splitchar,"**ML2*CR*MC3*STATUS**")</f>
        <v>*SOCKET0**CBB2**COMPUTE1**MODULE10__**ML2*CR*MC3*STATUS**</v>
      </c>
      <c r="AB77">
        <f>COUNTIFS(core_mc[TestName],misc[[#This Row],[Core_ML2_String]],core_mc[VisualId],MC_Check!$H$2)</f>
        <v>0</v>
      </c>
      <c r="AC77" t="str">
        <f>_xlfn.TEXTJOIN("",,"*SOCKET0**CBB",misc[[#This Row],[CBB]],"**COMPUTE",misc[[#This Row],[Compute]],"**MODULE",misc[[#This Row],[Module]],splitchar,"SPARE")</f>
        <v>*SOCKET0**CBB2**COMPUTE1**MODULE10__SPARE</v>
      </c>
      <c r="AD77">
        <f>COUNTIFS(core_mc[TestName],misc[[#This Row],[Core_L2_String - SPARE]],core_mc[VisualId],MC_Check!$H$2)</f>
        <v>0</v>
      </c>
      <c r="AE77">
        <f>misc[[#This Row],[Core_DTLB_Count]]+misc[[#This Row],[Core_DCU_Count]]+misc[[#This Row],[Core_IFU_Count]]+misc[[#This Row],[Core_ROB_Count]]+misc[[#This Row],[Core_L2_Count - SPARE]]+misc[[#This Row],[Core_ML2_Count]]</f>
        <v>0</v>
      </c>
      <c r="AF77" t="str">
        <f>_xlfn.TEXTJOIN(", ",,IF(misc[[#This Row],[Core_IFU_Count]]&gt;0,"IFU",""),IF(misc[[#This Row],[Core_DCU_Count]]&gt;0,"DCU",""),IF(misc[[#This Row],[Core_DTLB_Count]]&gt;0,"DTLB",""),IF(misc[[#This Row],[Core_ROB_Count]]&gt;0,"ROB",""),IF(misc[[#This Row],[Core_ML2_Count]]&gt;0,"ML2",""),IF(misc[[#This Row],[Core_L2_Count - SPARE]]&gt;0,"L2",""))</f>
        <v/>
      </c>
      <c r="AG77" t="str">
        <f>_xlfn.TEXTJOIN("",,"*SOCKET0**CBB",misc[[#This Row],[CBB]],"**BASE**I_CCF**ENV",misc[[#This Row],[ENV]],splitchar,"CBREGS_ALL",misc[[#This Row],[CBO]],splitchar,"SPARE")</f>
        <v>*SOCKET0**CBB2**BASE**I_CCF**ENV2__CBREGS_ALL22__SPARE</v>
      </c>
      <c r="AH77">
        <f>COUNTIFS(cha_mc[TestName],misc[[#This Row],[LLC_MCA_String - Not Used]],cha_mc[VisualId],MC_Check!$H$2)</f>
        <v>0</v>
      </c>
    </row>
    <row r="78" spans="6:34" x14ac:dyDescent="0.3">
      <c r="F78">
        <v>2</v>
      </c>
      <c r="G78">
        <v>11</v>
      </c>
      <c r="H78" s="61">
        <f>IF(MC_Check!$AN$2="PHY",misc[[#This Row],[location]],misc[[#This Row],[Module_log]])</f>
        <v>11</v>
      </c>
      <c r="I78" s="61">
        <f>misc[[#This Row],[Module]]</f>
        <v>11</v>
      </c>
      <c r="J78" s="61">
        <f t="shared" si="4"/>
        <v>1</v>
      </c>
      <c r="K78" s="61">
        <f t="shared" si="3"/>
        <v>2</v>
      </c>
      <c r="L78" s="61">
        <v>3</v>
      </c>
      <c r="M78" s="61" t="str">
        <f>_xlfn.TEXTJOIN("",,misc[[#This Row],[ROW]],misc[[#This Row],[ROW]])</f>
        <v>22</v>
      </c>
      <c r="N78" s="5" t="b">
        <f>misc[[#This Row],[Core_Hitter_Count]]&gt;0</f>
        <v>0</v>
      </c>
      <c r="O78" t="b">
        <f>misc[[#This Row],[LLC_Hitter_Count]]&gt;0</f>
        <v>0</v>
      </c>
      <c r="P78" t="b">
        <f>misc[[#This Row],[CHA_Hitter_Count]]&gt;0</f>
        <v>0</v>
      </c>
      <c r="Q78" t="str">
        <f>_xlfn.TEXTJOIN("",,"*SOCKET0**CBB",misc[[#This Row],[CBB]],"**BASE**I_CCF_ENV",misc[[#This Row],[ENV]],splitchar,"CBREGS_ALL",misc[[#This Row],[CBO]],splitchar,"MC_STATUS*")</f>
        <v>*SOCKET0**CBB2**BASE**I_CCF_ENV3__CBREGS_ALL22__MC_STATUS*</v>
      </c>
      <c r="R78">
        <f>COUNTIFS(cha_mc[TestName],misc[[#This Row],[CBO_MCA_String]],cha_mc[VisualId],MC_Check!$H$2)</f>
        <v>0</v>
      </c>
      <c r="S78" t="str">
        <f>_xlfn.TEXTJOIN("",,"*SOCKET0**CBB",misc[[#This Row],[CBB]],"**COMPUTE",misc[[#This Row],[Compute]],"**MODULE",misc[[#This Row],[Module]],splitchar,"**CORE**IFU*CR*MC0*STATUS**")</f>
        <v>*SOCKET0**CBB2**COMPUTE1**MODULE11__**CORE**IFU*CR*MC0*STATUS**</v>
      </c>
      <c r="T78">
        <f>COUNTIFS(core_mc[TestName],misc[[#This Row],[IFU_MCA_String]],core_mc[VisualId],MC_Check!$H$2)</f>
        <v>0</v>
      </c>
      <c r="U78" t="str">
        <f>_xlfn.TEXTJOIN("",,"*SOCKET0**CBB",misc[[#This Row],[CBB]],"**COMPUTE",misc[[#This Row],[Compute]],"**MODULE",misc[[#This Row],[Module]],splitchar,"**CORE**ROB1*CR*MC*STATUS**")</f>
        <v>*SOCKET0**CBB2**COMPUTE1**MODULE11__**CORE**ROB1*CR*MC*STATUS**</v>
      </c>
      <c r="V78">
        <f>COUNTIFS(core_mc[TestName],misc[[#This Row],[ROB_MCA_String]],core_mc[VisualId],MC_Check!$H$2)</f>
        <v>0</v>
      </c>
      <c r="W78" t="str">
        <f>_xlfn.TEXTJOIN("",,"*SOCKET0**CBB",misc[[#This Row],[CBB]],"**COMPUTE",misc[[#This Row],[Compute]],"**MODULE",misc[[#This Row],[Module]],splitchar,"**CORE**DCU*CR*MC1*STATUS**")</f>
        <v>*SOCKET0**CBB2**COMPUTE1**MODULE11__**CORE**DCU*CR*MC1*STATUS**</v>
      </c>
      <c r="X78">
        <f>COUNTIFS(core_mc[TestName],misc[[#This Row],[DCU_MCA_String]],core_mc[VisualId],MC_Check!$H$2)</f>
        <v>0</v>
      </c>
      <c r="Y78" t="str">
        <f>_xlfn.TEXTJOIN("",,"*SOCKET0**CBB",misc[[#This Row],[CBB]],"**COMPUTE",misc[[#This Row],[Compute]],"**MODULE",misc[[#This Row],[Module]],splitchar,"**CORE**DTLB*CR*MC2*STATUS**")</f>
        <v>*SOCKET0**CBB2**COMPUTE1**MODULE11__**CORE**DTLB*CR*MC2*STATUS**</v>
      </c>
      <c r="Z78">
        <f>COUNTIFS(core_mc[TestName],misc[[#This Row],[CORE_DTLB_String]],core_mc[VisualId],MC_Check!$H$2)</f>
        <v>0</v>
      </c>
      <c r="AA78" t="str">
        <f>_xlfn.TEXTJOIN("",,"*SOCKET0**CBB",misc[[#This Row],[CBB]],"**COMPUTE",misc[[#This Row],[Compute]],"**MODULE",misc[[#This Row],[Module]],splitchar,"**ML2*CR*MC3*STATUS**")</f>
        <v>*SOCKET0**CBB2**COMPUTE1**MODULE11__**ML2*CR*MC3*STATUS**</v>
      </c>
      <c r="AB78">
        <f>COUNTIFS(core_mc[TestName],misc[[#This Row],[Core_ML2_String]],core_mc[VisualId],MC_Check!$H$2)</f>
        <v>0</v>
      </c>
      <c r="AC78" t="str">
        <f>_xlfn.TEXTJOIN("",,"*SOCKET0**CBB",misc[[#This Row],[CBB]],"**COMPUTE",misc[[#This Row],[Compute]],"**MODULE",misc[[#This Row],[Module]],splitchar,"SPARE")</f>
        <v>*SOCKET0**CBB2**COMPUTE1**MODULE11__SPARE</v>
      </c>
      <c r="AD78">
        <f>COUNTIFS(core_mc[TestName],misc[[#This Row],[Core_L2_String - SPARE]],core_mc[VisualId],MC_Check!$H$2)</f>
        <v>0</v>
      </c>
      <c r="AE78">
        <f>misc[[#This Row],[Core_DTLB_Count]]+misc[[#This Row],[Core_DCU_Count]]+misc[[#This Row],[Core_IFU_Count]]+misc[[#This Row],[Core_ROB_Count]]+misc[[#This Row],[Core_L2_Count - SPARE]]+misc[[#This Row],[Core_ML2_Count]]</f>
        <v>0</v>
      </c>
      <c r="AF78" t="str">
        <f>_xlfn.TEXTJOIN(", ",,IF(misc[[#This Row],[Core_IFU_Count]]&gt;0,"IFU",""),IF(misc[[#This Row],[Core_DCU_Count]]&gt;0,"DCU",""),IF(misc[[#This Row],[Core_DTLB_Count]]&gt;0,"DTLB",""),IF(misc[[#This Row],[Core_ROB_Count]]&gt;0,"ROB",""),IF(misc[[#This Row],[Core_ML2_Count]]&gt;0,"ML2",""),IF(misc[[#This Row],[Core_L2_Count - SPARE]]&gt;0,"L2",""))</f>
        <v/>
      </c>
      <c r="AG78" t="str">
        <f>_xlfn.TEXTJOIN("",,"*SOCKET0**CBB",misc[[#This Row],[CBB]],"**BASE**I_CCF**ENV",misc[[#This Row],[ENV]],splitchar,"CBREGS_ALL",misc[[#This Row],[CBO]],splitchar,"SPARE")</f>
        <v>*SOCKET0**CBB2**BASE**I_CCF**ENV3__CBREGS_ALL22__SPARE</v>
      </c>
      <c r="AH78">
        <f>COUNTIFS(cha_mc[TestName],misc[[#This Row],[LLC_MCA_String - Not Used]],cha_mc[VisualId],MC_Check!$H$2)</f>
        <v>0</v>
      </c>
    </row>
    <row r="79" spans="6:34" x14ac:dyDescent="0.3">
      <c r="F79">
        <v>2</v>
      </c>
      <c r="G79">
        <v>12</v>
      </c>
      <c r="H79" s="61">
        <f>IF(MC_Check!$AN$2="PHY",misc[[#This Row],[location]],misc[[#This Row],[Module_log]])</f>
        <v>12</v>
      </c>
      <c r="I79" s="61">
        <f>misc[[#This Row],[Module]]</f>
        <v>12</v>
      </c>
      <c r="J79" s="61">
        <f t="shared" si="4"/>
        <v>1</v>
      </c>
      <c r="K79" s="61">
        <f>K75+1</f>
        <v>3</v>
      </c>
      <c r="L79" s="61">
        <v>0</v>
      </c>
      <c r="M79" s="61" t="str">
        <f>_xlfn.TEXTJOIN("",,misc[[#This Row],[ROW]],misc[[#This Row],[ROW]])</f>
        <v>33</v>
      </c>
      <c r="N79" s="5" t="b">
        <f>misc[[#This Row],[Core_Hitter_Count]]&gt;0</f>
        <v>0</v>
      </c>
      <c r="O79" t="b">
        <f>misc[[#This Row],[LLC_Hitter_Count]]&gt;0</f>
        <v>0</v>
      </c>
      <c r="P79" t="b">
        <f>misc[[#This Row],[CHA_Hitter_Count]]&gt;0</f>
        <v>0</v>
      </c>
      <c r="Q79" t="str">
        <f>_xlfn.TEXTJOIN("",,"*SOCKET0**CBB",misc[[#This Row],[CBB]],"**BASE**I_CCF_ENV",misc[[#This Row],[ENV]],splitchar,"CBREGS_ALL",misc[[#This Row],[CBO]],splitchar,"MC_STATUS*")</f>
        <v>*SOCKET0**CBB2**BASE**I_CCF_ENV0__CBREGS_ALL33__MC_STATUS*</v>
      </c>
      <c r="R79">
        <f>COUNTIFS(cha_mc[TestName],misc[[#This Row],[CBO_MCA_String]],cha_mc[VisualId],MC_Check!$H$2)</f>
        <v>0</v>
      </c>
      <c r="S79" t="str">
        <f>_xlfn.TEXTJOIN("",,"*SOCKET0**CBB",misc[[#This Row],[CBB]],"**COMPUTE",misc[[#This Row],[Compute]],"**MODULE",misc[[#This Row],[Module]],splitchar,"**CORE**IFU*CR*MC0*STATUS**")</f>
        <v>*SOCKET0**CBB2**COMPUTE1**MODULE12__**CORE**IFU*CR*MC0*STATUS**</v>
      </c>
      <c r="T79">
        <f>COUNTIFS(core_mc[TestName],misc[[#This Row],[IFU_MCA_String]],core_mc[VisualId],MC_Check!$H$2)</f>
        <v>0</v>
      </c>
      <c r="U79" t="str">
        <f>_xlfn.TEXTJOIN("",,"*SOCKET0**CBB",misc[[#This Row],[CBB]],"**COMPUTE",misc[[#This Row],[Compute]],"**MODULE",misc[[#This Row],[Module]],splitchar,"**CORE**ROB1*CR*MC*STATUS**")</f>
        <v>*SOCKET0**CBB2**COMPUTE1**MODULE12__**CORE**ROB1*CR*MC*STATUS**</v>
      </c>
      <c r="V79">
        <f>COUNTIFS(core_mc[TestName],misc[[#This Row],[ROB_MCA_String]],core_mc[VisualId],MC_Check!$H$2)</f>
        <v>0</v>
      </c>
      <c r="W79" t="str">
        <f>_xlfn.TEXTJOIN("",,"*SOCKET0**CBB",misc[[#This Row],[CBB]],"**COMPUTE",misc[[#This Row],[Compute]],"**MODULE",misc[[#This Row],[Module]],splitchar,"**CORE**DCU*CR*MC1*STATUS**")</f>
        <v>*SOCKET0**CBB2**COMPUTE1**MODULE12__**CORE**DCU*CR*MC1*STATUS**</v>
      </c>
      <c r="X79">
        <f>COUNTIFS(core_mc[TestName],misc[[#This Row],[DCU_MCA_String]],core_mc[VisualId],MC_Check!$H$2)</f>
        <v>0</v>
      </c>
      <c r="Y79" t="str">
        <f>_xlfn.TEXTJOIN("",,"*SOCKET0**CBB",misc[[#This Row],[CBB]],"**COMPUTE",misc[[#This Row],[Compute]],"**MODULE",misc[[#This Row],[Module]],splitchar,"**CORE**DTLB*CR*MC2*STATUS**")</f>
        <v>*SOCKET0**CBB2**COMPUTE1**MODULE12__**CORE**DTLB*CR*MC2*STATUS**</v>
      </c>
      <c r="Z79">
        <f>COUNTIFS(core_mc[TestName],misc[[#This Row],[CORE_DTLB_String]],core_mc[VisualId],MC_Check!$H$2)</f>
        <v>0</v>
      </c>
      <c r="AA79" t="str">
        <f>_xlfn.TEXTJOIN("",,"*SOCKET0**CBB",misc[[#This Row],[CBB]],"**COMPUTE",misc[[#This Row],[Compute]],"**MODULE",misc[[#This Row],[Module]],splitchar,"**ML2*CR*MC3*STATUS**")</f>
        <v>*SOCKET0**CBB2**COMPUTE1**MODULE12__**ML2*CR*MC3*STATUS**</v>
      </c>
      <c r="AB79">
        <f>COUNTIFS(core_mc[TestName],misc[[#This Row],[Core_ML2_String]],core_mc[VisualId],MC_Check!$H$2)</f>
        <v>0</v>
      </c>
      <c r="AC79" t="str">
        <f>_xlfn.TEXTJOIN("",,"*SOCKET0**CBB",misc[[#This Row],[CBB]],"**COMPUTE",misc[[#This Row],[Compute]],"**MODULE",misc[[#This Row],[Module]],splitchar,"SPARE")</f>
        <v>*SOCKET0**CBB2**COMPUTE1**MODULE12__SPARE</v>
      </c>
      <c r="AD79">
        <f>COUNTIFS(core_mc[TestName],misc[[#This Row],[Core_L2_String - SPARE]],core_mc[VisualId],MC_Check!$H$2)</f>
        <v>0</v>
      </c>
      <c r="AE79">
        <f>misc[[#This Row],[Core_DTLB_Count]]+misc[[#This Row],[Core_DCU_Count]]+misc[[#This Row],[Core_IFU_Count]]+misc[[#This Row],[Core_ROB_Count]]+misc[[#This Row],[Core_L2_Count - SPARE]]+misc[[#This Row],[Core_ML2_Count]]</f>
        <v>0</v>
      </c>
      <c r="AF79" t="str">
        <f>_xlfn.TEXTJOIN(", ",,IF(misc[[#This Row],[Core_IFU_Count]]&gt;0,"IFU",""),IF(misc[[#This Row],[Core_DCU_Count]]&gt;0,"DCU",""),IF(misc[[#This Row],[Core_DTLB_Count]]&gt;0,"DTLB",""),IF(misc[[#This Row],[Core_ROB_Count]]&gt;0,"ROB",""),IF(misc[[#This Row],[Core_ML2_Count]]&gt;0,"ML2",""),IF(misc[[#This Row],[Core_L2_Count - SPARE]]&gt;0,"L2",""))</f>
        <v/>
      </c>
      <c r="AG79" t="str">
        <f>_xlfn.TEXTJOIN("",,"*SOCKET0**CBB",misc[[#This Row],[CBB]],"**BASE**I_CCF**ENV",misc[[#This Row],[ENV]],splitchar,"CBREGS_ALL",misc[[#This Row],[CBO]],splitchar,"SPARE")</f>
        <v>*SOCKET0**CBB2**BASE**I_CCF**ENV0__CBREGS_ALL33__SPARE</v>
      </c>
      <c r="AH79">
        <f>COUNTIFS(cha_mc[TestName],misc[[#This Row],[LLC_MCA_String - Not Used]],cha_mc[VisualId],MC_Check!$H$2)</f>
        <v>0</v>
      </c>
    </row>
    <row r="80" spans="6:34" x14ac:dyDescent="0.3">
      <c r="F80">
        <v>2</v>
      </c>
      <c r="G80">
        <v>13</v>
      </c>
      <c r="H80" s="61">
        <f>IF(MC_Check!$AN$2="PHY",misc[[#This Row],[location]],misc[[#This Row],[Module_log]])</f>
        <v>13</v>
      </c>
      <c r="I80" s="61">
        <f>misc[[#This Row],[Module]]</f>
        <v>13</v>
      </c>
      <c r="J80" s="61">
        <f t="shared" si="4"/>
        <v>1</v>
      </c>
      <c r="K80" s="61">
        <f t="shared" si="3"/>
        <v>3</v>
      </c>
      <c r="L80" s="61">
        <v>1</v>
      </c>
      <c r="M80" s="61" t="str">
        <f>_xlfn.TEXTJOIN("",,misc[[#This Row],[ROW]],misc[[#This Row],[ROW]])</f>
        <v>33</v>
      </c>
      <c r="N80" s="5" t="b">
        <f>misc[[#This Row],[Core_Hitter_Count]]&gt;0</f>
        <v>0</v>
      </c>
      <c r="O80" t="b">
        <f>misc[[#This Row],[LLC_Hitter_Count]]&gt;0</f>
        <v>0</v>
      </c>
      <c r="P80" t="b">
        <f>misc[[#This Row],[CHA_Hitter_Count]]&gt;0</f>
        <v>0</v>
      </c>
      <c r="Q80" t="str">
        <f>_xlfn.TEXTJOIN("",,"*SOCKET0**CBB",misc[[#This Row],[CBB]],"**BASE**I_CCF_ENV",misc[[#This Row],[ENV]],splitchar,"CBREGS_ALL",misc[[#This Row],[CBO]],splitchar,"MC_STATUS*")</f>
        <v>*SOCKET0**CBB2**BASE**I_CCF_ENV1__CBREGS_ALL33__MC_STATUS*</v>
      </c>
      <c r="R80">
        <f>COUNTIFS(cha_mc[TestName],misc[[#This Row],[CBO_MCA_String]],cha_mc[VisualId],MC_Check!$H$2)</f>
        <v>0</v>
      </c>
      <c r="S80" t="str">
        <f>_xlfn.TEXTJOIN("",,"*SOCKET0**CBB",misc[[#This Row],[CBB]],"**COMPUTE",misc[[#This Row],[Compute]],"**MODULE",misc[[#This Row],[Module]],splitchar,"**CORE**IFU*CR*MC0*STATUS**")</f>
        <v>*SOCKET0**CBB2**COMPUTE1**MODULE13__**CORE**IFU*CR*MC0*STATUS**</v>
      </c>
      <c r="T80">
        <f>COUNTIFS(core_mc[TestName],misc[[#This Row],[IFU_MCA_String]],core_mc[VisualId],MC_Check!$H$2)</f>
        <v>0</v>
      </c>
      <c r="U80" t="str">
        <f>_xlfn.TEXTJOIN("",,"*SOCKET0**CBB",misc[[#This Row],[CBB]],"**COMPUTE",misc[[#This Row],[Compute]],"**MODULE",misc[[#This Row],[Module]],splitchar,"**CORE**ROB1*CR*MC*STATUS**")</f>
        <v>*SOCKET0**CBB2**COMPUTE1**MODULE13__**CORE**ROB1*CR*MC*STATUS**</v>
      </c>
      <c r="V80">
        <f>COUNTIFS(core_mc[TestName],misc[[#This Row],[ROB_MCA_String]],core_mc[VisualId],MC_Check!$H$2)</f>
        <v>0</v>
      </c>
      <c r="W80" t="str">
        <f>_xlfn.TEXTJOIN("",,"*SOCKET0**CBB",misc[[#This Row],[CBB]],"**COMPUTE",misc[[#This Row],[Compute]],"**MODULE",misc[[#This Row],[Module]],splitchar,"**CORE**DCU*CR*MC1*STATUS**")</f>
        <v>*SOCKET0**CBB2**COMPUTE1**MODULE13__**CORE**DCU*CR*MC1*STATUS**</v>
      </c>
      <c r="X80">
        <f>COUNTIFS(core_mc[TestName],misc[[#This Row],[DCU_MCA_String]],core_mc[VisualId],MC_Check!$H$2)</f>
        <v>0</v>
      </c>
      <c r="Y80" t="str">
        <f>_xlfn.TEXTJOIN("",,"*SOCKET0**CBB",misc[[#This Row],[CBB]],"**COMPUTE",misc[[#This Row],[Compute]],"**MODULE",misc[[#This Row],[Module]],splitchar,"**CORE**DTLB*CR*MC2*STATUS**")</f>
        <v>*SOCKET0**CBB2**COMPUTE1**MODULE13__**CORE**DTLB*CR*MC2*STATUS**</v>
      </c>
      <c r="Z80">
        <f>COUNTIFS(core_mc[TestName],misc[[#This Row],[CORE_DTLB_String]],core_mc[VisualId],MC_Check!$H$2)</f>
        <v>0</v>
      </c>
      <c r="AA80" t="str">
        <f>_xlfn.TEXTJOIN("",,"*SOCKET0**CBB",misc[[#This Row],[CBB]],"**COMPUTE",misc[[#This Row],[Compute]],"**MODULE",misc[[#This Row],[Module]],splitchar,"**ML2*CR*MC3*STATUS**")</f>
        <v>*SOCKET0**CBB2**COMPUTE1**MODULE13__**ML2*CR*MC3*STATUS**</v>
      </c>
      <c r="AB80">
        <f>COUNTIFS(core_mc[TestName],misc[[#This Row],[Core_ML2_String]],core_mc[VisualId],MC_Check!$H$2)</f>
        <v>0</v>
      </c>
      <c r="AC80" t="str">
        <f>_xlfn.TEXTJOIN("",,"*SOCKET0**CBB",misc[[#This Row],[CBB]],"**COMPUTE",misc[[#This Row],[Compute]],"**MODULE",misc[[#This Row],[Module]],splitchar,"SPARE")</f>
        <v>*SOCKET0**CBB2**COMPUTE1**MODULE13__SPARE</v>
      </c>
      <c r="AD80">
        <f>COUNTIFS(core_mc[TestName],misc[[#This Row],[Core_L2_String - SPARE]],core_mc[VisualId],MC_Check!$H$2)</f>
        <v>0</v>
      </c>
      <c r="AE80">
        <f>misc[[#This Row],[Core_DTLB_Count]]+misc[[#This Row],[Core_DCU_Count]]+misc[[#This Row],[Core_IFU_Count]]+misc[[#This Row],[Core_ROB_Count]]+misc[[#This Row],[Core_L2_Count - SPARE]]+misc[[#This Row],[Core_ML2_Count]]</f>
        <v>0</v>
      </c>
      <c r="AF80" t="str">
        <f>_xlfn.TEXTJOIN(", ",,IF(misc[[#This Row],[Core_IFU_Count]]&gt;0,"IFU",""),IF(misc[[#This Row],[Core_DCU_Count]]&gt;0,"DCU",""),IF(misc[[#This Row],[Core_DTLB_Count]]&gt;0,"DTLB",""),IF(misc[[#This Row],[Core_ROB_Count]]&gt;0,"ROB",""),IF(misc[[#This Row],[Core_ML2_Count]]&gt;0,"ML2",""),IF(misc[[#This Row],[Core_L2_Count - SPARE]]&gt;0,"L2",""))</f>
        <v/>
      </c>
      <c r="AG80" t="str">
        <f>_xlfn.TEXTJOIN("",,"*SOCKET0**CBB",misc[[#This Row],[CBB]],"**BASE**I_CCF**ENV",misc[[#This Row],[ENV]],splitchar,"CBREGS_ALL",misc[[#This Row],[CBO]],splitchar,"SPARE")</f>
        <v>*SOCKET0**CBB2**BASE**I_CCF**ENV1__CBREGS_ALL33__SPARE</v>
      </c>
      <c r="AH80">
        <f>COUNTIFS(cha_mc[TestName],misc[[#This Row],[LLC_MCA_String - Not Used]],cha_mc[VisualId],MC_Check!$H$2)</f>
        <v>0</v>
      </c>
    </row>
    <row r="81" spans="6:34" x14ac:dyDescent="0.3">
      <c r="F81">
        <v>2</v>
      </c>
      <c r="G81">
        <v>14</v>
      </c>
      <c r="H81" s="61">
        <f>IF(MC_Check!$AN$2="PHY",misc[[#This Row],[location]],misc[[#This Row],[Module_log]])</f>
        <v>14</v>
      </c>
      <c r="I81" s="61">
        <f>misc[[#This Row],[Module]]</f>
        <v>14</v>
      </c>
      <c r="J81" s="61">
        <f t="shared" si="4"/>
        <v>1</v>
      </c>
      <c r="K81" s="61">
        <f t="shared" si="3"/>
        <v>3</v>
      </c>
      <c r="L81" s="61">
        <v>2</v>
      </c>
      <c r="M81" s="61" t="str">
        <f>_xlfn.TEXTJOIN("",,misc[[#This Row],[ROW]],misc[[#This Row],[ROW]])</f>
        <v>33</v>
      </c>
      <c r="N81" s="5" t="b">
        <f>misc[[#This Row],[Core_Hitter_Count]]&gt;0</f>
        <v>0</v>
      </c>
      <c r="O81" t="b">
        <f>misc[[#This Row],[LLC_Hitter_Count]]&gt;0</f>
        <v>0</v>
      </c>
      <c r="P81" t="b">
        <f>misc[[#This Row],[CHA_Hitter_Count]]&gt;0</f>
        <v>0</v>
      </c>
      <c r="Q81" t="str">
        <f>_xlfn.TEXTJOIN("",,"*SOCKET0**CBB",misc[[#This Row],[CBB]],"**BASE**I_CCF_ENV",misc[[#This Row],[ENV]],splitchar,"CBREGS_ALL",misc[[#This Row],[CBO]],splitchar,"MC_STATUS*")</f>
        <v>*SOCKET0**CBB2**BASE**I_CCF_ENV2__CBREGS_ALL33__MC_STATUS*</v>
      </c>
      <c r="R81">
        <f>COUNTIFS(cha_mc[TestName],misc[[#This Row],[CBO_MCA_String]],cha_mc[VisualId],MC_Check!$H$2)</f>
        <v>0</v>
      </c>
      <c r="S81" t="str">
        <f>_xlfn.TEXTJOIN("",,"*SOCKET0**CBB",misc[[#This Row],[CBB]],"**COMPUTE",misc[[#This Row],[Compute]],"**MODULE",misc[[#This Row],[Module]],splitchar,"**CORE**IFU*CR*MC0*STATUS**")</f>
        <v>*SOCKET0**CBB2**COMPUTE1**MODULE14__**CORE**IFU*CR*MC0*STATUS**</v>
      </c>
      <c r="T81">
        <f>COUNTIFS(core_mc[TestName],misc[[#This Row],[IFU_MCA_String]],core_mc[VisualId],MC_Check!$H$2)</f>
        <v>0</v>
      </c>
      <c r="U81" t="str">
        <f>_xlfn.TEXTJOIN("",,"*SOCKET0**CBB",misc[[#This Row],[CBB]],"**COMPUTE",misc[[#This Row],[Compute]],"**MODULE",misc[[#This Row],[Module]],splitchar,"**CORE**ROB1*CR*MC*STATUS**")</f>
        <v>*SOCKET0**CBB2**COMPUTE1**MODULE14__**CORE**ROB1*CR*MC*STATUS**</v>
      </c>
      <c r="V81">
        <f>COUNTIFS(core_mc[TestName],misc[[#This Row],[ROB_MCA_String]],core_mc[VisualId],MC_Check!$H$2)</f>
        <v>0</v>
      </c>
      <c r="W81" t="str">
        <f>_xlfn.TEXTJOIN("",,"*SOCKET0**CBB",misc[[#This Row],[CBB]],"**COMPUTE",misc[[#This Row],[Compute]],"**MODULE",misc[[#This Row],[Module]],splitchar,"**CORE**DCU*CR*MC1*STATUS**")</f>
        <v>*SOCKET0**CBB2**COMPUTE1**MODULE14__**CORE**DCU*CR*MC1*STATUS**</v>
      </c>
      <c r="X81">
        <f>COUNTIFS(core_mc[TestName],misc[[#This Row],[DCU_MCA_String]],core_mc[VisualId],MC_Check!$H$2)</f>
        <v>0</v>
      </c>
      <c r="Y81" t="str">
        <f>_xlfn.TEXTJOIN("",,"*SOCKET0**CBB",misc[[#This Row],[CBB]],"**COMPUTE",misc[[#This Row],[Compute]],"**MODULE",misc[[#This Row],[Module]],splitchar,"**CORE**DTLB*CR*MC2*STATUS**")</f>
        <v>*SOCKET0**CBB2**COMPUTE1**MODULE14__**CORE**DTLB*CR*MC2*STATUS**</v>
      </c>
      <c r="Z81">
        <f>COUNTIFS(core_mc[TestName],misc[[#This Row],[CORE_DTLB_String]],core_mc[VisualId],MC_Check!$H$2)</f>
        <v>0</v>
      </c>
      <c r="AA81" t="str">
        <f>_xlfn.TEXTJOIN("",,"*SOCKET0**CBB",misc[[#This Row],[CBB]],"**COMPUTE",misc[[#This Row],[Compute]],"**MODULE",misc[[#This Row],[Module]],splitchar,"**ML2*CR*MC3*STATUS**")</f>
        <v>*SOCKET0**CBB2**COMPUTE1**MODULE14__**ML2*CR*MC3*STATUS**</v>
      </c>
      <c r="AB81">
        <f>COUNTIFS(core_mc[TestName],misc[[#This Row],[Core_ML2_String]],core_mc[VisualId],MC_Check!$H$2)</f>
        <v>0</v>
      </c>
      <c r="AC81" t="str">
        <f>_xlfn.TEXTJOIN("",,"*SOCKET0**CBB",misc[[#This Row],[CBB]],"**COMPUTE",misc[[#This Row],[Compute]],"**MODULE",misc[[#This Row],[Module]],splitchar,"SPARE")</f>
        <v>*SOCKET0**CBB2**COMPUTE1**MODULE14__SPARE</v>
      </c>
      <c r="AD81">
        <f>COUNTIFS(core_mc[TestName],misc[[#This Row],[Core_L2_String - SPARE]],core_mc[VisualId],MC_Check!$H$2)</f>
        <v>0</v>
      </c>
      <c r="AE81">
        <f>misc[[#This Row],[Core_DTLB_Count]]+misc[[#This Row],[Core_DCU_Count]]+misc[[#This Row],[Core_IFU_Count]]+misc[[#This Row],[Core_ROB_Count]]+misc[[#This Row],[Core_L2_Count - SPARE]]+misc[[#This Row],[Core_ML2_Count]]</f>
        <v>0</v>
      </c>
      <c r="AF81" t="str">
        <f>_xlfn.TEXTJOIN(", ",,IF(misc[[#This Row],[Core_IFU_Count]]&gt;0,"IFU",""),IF(misc[[#This Row],[Core_DCU_Count]]&gt;0,"DCU",""),IF(misc[[#This Row],[Core_DTLB_Count]]&gt;0,"DTLB",""),IF(misc[[#This Row],[Core_ROB_Count]]&gt;0,"ROB",""),IF(misc[[#This Row],[Core_ML2_Count]]&gt;0,"ML2",""),IF(misc[[#This Row],[Core_L2_Count - SPARE]]&gt;0,"L2",""))</f>
        <v/>
      </c>
      <c r="AG81" t="str">
        <f>_xlfn.TEXTJOIN("",,"*SOCKET0**CBB",misc[[#This Row],[CBB]],"**BASE**I_CCF**ENV",misc[[#This Row],[ENV]],splitchar,"CBREGS_ALL",misc[[#This Row],[CBO]],splitchar,"SPARE")</f>
        <v>*SOCKET0**CBB2**BASE**I_CCF**ENV2__CBREGS_ALL33__SPARE</v>
      </c>
      <c r="AH81">
        <f>COUNTIFS(cha_mc[TestName],misc[[#This Row],[LLC_MCA_String - Not Used]],cha_mc[VisualId],MC_Check!$H$2)</f>
        <v>0</v>
      </c>
    </row>
    <row r="82" spans="6:34" x14ac:dyDescent="0.3">
      <c r="F82">
        <v>2</v>
      </c>
      <c r="G82">
        <v>15</v>
      </c>
      <c r="H82" s="61">
        <f>IF(MC_Check!$AN$2="PHY",misc[[#This Row],[location]],misc[[#This Row],[Module_log]])</f>
        <v>15</v>
      </c>
      <c r="I82" s="61">
        <f>misc[[#This Row],[Module]]</f>
        <v>15</v>
      </c>
      <c r="J82" s="61">
        <f t="shared" si="4"/>
        <v>1</v>
      </c>
      <c r="K82" s="61">
        <f t="shared" si="3"/>
        <v>3</v>
      </c>
      <c r="L82" s="61">
        <v>3</v>
      </c>
      <c r="M82" s="61" t="str">
        <f>_xlfn.TEXTJOIN("",,misc[[#This Row],[ROW]],misc[[#This Row],[ROW]])</f>
        <v>33</v>
      </c>
      <c r="N82" s="5" t="b">
        <f>misc[[#This Row],[Core_Hitter_Count]]&gt;0</f>
        <v>0</v>
      </c>
      <c r="O82" t="b">
        <f>misc[[#This Row],[LLC_Hitter_Count]]&gt;0</f>
        <v>0</v>
      </c>
      <c r="P82" t="b">
        <f>misc[[#This Row],[CHA_Hitter_Count]]&gt;0</f>
        <v>0</v>
      </c>
      <c r="Q82" t="str">
        <f>_xlfn.TEXTJOIN("",,"*SOCKET0**CBB",misc[[#This Row],[CBB]],"**BASE**I_CCF_ENV",misc[[#This Row],[ENV]],splitchar,"CBREGS_ALL",misc[[#This Row],[CBO]],splitchar,"MC_STATUS*")</f>
        <v>*SOCKET0**CBB2**BASE**I_CCF_ENV3__CBREGS_ALL33__MC_STATUS*</v>
      </c>
      <c r="R82">
        <f>COUNTIFS(cha_mc[TestName],misc[[#This Row],[CBO_MCA_String]],cha_mc[VisualId],MC_Check!$H$2)</f>
        <v>0</v>
      </c>
      <c r="S82" t="str">
        <f>_xlfn.TEXTJOIN("",,"*SOCKET0**CBB",misc[[#This Row],[CBB]],"**COMPUTE",misc[[#This Row],[Compute]],"**MODULE",misc[[#This Row],[Module]],splitchar,"**CORE**IFU*CR*MC0*STATUS**")</f>
        <v>*SOCKET0**CBB2**COMPUTE1**MODULE15__**CORE**IFU*CR*MC0*STATUS**</v>
      </c>
      <c r="T82">
        <f>COUNTIFS(core_mc[TestName],misc[[#This Row],[IFU_MCA_String]],core_mc[VisualId],MC_Check!$H$2)</f>
        <v>0</v>
      </c>
      <c r="U82" t="str">
        <f>_xlfn.TEXTJOIN("",,"*SOCKET0**CBB",misc[[#This Row],[CBB]],"**COMPUTE",misc[[#This Row],[Compute]],"**MODULE",misc[[#This Row],[Module]],splitchar,"**CORE**ROB1*CR*MC*STATUS**")</f>
        <v>*SOCKET0**CBB2**COMPUTE1**MODULE15__**CORE**ROB1*CR*MC*STATUS**</v>
      </c>
      <c r="V82">
        <f>COUNTIFS(core_mc[TestName],misc[[#This Row],[ROB_MCA_String]],core_mc[VisualId],MC_Check!$H$2)</f>
        <v>0</v>
      </c>
      <c r="W82" t="str">
        <f>_xlfn.TEXTJOIN("",,"*SOCKET0**CBB",misc[[#This Row],[CBB]],"**COMPUTE",misc[[#This Row],[Compute]],"**MODULE",misc[[#This Row],[Module]],splitchar,"**CORE**DCU*CR*MC1*STATUS**")</f>
        <v>*SOCKET0**CBB2**COMPUTE1**MODULE15__**CORE**DCU*CR*MC1*STATUS**</v>
      </c>
      <c r="X82">
        <f>COUNTIFS(core_mc[TestName],misc[[#This Row],[DCU_MCA_String]],core_mc[VisualId],MC_Check!$H$2)</f>
        <v>0</v>
      </c>
      <c r="Y82" t="str">
        <f>_xlfn.TEXTJOIN("",,"*SOCKET0**CBB",misc[[#This Row],[CBB]],"**COMPUTE",misc[[#This Row],[Compute]],"**MODULE",misc[[#This Row],[Module]],splitchar,"**CORE**DTLB*CR*MC2*STATUS**")</f>
        <v>*SOCKET0**CBB2**COMPUTE1**MODULE15__**CORE**DTLB*CR*MC2*STATUS**</v>
      </c>
      <c r="Z82">
        <f>COUNTIFS(core_mc[TestName],misc[[#This Row],[CORE_DTLB_String]],core_mc[VisualId],MC_Check!$H$2)</f>
        <v>0</v>
      </c>
      <c r="AA82" t="str">
        <f>_xlfn.TEXTJOIN("",,"*SOCKET0**CBB",misc[[#This Row],[CBB]],"**COMPUTE",misc[[#This Row],[Compute]],"**MODULE",misc[[#This Row],[Module]],splitchar,"**ML2*CR*MC3*STATUS**")</f>
        <v>*SOCKET0**CBB2**COMPUTE1**MODULE15__**ML2*CR*MC3*STATUS**</v>
      </c>
      <c r="AB82">
        <f>COUNTIFS(core_mc[TestName],misc[[#This Row],[Core_ML2_String]],core_mc[VisualId],MC_Check!$H$2)</f>
        <v>0</v>
      </c>
      <c r="AC82" t="str">
        <f>_xlfn.TEXTJOIN("",,"*SOCKET0**CBB",misc[[#This Row],[CBB]],"**COMPUTE",misc[[#This Row],[Compute]],"**MODULE",misc[[#This Row],[Module]],splitchar,"SPARE")</f>
        <v>*SOCKET0**CBB2**COMPUTE1**MODULE15__SPARE</v>
      </c>
      <c r="AD82">
        <f>COUNTIFS(core_mc[TestName],misc[[#This Row],[Core_L2_String - SPARE]],core_mc[VisualId],MC_Check!$H$2)</f>
        <v>0</v>
      </c>
      <c r="AE82">
        <f>misc[[#This Row],[Core_DTLB_Count]]+misc[[#This Row],[Core_DCU_Count]]+misc[[#This Row],[Core_IFU_Count]]+misc[[#This Row],[Core_ROB_Count]]+misc[[#This Row],[Core_L2_Count - SPARE]]+misc[[#This Row],[Core_ML2_Count]]</f>
        <v>0</v>
      </c>
      <c r="AF82" t="str">
        <f>_xlfn.TEXTJOIN(", ",,IF(misc[[#This Row],[Core_IFU_Count]]&gt;0,"IFU",""),IF(misc[[#This Row],[Core_DCU_Count]]&gt;0,"DCU",""),IF(misc[[#This Row],[Core_DTLB_Count]]&gt;0,"DTLB",""),IF(misc[[#This Row],[Core_ROB_Count]]&gt;0,"ROB",""),IF(misc[[#This Row],[Core_ML2_Count]]&gt;0,"ML2",""),IF(misc[[#This Row],[Core_L2_Count - SPARE]]&gt;0,"L2",""))</f>
        <v/>
      </c>
      <c r="AG82" t="str">
        <f>_xlfn.TEXTJOIN("",,"*SOCKET0**CBB",misc[[#This Row],[CBB]],"**BASE**I_CCF**ENV",misc[[#This Row],[ENV]],splitchar,"CBREGS_ALL",misc[[#This Row],[CBO]],splitchar,"SPARE")</f>
        <v>*SOCKET0**CBB2**BASE**I_CCF**ENV3__CBREGS_ALL33__SPARE</v>
      </c>
      <c r="AH82">
        <f>COUNTIFS(cha_mc[TestName],misc[[#This Row],[LLC_MCA_String - Not Used]],cha_mc[VisualId],MC_Check!$H$2)</f>
        <v>0</v>
      </c>
    </row>
    <row r="83" spans="6:34" x14ac:dyDescent="0.3">
      <c r="F83">
        <v>2</v>
      </c>
      <c r="G83">
        <v>16</v>
      </c>
      <c r="H83" s="61">
        <f>IF(MC_Check!$AN$2="PHY",misc[[#This Row],[location]],misc[[#This Row],[Module_log]])</f>
        <v>16</v>
      </c>
      <c r="I83" s="61">
        <f>misc[[#This Row],[Module]]</f>
        <v>16</v>
      </c>
      <c r="J83" s="61">
        <f t="shared" si="4"/>
        <v>2</v>
      </c>
      <c r="K83" s="61">
        <f>K79+1</f>
        <v>4</v>
      </c>
      <c r="L83" s="61">
        <v>0</v>
      </c>
      <c r="M83" s="61" t="str">
        <f>_xlfn.TEXTJOIN("",,misc[[#This Row],[ROW]],misc[[#This Row],[ROW]])</f>
        <v>44</v>
      </c>
      <c r="N83" s="5" t="b">
        <f>misc[[#This Row],[Core_Hitter_Count]]&gt;0</f>
        <v>0</v>
      </c>
      <c r="O83" t="b">
        <f>misc[[#This Row],[LLC_Hitter_Count]]&gt;0</f>
        <v>0</v>
      </c>
      <c r="P83" t="b">
        <f>misc[[#This Row],[CHA_Hitter_Count]]&gt;0</f>
        <v>0</v>
      </c>
      <c r="Q83" t="str">
        <f>_xlfn.TEXTJOIN("",,"*SOCKET0**CBB",misc[[#This Row],[CBB]],"**BASE**I_CCF_ENV",misc[[#This Row],[ENV]],splitchar,"CBREGS_ALL",misc[[#This Row],[CBO]],splitchar,"MC_STATUS*")</f>
        <v>*SOCKET0**CBB2**BASE**I_CCF_ENV0__CBREGS_ALL44__MC_STATUS*</v>
      </c>
      <c r="R83">
        <f>COUNTIFS(cha_mc[TestName],misc[[#This Row],[CBO_MCA_String]],cha_mc[VisualId],MC_Check!$H$2)</f>
        <v>0</v>
      </c>
      <c r="S83" t="str">
        <f>_xlfn.TEXTJOIN("",,"*SOCKET0**CBB",misc[[#This Row],[CBB]],"**COMPUTE",misc[[#This Row],[Compute]],"**MODULE",misc[[#This Row],[Module]],splitchar,"**CORE**IFU*CR*MC0*STATUS**")</f>
        <v>*SOCKET0**CBB2**COMPUTE2**MODULE16__**CORE**IFU*CR*MC0*STATUS**</v>
      </c>
      <c r="T83">
        <f>COUNTIFS(core_mc[TestName],misc[[#This Row],[IFU_MCA_String]],core_mc[VisualId],MC_Check!$H$2)</f>
        <v>0</v>
      </c>
      <c r="U83" t="str">
        <f>_xlfn.TEXTJOIN("",,"*SOCKET0**CBB",misc[[#This Row],[CBB]],"**COMPUTE",misc[[#This Row],[Compute]],"**MODULE",misc[[#This Row],[Module]],splitchar,"**CORE**ROB1*CR*MC*STATUS**")</f>
        <v>*SOCKET0**CBB2**COMPUTE2**MODULE16__**CORE**ROB1*CR*MC*STATUS**</v>
      </c>
      <c r="V83">
        <f>COUNTIFS(core_mc[TestName],misc[[#This Row],[ROB_MCA_String]],core_mc[VisualId],MC_Check!$H$2)</f>
        <v>0</v>
      </c>
      <c r="W83" t="str">
        <f>_xlfn.TEXTJOIN("",,"*SOCKET0**CBB",misc[[#This Row],[CBB]],"**COMPUTE",misc[[#This Row],[Compute]],"**MODULE",misc[[#This Row],[Module]],splitchar,"**CORE**DCU*CR*MC1*STATUS**")</f>
        <v>*SOCKET0**CBB2**COMPUTE2**MODULE16__**CORE**DCU*CR*MC1*STATUS**</v>
      </c>
      <c r="X83">
        <f>COUNTIFS(core_mc[TestName],misc[[#This Row],[DCU_MCA_String]],core_mc[VisualId],MC_Check!$H$2)</f>
        <v>0</v>
      </c>
      <c r="Y83" t="str">
        <f>_xlfn.TEXTJOIN("",,"*SOCKET0**CBB",misc[[#This Row],[CBB]],"**COMPUTE",misc[[#This Row],[Compute]],"**MODULE",misc[[#This Row],[Module]],splitchar,"**CORE**DTLB*CR*MC2*STATUS**")</f>
        <v>*SOCKET0**CBB2**COMPUTE2**MODULE16__**CORE**DTLB*CR*MC2*STATUS**</v>
      </c>
      <c r="Z83">
        <f>COUNTIFS(core_mc[TestName],misc[[#This Row],[CORE_DTLB_String]],core_mc[VisualId],MC_Check!$H$2)</f>
        <v>0</v>
      </c>
      <c r="AA83" t="str">
        <f>_xlfn.TEXTJOIN("",,"*SOCKET0**CBB",misc[[#This Row],[CBB]],"**COMPUTE",misc[[#This Row],[Compute]],"**MODULE",misc[[#This Row],[Module]],splitchar,"**ML2*CR*MC3*STATUS**")</f>
        <v>*SOCKET0**CBB2**COMPUTE2**MODULE16__**ML2*CR*MC3*STATUS**</v>
      </c>
      <c r="AB83">
        <f>COUNTIFS(core_mc[TestName],misc[[#This Row],[Core_ML2_String]],core_mc[VisualId],MC_Check!$H$2)</f>
        <v>0</v>
      </c>
      <c r="AC83" t="str">
        <f>_xlfn.TEXTJOIN("",,"*SOCKET0**CBB",misc[[#This Row],[CBB]],"**COMPUTE",misc[[#This Row],[Compute]],"**MODULE",misc[[#This Row],[Module]],splitchar,"SPARE")</f>
        <v>*SOCKET0**CBB2**COMPUTE2**MODULE16__SPARE</v>
      </c>
      <c r="AD83">
        <f>COUNTIFS(core_mc[TestName],misc[[#This Row],[Core_L2_String - SPARE]],core_mc[VisualId],MC_Check!$H$2)</f>
        <v>0</v>
      </c>
      <c r="AE83">
        <f>misc[[#This Row],[Core_DTLB_Count]]+misc[[#This Row],[Core_DCU_Count]]+misc[[#This Row],[Core_IFU_Count]]+misc[[#This Row],[Core_ROB_Count]]+misc[[#This Row],[Core_L2_Count - SPARE]]+misc[[#This Row],[Core_ML2_Count]]</f>
        <v>0</v>
      </c>
      <c r="AF83" t="str">
        <f>_xlfn.TEXTJOIN(", ",,IF(misc[[#This Row],[Core_IFU_Count]]&gt;0,"IFU",""),IF(misc[[#This Row],[Core_DCU_Count]]&gt;0,"DCU",""),IF(misc[[#This Row],[Core_DTLB_Count]]&gt;0,"DTLB",""),IF(misc[[#This Row],[Core_ROB_Count]]&gt;0,"ROB",""),IF(misc[[#This Row],[Core_ML2_Count]]&gt;0,"ML2",""),IF(misc[[#This Row],[Core_L2_Count - SPARE]]&gt;0,"L2",""))</f>
        <v/>
      </c>
      <c r="AG83" t="str">
        <f>_xlfn.TEXTJOIN("",,"*SOCKET0**CBB",misc[[#This Row],[CBB]],"**BASE**I_CCF**ENV",misc[[#This Row],[ENV]],splitchar,"CBREGS_ALL",misc[[#This Row],[CBO]],splitchar,"SPARE")</f>
        <v>*SOCKET0**CBB2**BASE**I_CCF**ENV0__CBREGS_ALL44__SPARE</v>
      </c>
      <c r="AH83">
        <f>COUNTIFS(cha_mc[TestName],misc[[#This Row],[LLC_MCA_String - Not Used]],cha_mc[VisualId],MC_Check!$H$2)</f>
        <v>0</v>
      </c>
    </row>
    <row r="84" spans="6:34" x14ac:dyDescent="0.3">
      <c r="F84">
        <v>2</v>
      </c>
      <c r="G84">
        <v>17</v>
      </c>
      <c r="H84" s="61">
        <f>IF(MC_Check!$AN$2="PHY",misc[[#This Row],[location]],misc[[#This Row],[Module_log]])</f>
        <v>17</v>
      </c>
      <c r="I84" s="61">
        <f>misc[[#This Row],[Module]]</f>
        <v>17</v>
      </c>
      <c r="J84" s="61">
        <f t="shared" si="4"/>
        <v>2</v>
      </c>
      <c r="K84" s="61">
        <f t="shared" si="3"/>
        <v>4</v>
      </c>
      <c r="L84" s="61">
        <v>1</v>
      </c>
      <c r="M84" s="61" t="str">
        <f>_xlfn.TEXTJOIN("",,misc[[#This Row],[ROW]],misc[[#This Row],[ROW]])</f>
        <v>44</v>
      </c>
      <c r="N84" s="5" t="b">
        <f>misc[[#This Row],[Core_Hitter_Count]]&gt;0</f>
        <v>0</v>
      </c>
      <c r="O84" t="b">
        <f>misc[[#This Row],[LLC_Hitter_Count]]&gt;0</f>
        <v>0</v>
      </c>
      <c r="P84" t="b">
        <f>misc[[#This Row],[CHA_Hitter_Count]]&gt;0</f>
        <v>0</v>
      </c>
      <c r="Q84" t="str">
        <f>_xlfn.TEXTJOIN("",,"*SOCKET0**CBB",misc[[#This Row],[CBB]],"**BASE**I_CCF_ENV",misc[[#This Row],[ENV]],splitchar,"CBREGS_ALL",misc[[#This Row],[CBO]],splitchar,"MC_STATUS*")</f>
        <v>*SOCKET0**CBB2**BASE**I_CCF_ENV1__CBREGS_ALL44__MC_STATUS*</v>
      </c>
      <c r="R84">
        <f>COUNTIFS(cha_mc[TestName],misc[[#This Row],[CBO_MCA_String]],cha_mc[VisualId],MC_Check!$H$2)</f>
        <v>0</v>
      </c>
      <c r="S84" t="str">
        <f>_xlfn.TEXTJOIN("",,"*SOCKET0**CBB",misc[[#This Row],[CBB]],"**COMPUTE",misc[[#This Row],[Compute]],"**MODULE",misc[[#This Row],[Module]],splitchar,"**CORE**IFU*CR*MC0*STATUS**")</f>
        <v>*SOCKET0**CBB2**COMPUTE2**MODULE17__**CORE**IFU*CR*MC0*STATUS**</v>
      </c>
      <c r="T84">
        <f>COUNTIFS(core_mc[TestName],misc[[#This Row],[IFU_MCA_String]],core_mc[VisualId],MC_Check!$H$2)</f>
        <v>0</v>
      </c>
      <c r="U84" t="str">
        <f>_xlfn.TEXTJOIN("",,"*SOCKET0**CBB",misc[[#This Row],[CBB]],"**COMPUTE",misc[[#This Row],[Compute]],"**MODULE",misc[[#This Row],[Module]],splitchar,"**CORE**ROB1*CR*MC*STATUS**")</f>
        <v>*SOCKET0**CBB2**COMPUTE2**MODULE17__**CORE**ROB1*CR*MC*STATUS**</v>
      </c>
      <c r="V84">
        <f>COUNTIFS(core_mc[TestName],misc[[#This Row],[ROB_MCA_String]],core_mc[VisualId],MC_Check!$H$2)</f>
        <v>0</v>
      </c>
      <c r="W84" t="str">
        <f>_xlfn.TEXTJOIN("",,"*SOCKET0**CBB",misc[[#This Row],[CBB]],"**COMPUTE",misc[[#This Row],[Compute]],"**MODULE",misc[[#This Row],[Module]],splitchar,"**CORE**DCU*CR*MC1*STATUS**")</f>
        <v>*SOCKET0**CBB2**COMPUTE2**MODULE17__**CORE**DCU*CR*MC1*STATUS**</v>
      </c>
      <c r="X84">
        <f>COUNTIFS(core_mc[TestName],misc[[#This Row],[DCU_MCA_String]],core_mc[VisualId],MC_Check!$H$2)</f>
        <v>0</v>
      </c>
      <c r="Y84" t="str">
        <f>_xlfn.TEXTJOIN("",,"*SOCKET0**CBB",misc[[#This Row],[CBB]],"**COMPUTE",misc[[#This Row],[Compute]],"**MODULE",misc[[#This Row],[Module]],splitchar,"**CORE**DTLB*CR*MC2*STATUS**")</f>
        <v>*SOCKET0**CBB2**COMPUTE2**MODULE17__**CORE**DTLB*CR*MC2*STATUS**</v>
      </c>
      <c r="Z84">
        <f>COUNTIFS(core_mc[TestName],misc[[#This Row],[CORE_DTLB_String]],core_mc[VisualId],MC_Check!$H$2)</f>
        <v>0</v>
      </c>
      <c r="AA84" t="str">
        <f>_xlfn.TEXTJOIN("",,"*SOCKET0**CBB",misc[[#This Row],[CBB]],"**COMPUTE",misc[[#This Row],[Compute]],"**MODULE",misc[[#This Row],[Module]],splitchar,"**ML2*CR*MC3*STATUS**")</f>
        <v>*SOCKET0**CBB2**COMPUTE2**MODULE17__**ML2*CR*MC3*STATUS**</v>
      </c>
      <c r="AB84">
        <f>COUNTIFS(core_mc[TestName],misc[[#This Row],[Core_ML2_String]],core_mc[VisualId],MC_Check!$H$2)</f>
        <v>0</v>
      </c>
      <c r="AC84" t="str">
        <f>_xlfn.TEXTJOIN("",,"*SOCKET0**CBB",misc[[#This Row],[CBB]],"**COMPUTE",misc[[#This Row],[Compute]],"**MODULE",misc[[#This Row],[Module]],splitchar,"SPARE")</f>
        <v>*SOCKET0**CBB2**COMPUTE2**MODULE17__SPARE</v>
      </c>
      <c r="AD84">
        <f>COUNTIFS(core_mc[TestName],misc[[#This Row],[Core_L2_String - SPARE]],core_mc[VisualId],MC_Check!$H$2)</f>
        <v>0</v>
      </c>
      <c r="AE84">
        <f>misc[[#This Row],[Core_DTLB_Count]]+misc[[#This Row],[Core_DCU_Count]]+misc[[#This Row],[Core_IFU_Count]]+misc[[#This Row],[Core_ROB_Count]]+misc[[#This Row],[Core_L2_Count - SPARE]]+misc[[#This Row],[Core_ML2_Count]]</f>
        <v>0</v>
      </c>
      <c r="AF84" t="str">
        <f>_xlfn.TEXTJOIN(", ",,IF(misc[[#This Row],[Core_IFU_Count]]&gt;0,"IFU",""),IF(misc[[#This Row],[Core_DCU_Count]]&gt;0,"DCU",""),IF(misc[[#This Row],[Core_DTLB_Count]]&gt;0,"DTLB",""),IF(misc[[#This Row],[Core_ROB_Count]]&gt;0,"ROB",""),IF(misc[[#This Row],[Core_ML2_Count]]&gt;0,"ML2",""),IF(misc[[#This Row],[Core_L2_Count - SPARE]]&gt;0,"L2",""))</f>
        <v/>
      </c>
      <c r="AG84" t="str">
        <f>_xlfn.TEXTJOIN("",,"*SOCKET0**CBB",misc[[#This Row],[CBB]],"**BASE**I_CCF**ENV",misc[[#This Row],[ENV]],splitchar,"CBREGS_ALL",misc[[#This Row],[CBO]],splitchar,"SPARE")</f>
        <v>*SOCKET0**CBB2**BASE**I_CCF**ENV1__CBREGS_ALL44__SPARE</v>
      </c>
      <c r="AH84">
        <f>COUNTIFS(cha_mc[TestName],misc[[#This Row],[LLC_MCA_String - Not Used]],cha_mc[VisualId],MC_Check!$H$2)</f>
        <v>0</v>
      </c>
    </row>
    <row r="85" spans="6:34" x14ac:dyDescent="0.3">
      <c r="F85">
        <v>2</v>
      </c>
      <c r="G85">
        <v>18</v>
      </c>
      <c r="H85" s="61">
        <f>IF(MC_Check!$AN$2="PHY",misc[[#This Row],[location]],misc[[#This Row],[Module_log]])</f>
        <v>18</v>
      </c>
      <c r="I85" s="61">
        <f>misc[[#This Row],[Module]]</f>
        <v>18</v>
      </c>
      <c r="J85" s="61">
        <f t="shared" si="4"/>
        <v>2</v>
      </c>
      <c r="K85" s="61">
        <f t="shared" si="3"/>
        <v>4</v>
      </c>
      <c r="L85" s="61">
        <v>2</v>
      </c>
      <c r="M85" s="61" t="str">
        <f>_xlfn.TEXTJOIN("",,misc[[#This Row],[ROW]],misc[[#This Row],[ROW]])</f>
        <v>44</v>
      </c>
      <c r="N85" s="5" t="b">
        <f>misc[[#This Row],[Core_Hitter_Count]]&gt;0</f>
        <v>0</v>
      </c>
      <c r="O85" t="b">
        <f>misc[[#This Row],[LLC_Hitter_Count]]&gt;0</f>
        <v>0</v>
      </c>
      <c r="P85" t="b">
        <f>misc[[#This Row],[CHA_Hitter_Count]]&gt;0</f>
        <v>0</v>
      </c>
      <c r="Q85" t="str">
        <f>_xlfn.TEXTJOIN("",,"*SOCKET0**CBB",misc[[#This Row],[CBB]],"**BASE**I_CCF_ENV",misc[[#This Row],[ENV]],splitchar,"CBREGS_ALL",misc[[#This Row],[CBO]],splitchar,"MC_STATUS*")</f>
        <v>*SOCKET0**CBB2**BASE**I_CCF_ENV2__CBREGS_ALL44__MC_STATUS*</v>
      </c>
      <c r="R85">
        <f>COUNTIFS(cha_mc[TestName],misc[[#This Row],[CBO_MCA_String]],cha_mc[VisualId],MC_Check!$H$2)</f>
        <v>0</v>
      </c>
      <c r="S85" t="str">
        <f>_xlfn.TEXTJOIN("",,"*SOCKET0**CBB",misc[[#This Row],[CBB]],"**COMPUTE",misc[[#This Row],[Compute]],"**MODULE",misc[[#This Row],[Module]],splitchar,"**CORE**IFU*CR*MC0*STATUS**")</f>
        <v>*SOCKET0**CBB2**COMPUTE2**MODULE18__**CORE**IFU*CR*MC0*STATUS**</v>
      </c>
      <c r="T85">
        <f>COUNTIFS(core_mc[TestName],misc[[#This Row],[IFU_MCA_String]],core_mc[VisualId],MC_Check!$H$2)</f>
        <v>0</v>
      </c>
      <c r="U85" t="str">
        <f>_xlfn.TEXTJOIN("",,"*SOCKET0**CBB",misc[[#This Row],[CBB]],"**COMPUTE",misc[[#This Row],[Compute]],"**MODULE",misc[[#This Row],[Module]],splitchar,"**CORE**ROB1*CR*MC*STATUS**")</f>
        <v>*SOCKET0**CBB2**COMPUTE2**MODULE18__**CORE**ROB1*CR*MC*STATUS**</v>
      </c>
      <c r="V85">
        <f>COUNTIFS(core_mc[TestName],misc[[#This Row],[ROB_MCA_String]],core_mc[VisualId],MC_Check!$H$2)</f>
        <v>0</v>
      </c>
      <c r="W85" t="str">
        <f>_xlfn.TEXTJOIN("",,"*SOCKET0**CBB",misc[[#This Row],[CBB]],"**COMPUTE",misc[[#This Row],[Compute]],"**MODULE",misc[[#This Row],[Module]],splitchar,"**CORE**DCU*CR*MC1*STATUS**")</f>
        <v>*SOCKET0**CBB2**COMPUTE2**MODULE18__**CORE**DCU*CR*MC1*STATUS**</v>
      </c>
      <c r="X85">
        <f>COUNTIFS(core_mc[TestName],misc[[#This Row],[DCU_MCA_String]],core_mc[VisualId],MC_Check!$H$2)</f>
        <v>0</v>
      </c>
      <c r="Y85" t="str">
        <f>_xlfn.TEXTJOIN("",,"*SOCKET0**CBB",misc[[#This Row],[CBB]],"**COMPUTE",misc[[#This Row],[Compute]],"**MODULE",misc[[#This Row],[Module]],splitchar,"**CORE**DTLB*CR*MC2*STATUS**")</f>
        <v>*SOCKET0**CBB2**COMPUTE2**MODULE18__**CORE**DTLB*CR*MC2*STATUS**</v>
      </c>
      <c r="Z85">
        <f>COUNTIFS(core_mc[TestName],misc[[#This Row],[CORE_DTLB_String]],core_mc[VisualId],MC_Check!$H$2)</f>
        <v>0</v>
      </c>
      <c r="AA85" t="str">
        <f>_xlfn.TEXTJOIN("",,"*SOCKET0**CBB",misc[[#This Row],[CBB]],"**COMPUTE",misc[[#This Row],[Compute]],"**MODULE",misc[[#This Row],[Module]],splitchar,"**ML2*CR*MC3*STATUS**")</f>
        <v>*SOCKET0**CBB2**COMPUTE2**MODULE18__**ML2*CR*MC3*STATUS**</v>
      </c>
      <c r="AB85">
        <f>COUNTIFS(core_mc[TestName],misc[[#This Row],[Core_ML2_String]],core_mc[VisualId],MC_Check!$H$2)</f>
        <v>0</v>
      </c>
      <c r="AC85" t="str">
        <f>_xlfn.TEXTJOIN("",,"*SOCKET0**CBB",misc[[#This Row],[CBB]],"**COMPUTE",misc[[#This Row],[Compute]],"**MODULE",misc[[#This Row],[Module]],splitchar,"SPARE")</f>
        <v>*SOCKET0**CBB2**COMPUTE2**MODULE18__SPARE</v>
      </c>
      <c r="AD85">
        <f>COUNTIFS(core_mc[TestName],misc[[#This Row],[Core_L2_String - SPARE]],core_mc[VisualId],MC_Check!$H$2)</f>
        <v>0</v>
      </c>
      <c r="AE85">
        <f>misc[[#This Row],[Core_DTLB_Count]]+misc[[#This Row],[Core_DCU_Count]]+misc[[#This Row],[Core_IFU_Count]]+misc[[#This Row],[Core_ROB_Count]]+misc[[#This Row],[Core_L2_Count - SPARE]]+misc[[#This Row],[Core_ML2_Count]]</f>
        <v>0</v>
      </c>
      <c r="AF85" t="str">
        <f>_xlfn.TEXTJOIN(", ",,IF(misc[[#This Row],[Core_IFU_Count]]&gt;0,"IFU",""),IF(misc[[#This Row],[Core_DCU_Count]]&gt;0,"DCU",""),IF(misc[[#This Row],[Core_DTLB_Count]]&gt;0,"DTLB",""),IF(misc[[#This Row],[Core_ROB_Count]]&gt;0,"ROB",""),IF(misc[[#This Row],[Core_ML2_Count]]&gt;0,"ML2",""),IF(misc[[#This Row],[Core_L2_Count - SPARE]]&gt;0,"L2",""))</f>
        <v/>
      </c>
      <c r="AG85" t="str">
        <f>_xlfn.TEXTJOIN("",,"*SOCKET0**CBB",misc[[#This Row],[CBB]],"**BASE**I_CCF**ENV",misc[[#This Row],[ENV]],splitchar,"CBREGS_ALL",misc[[#This Row],[CBO]],splitchar,"SPARE")</f>
        <v>*SOCKET0**CBB2**BASE**I_CCF**ENV2__CBREGS_ALL44__SPARE</v>
      </c>
      <c r="AH85">
        <f>COUNTIFS(cha_mc[TestName],misc[[#This Row],[LLC_MCA_String - Not Used]],cha_mc[VisualId],MC_Check!$H$2)</f>
        <v>0</v>
      </c>
    </row>
    <row r="86" spans="6:34" x14ac:dyDescent="0.3">
      <c r="F86">
        <v>2</v>
      </c>
      <c r="G86">
        <v>19</v>
      </c>
      <c r="H86" s="61">
        <f>IF(MC_Check!$AN$2="PHY",misc[[#This Row],[location]],misc[[#This Row],[Module_log]])</f>
        <v>19</v>
      </c>
      <c r="I86" s="61">
        <f>misc[[#This Row],[Module]]</f>
        <v>19</v>
      </c>
      <c r="J86" s="61">
        <f t="shared" si="4"/>
        <v>2</v>
      </c>
      <c r="K86" s="61">
        <f t="shared" si="3"/>
        <v>4</v>
      </c>
      <c r="L86" s="61">
        <v>3</v>
      </c>
      <c r="M86" s="61" t="str">
        <f>_xlfn.TEXTJOIN("",,misc[[#This Row],[ROW]],misc[[#This Row],[ROW]])</f>
        <v>44</v>
      </c>
      <c r="N86" s="5" t="b">
        <f>misc[[#This Row],[Core_Hitter_Count]]&gt;0</f>
        <v>0</v>
      </c>
      <c r="O86" t="b">
        <f>misc[[#This Row],[LLC_Hitter_Count]]&gt;0</f>
        <v>0</v>
      </c>
      <c r="P86" t="b">
        <f>misc[[#This Row],[CHA_Hitter_Count]]&gt;0</f>
        <v>0</v>
      </c>
      <c r="Q86" t="str">
        <f>_xlfn.TEXTJOIN("",,"*SOCKET0**CBB",misc[[#This Row],[CBB]],"**BASE**I_CCF_ENV",misc[[#This Row],[ENV]],splitchar,"CBREGS_ALL",misc[[#This Row],[CBO]],splitchar,"MC_STATUS*")</f>
        <v>*SOCKET0**CBB2**BASE**I_CCF_ENV3__CBREGS_ALL44__MC_STATUS*</v>
      </c>
      <c r="R86">
        <f>COUNTIFS(cha_mc[TestName],misc[[#This Row],[CBO_MCA_String]],cha_mc[VisualId],MC_Check!$H$2)</f>
        <v>0</v>
      </c>
      <c r="S86" t="str">
        <f>_xlfn.TEXTJOIN("",,"*SOCKET0**CBB",misc[[#This Row],[CBB]],"**COMPUTE",misc[[#This Row],[Compute]],"**MODULE",misc[[#This Row],[Module]],splitchar,"**CORE**IFU*CR*MC0*STATUS**")</f>
        <v>*SOCKET0**CBB2**COMPUTE2**MODULE19__**CORE**IFU*CR*MC0*STATUS**</v>
      </c>
      <c r="T86">
        <f>COUNTIFS(core_mc[TestName],misc[[#This Row],[IFU_MCA_String]],core_mc[VisualId],MC_Check!$H$2)</f>
        <v>0</v>
      </c>
      <c r="U86" t="str">
        <f>_xlfn.TEXTJOIN("",,"*SOCKET0**CBB",misc[[#This Row],[CBB]],"**COMPUTE",misc[[#This Row],[Compute]],"**MODULE",misc[[#This Row],[Module]],splitchar,"**CORE**ROB1*CR*MC*STATUS**")</f>
        <v>*SOCKET0**CBB2**COMPUTE2**MODULE19__**CORE**ROB1*CR*MC*STATUS**</v>
      </c>
      <c r="V86">
        <f>COUNTIFS(core_mc[TestName],misc[[#This Row],[ROB_MCA_String]],core_mc[VisualId],MC_Check!$H$2)</f>
        <v>0</v>
      </c>
      <c r="W86" t="str">
        <f>_xlfn.TEXTJOIN("",,"*SOCKET0**CBB",misc[[#This Row],[CBB]],"**COMPUTE",misc[[#This Row],[Compute]],"**MODULE",misc[[#This Row],[Module]],splitchar,"**CORE**DCU*CR*MC1*STATUS**")</f>
        <v>*SOCKET0**CBB2**COMPUTE2**MODULE19__**CORE**DCU*CR*MC1*STATUS**</v>
      </c>
      <c r="X86">
        <f>COUNTIFS(core_mc[TestName],misc[[#This Row],[DCU_MCA_String]],core_mc[VisualId],MC_Check!$H$2)</f>
        <v>0</v>
      </c>
      <c r="Y86" t="str">
        <f>_xlfn.TEXTJOIN("",,"*SOCKET0**CBB",misc[[#This Row],[CBB]],"**COMPUTE",misc[[#This Row],[Compute]],"**MODULE",misc[[#This Row],[Module]],splitchar,"**CORE**DTLB*CR*MC2*STATUS**")</f>
        <v>*SOCKET0**CBB2**COMPUTE2**MODULE19__**CORE**DTLB*CR*MC2*STATUS**</v>
      </c>
      <c r="Z86">
        <f>COUNTIFS(core_mc[TestName],misc[[#This Row],[CORE_DTLB_String]],core_mc[VisualId],MC_Check!$H$2)</f>
        <v>0</v>
      </c>
      <c r="AA86" t="str">
        <f>_xlfn.TEXTJOIN("",,"*SOCKET0**CBB",misc[[#This Row],[CBB]],"**COMPUTE",misc[[#This Row],[Compute]],"**MODULE",misc[[#This Row],[Module]],splitchar,"**ML2*CR*MC3*STATUS**")</f>
        <v>*SOCKET0**CBB2**COMPUTE2**MODULE19__**ML2*CR*MC3*STATUS**</v>
      </c>
      <c r="AB86">
        <f>COUNTIFS(core_mc[TestName],misc[[#This Row],[Core_ML2_String]],core_mc[VisualId],MC_Check!$H$2)</f>
        <v>0</v>
      </c>
      <c r="AC86" t="str">
        <f>_xlfn.TEXTJOIN("",,"*SOCKET0**CBB",misc[[#This Row],[CBB]],"**COMPUTE",misc[[#This Row],[Compute]],"**MODULE",misc[[#This Row],[Module]],splitchar,"SPARE")</f>
        <v>*SOCKET0**CBB2**COMPUTE2**MODULE19__SPARE</v>
      </c>
      <c r="AD86">
        <f>COUNTIFS(core_mc[TestName],misc[[#This Row],[Core_L2_String - SPARE]],core_mc[VisualId],MC_Check!$H$2)</f>
        <v>0</v>
      </c>
      <c r="AE86">
        <f>misc[[#This Row],[Core_DTLB_Count]]+misc[[#This Row],[Core_DCU_Count]]+misc[[#This Row],[Core_IFU_Count]]+misc[[#This Row],[Core_ROB_Count]]+misc[[#This Row],[Core_L2_Count - SPARE]]+misc[[#This Row],[Core_ML2_Count]]</f>
        <v>0</v>
      </c>
      <c r="AF86" t="str">
        <f>_xlfn.TEXTJOIN(", ",,IF(misc[[#This Row],[Core_IFU_Count]]&gt;0,"IFU",""),IF(misc[[#This Row],[Core_DCU_Count]]&gt;0,"DCU",""),IF(misc[[#This Row],[Core_DTLB_Count]]&gt;0,"DTLB",""),IF(misc[[#This Row],[Core_ROB_Count]]&gt;0,"ROB",""),IF(misc[[#This Row],[Core_ML2_Count]]&gt;0,"ML2",""),IF(misc[[#This Row],[Core_L2_Count - SPARE]]&gt;0,"L2",""))</f>
        <v/>
      </c>
      <c r="AG86" t="str">
        <f>_xlfn.TEXTJOIN("",,"*SOCKET0**CBB",misc[[#This Row],[CBB]],"**BASE**I_CCF**ENV",misc[[#This Row],[ENV]],splitchar,"CBREGS_ALL",misc[[#This Row],[CBO]],splitchar,"SPARE")</f>
        <v>*SOCKET0**CBB2**BASE**I_CCF**ENV3__CBREGS_ALL44__SPARE</v>
      </c>
      <c r="AH86">
        <f>COUNTIFS(cha_mc[TestName],misc[[#This Row],[LLC_MCA_String - Not Used]],cha_mc[VisualId],MC_Check!$H$2)</f>
        <v>0</v>
      </c>
    </row>
    <row r="87" spans="6:34" x14ac:dyDescent="0.3">
      <c r="F87">
        <v>2</v>
      </c>
      <c r="G87">
        <v>20</v>
      </c>
      <c r="H87" s="61">
        <f>IF(MC_Check!$AN$2="PHY",misc[[#This Row],[location]],misc[[#This Row],[Module_log]])</f>
        <v>20</v>
      </c>
      <c r="I87" s="61">
        <f>misc[[#This Row],[Module]]</f>
        <v>20</v>
      </c>
      <c r="J87" s="61">
        <f t="shared" si="4"/>
        <v>2</v>
      </c>
      <c r="K87" s="61">
        <f>K83+1</f>
        <v>5</v>
      </c>
      <c r="L87" s="61">
        <v>0</v>
      </c>
      <c r="M87" s="61" t="str">
        <f>_xlfn.TEXTJOIN("",,misc[[#This Row],[ROW]],misc[[#This Row],[ROW]])</f>
        <v>55</v>
      </c>
      <c r="N87" s="5" t="b">
        <f>misc[[#This Row],[Core_Hitter_Count]]&gt;0</f>
        <v>0</v>
      </c>
      <c r="O87" t="b">
        <f>misc[[#This Row],[LLC_Hitter_Count]]&gt;0</f>
        <v>0</v>
      </c>
      <c r="P87" t="b">
        <f>misc[[#This Row],[CHA_Hitter_Count]]&gt;0</f>
        <v>0</v>
      </c>
      <c r="Q87" t="str">
        <f>_xlfn.TEXTJOIN("",,"*SOCKET0**CBB",misc[[#This Row],[CBB]],"**BASE**I_CCF_ENV",misc[[#This Row],[ENV]],splitchar,"CBREGS_ALL",misc[[#This Row],[CBO]],splitchar,"MC_STATUS*")</f>
        <v>*SOCKET0**CBB2**BASE**I_CCF_ENV0__CBREGS_ALL55__MC_STATUS*</v>
      </c>
      <c r="R87">
        <f>COUNTIFS(cha_mc[TestName],misc[[#This Row],[CBO_MCA_String]],cha_mc[VisualId],MC_Check!$H$2)</f>
        <v>0</v>
      </c>
      <c r="S87" t="str">
        <f>_xlfn.TEXTJOIN("",,"*SOCKET0**CBB",misc[[#This Row],[CBB]],"**COMPUTE",misc[[#This Row],[Compute]],"**MODULE",misc[[#This Row],[Module]],splitchar,"**CORE**IFU*CR*MC0*STATUS**")</f>
        <v>*SOCKET0**CBB2**COMPUTE2**MODULE20__**CORE**IFU*CR*MC0*STATUS**</v>
      </c>
      <c r="T87">
        <f>COUNTIFS(core_mc[TestName],misc[[#This Row],[IFU_MCA_String]],core_mc[VisualId],MC_Check!$H$2)</f>
        <v>0</v>
      </c>
      <c r="U87" t="str">
        <f>_xlfn.TEXTJOIN("",,"*SOCKET0**CBB",misc[[#This Row],[CBB]],"**COMPUTE",misc[[#This Row],[Compute]],"**MODULE",misc[[#This Row],[Module]],splitchar,"**CORE**ROB1*CR*MC*STATUS**")</f>
        <v>*SOCKET0**CBB2**COMPUTE2**MODULE20__**CORE**ROB1*CR*MC*STATUS**</v>
      </c>
      <c r="V87">
        <f>COUNTIFS(core_mc[TestName],misc[[#This Row],[ROB_MCA_String]],core_mc[VisualId],MC_Check!$H$2)</f>
        <v>0</v>
      </c>
      <c r="W87" t="str">
        <f>_xlfn.TEXTJOIN("",,"*SOCKET0**CBB",misc[[#This Row],[CBB]],"**COMPUTE",misc[[#This Row],[Compute]],"**MODULE",misc[[#This Row],[Module]],splitchar,"**CORE**DCU*CR*MC1*STATUS**")</f>
        <v>*SOCKET0**CBB2**COMPUTE2**MODULE20__**CORE**DCU*CR*MC1*STATUS**</v>
      </c>
      <c r="X87">
        <f>COUNTIFS(core_mc[TestName],misc[[#This Row],[DCU_MCA_String]],core_mc[VisualId],MC_Check!$H$2)</f>
        <v>0</v>
      </c>
      <c r="Y87" t="str">
        <f>_xlfn.TEXTJOIN("",,"*SOCKET0**CBB",misc[[#This Row],[CBB]],"**COMPUTE",misc[[#This Row],[Compute]],"**MODULE",misc[[#This Row],[Module]],splitchar,"**CORE**DTLB*CR*MC2*STATUS**")</f>
        <v>*SOCKET0**CBB2**COMPUTE2**MODULE20__**CORE**DTLB*CR*MC2*STATUS**</v>
      </c>
      <c r="Z87">
        <f>COUNTIFS(core_mc[TestName],misc[[#This Row],[CORE_DTLB_String]],core_mc[VisualId],MC_Check!$H$2)</f>
        <v>0</v>
      </c>
      <c r="AA87" t="str">
        <f>_xlfn.TEXTJOIN("",,"*SOCKET0**CBB",misc[[#This Row],[CBB]],"**COMPUTE",misc[[#This Row],[Compute]],"**MODULE",misc[[#This Row],[Module]],splitchar,"**ML2*CR*MC3*STATUS**")</f>
        <v>*SOCKET0**CBB2**COMPUTE2**MODULE20__**ML2*CR*MC3*STATUS**</v>
      </c>
      <c r="AB87">
        <f>COUNTIFS(core_mc[TestName],misc[[#This Row],[Core_ML2_String]],core_mc[VisualId],MC_Check!$H$2)</f>
        <v>0</v>
      </c>
      <c r="AC87" t="str">
        <f>_xlfn.TEXTJOIN("",,"*SOCKET0**CBB",misc[[#This Row],[CBB]],"**COMPUTE",misc[[#This Row],[Compute]],"**MODULE",misc[[#This Row],[Module]],splitchar,"SPARE")</f>
        <v>*SOCKET0**CBB2**COMPUTE2**MODULE20__SPARE</v>
      </c>
      <c r="AD87">
        <f>COUNTIFS(core_mc[TestName],misc[[#This Row],[Core_L2_String - SPARE]],core_mc[VisualId],MC_Check!$H$2)</f>
        <v>0</v>
      </c>
      <c r="AE87">
        <f>misc[[#This Row],[Core_DTLB_Count]]+misc[[#This Row],[Core_DCU_Count]]+misc[[#This Row],[Core_IFU_Count]]+misc[[#This Row],[Core_ROB_Count]]+misc[[#This Row],[Core_L2_Count - SPARE]]+misc[[#This Row],[Core_ML2_Count]]</f>
        <v>0</v>
      </c>
      <c r="AF87" t="str">
        <f>_xlfn.TEXTJOIN(", ",,IF(misc[[#This Row],[Core_IFU_Count]]&gt;0,"IFU",""),IF(misc[[#This Row],[Core_DCU_Count]]&gt;0,"DCU",""),IF(misc[[#This Row],[Core_DTLB_Count]]&gt;0,"DTLB",""),IF(misc[[#This Row],[Core_ROB_Count]]&gt;0,"ROB",""),IF(misc[[#This Row],[Core_ML2_Count]]&gt;0,"ML2",""),IF(misc[[#This Row],[Core_L2_Count - SPARE]]&gt;0,"L2",""))</f>
        <v/>
      </c>
      <c r="AG87" t="str">
        <f>_xlfn.TEXTJOIN("",,"*SOCKET0**CBB",misc[[#This Row],[CBB]],"**BASE**I_CCF**ENV",misc[[#This Row],[ENV]],splitchar,"CBREGS_ALL",misc[[#This Row],[CBO]],splitchar,"SPARE")</f>
        <v>*SOCKET0**CBB2**BASE**I_CCF**ENV0__CBREGS_ALL55__SPARE</v>
      </c>
      <c r="AH87">
        <f>COUNTIFS(cha_mc[TestName],misc[[#This Row],[LLC_MCA_String - Not Used]],cha_mc[VisualId],MC_Check!$H$2)</f>
        <v>0</v>
      </c>
    </row>
    <row r="88" spans="6:34" x14ac:dyDescent="0.3">
      <c r="F88">
        <v>2</v>
      </c>
      <c r="G88">
        <v>21</v>
      </c>
      <c r="H88" s="61">
        <f>IF(MC_Check!$AN$2="PHY",misc[[#This Row],[location]],misc[[#This Row],[Module_log]])</f>
        <v>21</v>
      </c>
      <c r="I88" s="61">
        <f>misc[[#This Row],[Module]]</f>
        <v>21</v>
      </c>
      <c r="J88" s="61">
        <f t="shared" si="4"/>
        <v>2</v>
      </c>
      <c r="K88" s="61">
        <f t="shared" si="3"/>
        <v>5</v>
      </c>
      <c r="L88" s="61">
        <v>1</v>
      </c>
      <c r="M88" s="61" t="str">
        <f>_xlfn.TEXTJOIN("",,misc[[#This Row],[ROW]],misc[[#This Row],[ROW]])</f>
        <v>55</v>
      </c>
      <c r="N88" s="5" t="b">
        <f>misc[[#This Row],[Core_Hitter_Count]]&gt;0</f>
        <v>0</v>
      </c>
      <c r="O88" t="b">
        <f>misc[[#This Row],[LLC_Hitter_Count]]&gt;0</f>
        <v>0</v>
      </c>
      <c r="P88" t="b">
        <f>misc[[#This Row],[CHA_Hitter_Count]]&gt;0</f>
        <v>0</v>
      </c>
      <c r="Q88" t="str">
        <f>_xlfn.TEXTJOIN("",,"*SOCKET0**CBB",misc[[#This Row],[CBB]],"**BASE**I_CCF_ENV",misc[[#This Row],[ENV]],splitchar,"CBREGS_ALL",misc[[#This Row],[CBO]],splitchar,"MC_STATUS*")</f>
        <v>*SOCKET0**CBB2**BASE**I_CCF_ENV1__CBREGS_ALL55__MC_STATUS*</v>
      </c>
      <c r="R88">
        <f>COUNTIFS(cha_mc[TestName],misc[[#This Row],[CBO_MCA_String]],cha_mc[VisualId],MC_Check!$H$2)</f>
        <v>0</v>
      </c>
      <c r="S88" t="str">
        <f>_xlfn.TEXTJOIN("",,"*SOCKET0**CBB",misc[[#This Row],[CBB]],"**COMPUTE",misc[[#This Row],[Compute]],"**MODULE",misc[[#This Row],[Module]],splitchar,"**CORE**IFU*CR*MC0*STATUS**")</f>
        <v>*SOCKET0**CBB2**COMPUTE2**MODULE21__**CORE**IFU*CR*MC0*STATUS**</v>
      </c>
      <c r="T88">
        <f>COUNTIFS(core_mc[TestName],misc[[#This Row],[IFU_MCA_String]],core_mc[VisualId],MC_Check!$H$2)</f>
        <v>0</v>
      </c>
      <c r="U88" t="str">
        <f>_xlfn.TEXTJOIN("",,"*SOCKET0**CBB",misc[[#This Row],[CBB]],"**COMPUTE",misc[[#This Row],[Compute]],"**MODULE",misc[[#This Row],[Module]],splitchar,"**CORE**ROB1*CR*MC*STATUS**")</f>
        <v>*SOCKET0**CBB2**COMPUTE2**MODULE21__**CORE**ROB1*CR*MC*STATUS**</v>
      </c>
      <c r="V88">
        <f>COUNTIFS(core_mc[TestName],misc[[#This Row],[ROB_MCA_String]],core_mc[VisualId],MC_Check!$H$2)</f>
        <v>0</v>
      </c>
      <c r="W88" t="str">
        <f>_xlfn.TEXTJOIN("",,"*SOCKET0**CBB",misc[[#This Row],[CBB]],"**COMPUTE",misc[[#This Row],[Compute]],"**MODULE",misc[[#This Row],[Module]],splitchar,"**CORE**DCU*CR*MC1*STATUS**")</f>
        <v>*SOCKET0**CBB2**COMPUTE2**MODULE21__**CORE**DCU*CR*MC1*STATUS**</v>
      </c>
      <c r="X88">
        <f>COUNTIFS(core_mc[TestName],misc[[#This Row],[DCU_MCA_String]],core_mc[VisualId],MC_Check!$H$2)</f>
        <v>0</v>
      </c>
      <c r="Y88" t="str">
        <f>_xlfn.TEXTJOIN("",,"*SOCKET0**CBB",misc[[#This Row],[CBB]],"**COMPUTE",misc[[#This Row],[Compute]],"**MODULE",misc[[#This Row],[Module]],splitchar,"**CORE**DTLB*CR*MC2*STATUS**")</f>
        <v>*SOCKET0**CBB2**COMPUTE2**MODULE21__**CORE**DTLB*CR*MC2*STATUS**</v>
      </c>
      <c r="Z88">
        <f>COUNTIFS(core_mc[TestName],misc[[#This Row],[CORE_DTLB_String]],core_mc[VisualId],MC_Check!$H$2)</f>
        <v>0</v>
      </c>
      <c r="AA88" t="str">
        <f>_xlfn.TEXTJOIN("",,"*SOCKET0**CBB",misc[[#This Row],[CBB]],"**COMPUTE",misc[[#This Row],[Compute]],"**MODULE",misc[[#This Row],[Module]],splitchar,"**ML2*CR*MC3*STATUS**")</f>
        <v>*SOCKET0**CBB2**COMPUTE2**MODULE21__**ML2*CR*MC3*STATUS**</v>
      </c>
      <c r="AB88">
        <f>COUNTIFS(core_mc[TestName],misc[[#This Row],[Core_ML2_String]],core_mc[VisualId],MC_Check!$H$2)</f>
        <v>0</v>
      </c>
      <c r="AC88" t="str">
        <f>_xlfn.TEXTJOIN("",,"*SOCKET0**CBB",misc[[#This Row],[CBB]],"**COMPUTE",misc[[#This Row],[Compute]],"**MODULE",misc[[#This Row],[Module]],splitchar,"SPARE")</f>
        <v>*SOCKET0**CBB2**COMPUTE2**MODULE21__SPARE</v>
      </c>
      <c r="AD88">
        <f>COUNTIFS(core_mc[TestName],misc[[#This Row],[Core_L2_String - SPARE]],core_mc[VisualId],MC_Check!$H$2)</f>
        <v>0</v>
      </c>
      <c r="AE88">
        <f>misc[[#This Row],[Core_DTLB_Count]]+misc[[#This Row],[Core_DCU_Count]]+misc[[#This Row],[Core_IFU_Count]]+misc[[#This Row],[Core_ROB_Count]]+misc[[#This Row],[Core_L2_Count - SPARE]]+misc[[#This Row],[Core_ML2_Count]]</f>
        <v>0</v>
      </c>
      <c r="AF88" t="str">
        <f>_xlfn.TEXTJOIN(", ",,IF(misc[[#This Row],[Core_IFU_Count]]&gt;0,"IFU",""),IF(misc[[#This Row],[Core_DCU_Count]]&gt;0,"DCU",""),IF(misc[[#This Row],[Core_DTLB_Count]]&gt;0,"DTLB",""),IF(misc[[#This Row],[Core_ROB_Count]]&gt;0,"ROB",""),IF(misc[[#This Row],[Core_ML2_Count]]&gt;0,"ML2",""),IF(misc[[#This Row],[Core_L2_Count - SPARE]]&gt;0,"L2",""))</f>
        <v/>
      </c>
      <c r="AG88" t="str">
        <f>_xlfn.TEXTJOIN("",,"*SOCKET0**CBB",misc[[#This Row],[CBB]],"**BASE**I_CCF**ENV",misc[[#This Row],[ENV]],splitchar,"CBREGS_ALL",misc[[#This Row],[CBO]],splitchar,"SPARE")</f>
        <v>*SOCKET0**CBB2**BASE**I_CCF**ENV1__CBREGS_ALL55__SPARE</v>
      </c>
      <c r="AH88">
        <f>COUNTIFS(cha_mc[TestName],misc[[#This Row],[LLC_MCA_String - Not Used]],cha_mc[VisualId],MC_Check!$H$2)</f>
        <v>0</v>
      </c>
    </row>
    <row r="89" spans="6:34" x14ac:dyDescent="0.3">
      <c r="F89">
        <v>2</v>
      </c>
      <c r="G89">
        <v>22</v>
      </c>
      <c r="H89" s="61">
        <f>IF(MC_Check!$AN$2="PHY",misc[[#This Row],[location]],misc[[#This Row],[Module_log]])</f>
        <v>22</v>
      </c>
      <c r="I89" s="61">
        <f>misc[[#This Row],[Module]]</f>
        <v>22</v>
      </c>
      <c r="J89" s="61">
        <f t="shared" si="4"/>
        <v>2</v>
      </c>
      <c r="K89" s="61">
        <f t="shared" si="3"/>
        <v>5</v>
      </c>
      <c r="L89" s="61">
        <v>2</v>
      </c>
      <c r="M89" s="61" t="str">
        <f>_xlfn.TEXTJOIN("",,misc[[#This Row],[ROW]],misc[[#This Row],[ROW]])</f>
        <v>55</v>
      </c>
      <c r="N89" s="5" t="b">
        <f>misc[[#This Row],[Core_Hitter_Count]]&gt;0</f>
        <v>0</v>
      </c>
      <c r="O89" t="b">
        <f>misc[[#This Row],[LLC_Hitter_Count]]&gt;0</f>
        <v>0</v>
      </c>
      <c r="P89" t="b">
        <f>misc[[#This Row],[CHA_Hitter_Count]]&gt;0</f>
        <v>0</v>
      </c>
      <c r="Q89" t="str">
        <f>_xlfn.TEXTJOIN("",,"*SOCKET0**CBB",misc[[#This Row],[CBB]],"**BASE**I_CCF_ENV",misc[[#This Row],[ENV]],splitchar,"CBREGS_ALL",misc[[#This Row],[CBO]],splitchar,"MC_STATUS*")</f>
        <v>*SOCKET0**CBB2**BASE**I_CCF_ENV2__CBREGS_ALL55__MC_STATUS*</v>
      </c>
      <c r="R89">
        <f>COUNTIFS(cha_mc[TestName],misc[[#This Row],[CBO_MCA_String]],cha_mc[VisualId],MC_Check!$H$2)</f>
        <v>0</v>
      </c>
      <c r="S89" t="str">
        <f>_xlfn.TEXTJOIN("",,"*SOCKET0**CBB",misc[[#This Row],[CBB]],"**COMPUTE",misc[[#This Row],[Compute]],"**MODULE",misc[[#This Row],[Module]],splitchar,"**CORE**IFU*CR*MC0*STATUS**")</f>
        <v>*SOCKET0**CBB2**COMPUTE2**MODULE22__**CORE**IFU*CR*MC0*STATUS**</v>
      </c>
      <c r="T89">
        <f>COUNTIFS(core_mc[TestName],misc[[#This Row],[IFU_MCA_String]],core_mc[VisualId],MC_Check!$H$2)</f>
        <v>0</v>
      </c>
      <c r="U89" t="str">
        <f>_xlfn.TEXTJOIN("",,"*SOCKET0**CBB",misc[[#This Row],[CBB]],"**COMPUTE",misc[[#This Row],[Compute]],"**MODULE",misc[[#This Row],[Module]],splitchar,"**CORE**ROB1*CR*MC*STATUS**")</f>
        <v>*SOCKET0**CBB2**COMPUTE2**MODULE22__**CORE**ROB1*CR*MC*STATUS**</v>
      </c>
      <c r="V89">
        <f>COUNTIFS(core_mc[TestName],misc[[#This Row],[ROB_MCA_String]],core_mc[VisualId],MC_Check!$H$2)</f>
        <v>0</v>
      </c>
      <c r="W89" t="str">
        <f>_xlfn.TEXTJOIN("",,"*SOCKET0**CBB",misc[[#This Row],[CBB]],"**COMPUTE",misc[[#This Row],[Compute]],"**MODULE",misc[[#This Row],[Module]],splitchar,"**CORE**DCU*CR*MC1*STATUS**")</f>
        <v>*SOCKET0**CBB2**COMPUTE2**MODULE22__**CORE**DCU*CR*MC1*STATUS**</v>
      </c>
      <c r="X89">
        <f>COUNTIFS(core_mc[TestName],misc[[#This Row],[DCU_MCA_String]],core_mc[VisualId],MC_Check!$H$2)</f>
        <v>0</v>
      </c>
      <c r="Y89" t="str">
        <f>_xlfn.TEXTJOIN("",,"*SOCKET0**CBB",misc[[#This Row],[CBB]],"**COMPUTE",misc[[#This Row],[Compute]],"**MODULE",misc[[#This Row],[Module]],splitchar,"**CORE**DTLB*CR*MC2*STATUS**")</f>
        <v>*SOCKET0**CBB2**COMPUTE2**MODULE22__**CORE**DTLB*CR*MC2*STATUS**</v>
      </c>
      <c r="Z89">
        <f>COUNTIFS(core_mc[TestName],misc[[#This Row],[CORE_DTLB_String]],core_mc[VisualId],MC_Check!$H$2)</f>
        <v>0</v>
      </c>
      <c r="AA89" t="str">
        <f>_xlfn.TEXTJOIN("",,"*SOCKET0**CBB",misc[[#This Row],[CBB]],"**COMPUTE",misc[[#This Row],[Compute]],"**MODULE",misc[[#This Row],[Module]],splitchar,"**ML2*CR*MC3*STATUS**")</f>
        <v>*SOCKET0**CBB2**COMPUTE2**MODULE22__**ML2*CR*MC3*STATUS**</v>
      </c>
      <c r="AB89">
        <f>COUNTIFS(core_mc[TestName],misc[[#This Row],[Core_ML2_String]],core_mc[VisualId],MC_Check!$H$2)</f>
        <v>0</v>
      </c>
      <c r="AC89" t="str">
        <f>_xlfn.TEXTJOIN("",,"*SOCKET0**CBB",misc[[#This Row],[CBB]],"**COMPUTE",misc[[#This Row],[Compute]],"**MODULE",misc[[#This Row],[Module]],splitchar,"SPARE")</f>
        <v>*SOCKET0**CBB2**COMPUTE2**MODULE22__SPARE</v>
      </c>
      <c r="AD89">
        <f>COUNTIFS(core_mc[TestName],misc[[#This Row],[Core_L2_String - SPARE]],core_mc[VisualId],MC_Check!$H$2)</f>
        <v>0</v>
      </c>
      <c r="AE89">
        <f>misc[[#This Row],[Core_DTLB_Count]]+misc[[#This Row],[Core_DCU_Count]]+misc[[#This Row],[Core_IFU_Count]]+misc[[#This Row],[Core_ROB_Count]]+misc[[#This Row],[Core_L2_Count - SPARE]]+misc[[#This Row],[Core_ML2_Count]]</f>
        <v>0</v>
      </c>
      <c r="AF89" t="str">
        <f>_xlfn.TEXTJOIN(", ",,IF(misc[[#This Row],[Core_IFU_Count]]&gt;0,"IFU",""),IF(misc[[#This Row],[Core_DCU_Count]]&gt;0,"DCU",""),IF(misc[[#This Row],[Core_DTLB_Count]]&gt;0,"DTLB",""),IF(misc[[#This Row],[Core_ROB_Count]]&gt;0,"ROB",""),IF(misc[[#This Row],[Core_ML2_Count]]&gt;0,"ML2",""),IF(misc[[#This Row],[Core_L2_Count - SPARE]]&gt;0,"L2",""))</f>
        <v/>
      </c>
      <c r="AG89" t="str">
        <f>_xlfn.TEXTJOIN("",,"*SOCKET0**CBB",misc[[#This Row],[CBB]],"**BASE**I_CCF**ENV",misc[[#This Row],[ENV]],splitchar,"CBREGS_ALL",misc[[#This Row],[CBO]],splitchar,"SPARE")</f>
        <v>*SOCKET0**CBB2**BASE**I_CCF**ENV2__CBREGS_ALL55__SPARE</v>
      </c>
      <c r="AH89">
        <f>COUNTIFS(cha_mc[TestName],misc[[#This Row],[LLC_MCA_String - Not Used]],cha_mc[VisualId],MC_Check!$H$2)</f>
        <v>0</v>
      </c>
    </row>
    <row r="90" spans="6:34" x14ac:dyDescent="0.3">
      <c r="F90">
        <v>2</v>
      </c>
      <c r="G90">
        <v>23</v>
      </c>
      <c r="H90" s="61">
        <f>IF(MC_Check!$AN$2="PHY",misc[[#This Row],[location]],misc[[#This Row],[Module_log]])</f>
        <v>23</v>
      </c>
      <c r="I90" s="61">
        <f>misc[[#This Row],[Module]]</f>
        <v>23</v>
      </c>
      <c r="J90" s="61">
        <f t="shared" si="4"/>
        <v>2</v>
      </c>
      <c r="K90" s="61">
        <f t="shared" si="3"/>
        <v>5</v>
      </c>
      <c r="L90" s="61">
        <v>3</v>
      </c>
      <c r="M90" s="61" t="str">
        <f>_xlfn.TEXTJOIN("",,misc[[#This Row],[ROW]],misc[[#This Row],[ROW]])</f>
        <v>55</v>
      </c>
      <c r="N90" s="5" t="b">
        <f>misc[[#This Row],[Core_Hitter_Count]]&gt;0</f>
        <v>0</v>
      </c>
      <c r="O90" t="b">
        <f>misc[[#This Row],[LLC_Hitter_Count]]&gt;0</f>
        <v>0</v>
      </c>
      <c r="P90" t="b">
        <f>misc[[#This Row],[CHA_Hitter_Count]]&gt;0</f>
        <v>0</v>
      </c>
      <c r="Q90" t="str">
        <f>_xlfn.TEXTJOIN("",,"*SOCKET0**CBB",misc[[#This Row],[CBB]],"**BASE**I_CCF_ENV",misc[[#This Row],[ENV]],splitchar,"CBREGS_ALL",misc[[#This Row],[CBO]],splitchar,"MC_STATUS*")</f>
        <v>*SOCKET0**CBB2**BASE**I_CCF_ENV3__CBREGS_ALL55__MC_STATUS*</v>
      </c>
      <c r="R90">
        <f>COUNTIFS(cha_mc[TestName],misc[[#This Row],[CBO_MCA_String]],cha_mc[VisualId],MC_Check!$H$2)</f>
        <v>0</v>
      </c>
      <c r="S90" t="str">
        <f>_xlfn.TEXTJOIN("",,"*SOCKET0**CBB",misc[[#This Row],[CBB]],"**COMPUTE",misc[[#This Row],[Compute]],"**MODULE",misc[[#This Row],[Module]],splitchar,"**CORE**IFU*CR*MC0*STATUS**")</f>
        <v>*SOCKET0**CBB2**COMPUTE2**MODULE23__**CORE**IFU*CR*MC0*STATUS**</v>
      </c>
      <c r="T90">
        <f>COUNTIFS(core_mc[TestName],misc[[#This Row],[IFU_MCA_String]],core_mc[VisualId],MC_Check!$H$2)</f>
        <v>0</v>
      </c>
      <c r="U90" t="str">
        <f>_xlfn.TEXTJOIN("",,"*SOCKET0**CBB",misc[[#This Row],[CBB]],"**COMPUTE",misc[[#This Row],[Compute]],"**MODULE",misc[[#This Row],[Module]],splitchar,"**CORE**ROB1*CR*MC*STATUS**")</f>
        <v>*SOCKET0**CBB2**COMPUTE2**MODULE23__**CORE**ROB1*CR*MC*STATUS**</v>
      </c>
      <c r="V90">
        <f>COUNTIFS(core_mc[TestName],misc[[#This Row],[ROB_MCA_String]],core_mc[VisualId],MC_Check!$H$2)</f>
        <v>0</v>
      </c>
      <c r="W90" t="str">
        <f>_xlfn.TEXTJOIN("",,"*SOCKET0**CBB",misc[[#This Row],[CBB]],"**COMPUTE",misc[[#This Row],[Compute]],"**MODULE",misc[[#This Row],[Module]],splitchar,"**CORE**DCU*CR*MC1*STATUS**")</f>
        <v>*SOCKET0**CBB2**COMPUTE2**MODULE23__**CORE**DCU*CR*MC1*STATUS**</v>
      </c>
      <c r="X90">
        <f>COUNTIFS(core_mc[TestName],misc[[#This Row],[DCU_MCA_String]],core_mc[VisualId],MC_Check!$H$2)</f>
        <v>0</v>
      </c>
      <c r="Y90" t="str">
        <f>_xlfn.TEXTJOIN("",,"*SOCKET0**CBB",misc[[#This Row],[CBB]],"**COMPUTE",misc[[#This Row],[Compute]],"**MODULE",misc[[#This Row],[Module]],splitchar,"**CORE**DTLB*CR*MC2*STATUS**")</f>
        <v>*SOCKET0**CBB2**COMPUTE2**MODULE23__**CORE**DTLB*CR*MC2*STATUS**</v>
      </c>
      <c r="Z90">
        <f>COUNTIFS(core_mc[TestName],misc[[#This Row],[CORE_DTLB_String]],core_mc[VisualId],MC_Check!$H$2)</f>
        <v>0</v>
      </c>
      <c r="AA90" t="str">
        <f>_xlfn.TEXTJOIN("",,"*SOCKET0**CBB",misc[[#This Row],[CBB]],"**COMPUTE",misc[[#This Row],[Compute]],"**MODULE",misc[[#This Row],[Module]],splitchar,"**ML2*CR*MC3*STATUS**")</f>
        <v>*SOCKET0**CBB2**COMPUTE2**MODULE23__**ML2*CR*MC3*STATUS**</v>
      </c>
      <c r="AB90">
        <f>COUNTIFS(core_mc[TestName],misc[[#This Row],[Core_ML2_String]],core_mc[VisualId],MC_Check!$H$2)</f>
        <v>0</v>
      </c>
      <c r="AC90" t="str">
        <f>_xlfn.TEXTJOIN("",,"*SOCKET0**CBB",misc[[#This Row],[CBB]],"**COMPUTE",misc[[#This Row],[Compute]],"**MODULE",misc[[#This Row],[Module]],splitchar,"SPARE")</f>
        <v>*SOCKET0**CBB2**COMPUTE2**MODULE23__SPARE</v>
      </c>
      <c r="AD90">
        <f>COUNTIFS(core_mc[TestName],misc[[#This Row],[Core_L2_String - SPARE]],core_mc[VisualId],MC_Check!$H$2)</f>
        <v>0</v>
      </c>
      <c r="AE90">
        <f>misc[[#This Row],[Core_DTLB_Count]]+misc[[#This Row],[Core_DCU_Count]]+misc[[#This Row],[Core_IFU_Count]]+misc[[#This Row],[Core_ROB_Count]]+misc[[#This Row],[Core_L2_Count - SPARE]]+misc[[#This Row],[Core_ML2_Count]]</f>
        <v>0</v>
      </c>
      <c r="AF90" t="str">
        <f>_xlfn.TEXTJOIN(", ",,IF(misc[[#This Row],[Core_IFU_Count]]&gt;0,"IFU",""),IF(misc[[#This Row],[Core_DCU_Count]]&gt;0,"DCU",""),IF(misc[[#This Row],[Core_DTLB_Count]]&gt;0,"DTLB",""),IF(misc[[#This Row],[Core_ROB_Count]]&gt;0,"ROB",""),IF(misc[[#This Row],[Core_ML2_Count]]&gt;0,"ML2",""),IF(misc[[#This Row],[Core_L2_Count - SPARE]]&gt;0,"L2",""))</f>
        <v/>
      </c>
      <c r="AG90" t="str">
        <f>_xlfn.TEXTJOIN("",,"*SOCKET0**CBB",misc[[#This Row],[CBB]],"**BASE**I_CCF**ENV",misc[[#This Row],[ENV]],splitchar,"CBREGS_ALL",misc[[#This Row],[CBO]],splitchar,"SPARE")</f>
        <v>*SOCKET0**CBB2**BASE**I_CCF**ENV3__CBREGS_ALL55__SPARE</v>
      </c>
      <c r="AH90">
        <f>COUNTIFS(cha_mc[TestName],misc[[#This Row],[LLC_MCA_String - Not Used]],cha_mc[VisualId],MC_Check!$H$2)</f>
        <v>0</v>
      </c>
    </row>
    <row r="91" spans="6:34" x14ac:dyDescent="0.3">
      <c r="F91">
        <v>2</v>
      </c>
      <c r="G91">
        <v>24</v>
      </c>
      <c r="H91" s="61">
        <f>IF(MC_Check!$AN$2="PHY",misc[[#This Row],[location]],misc[[#This Row],[Module_log]])</f>
        <v>24</v>
      </c>
      <c r="I91" s="61">
        <f>misc[[#This Row],[Module]]</f>
        <v>24</v>
      </c>
      <c r="J91" s="61">
        <f t="shared" si="4"/>
        <v>3</v>
      </c>
      <c r="K91" s="61">
        <f>K87+1</f>
        <v>6</v>
      </c>
      <c r="L91" s="61">
        <v>0</v>
      </c>
      <c r="M91" s="61" t="str">
        <f>_xlfn.TEXTJOIN("",,misc[[#This Row],[ROW]],misc[[#This Row],[ROW]])</f>
        <v>66</v>
      </c>
      <c r="N91" s="5" t="b">
        <f>misc[[#This Row],[Core_Hitter_Count]]&gt;0</f>
        <v>0</v>
      </c>
      <c r="O91" t="b">
        <f>misc[[#This Row],[LLC_Hitter_Count]]&gt;0</f>
        <v>0</v>
      </c>
      <c r="P91" t="b">
        <f>misc[[#This Row],[CHA_Hitter_Count]]&gt;0</f>
        <v>0</v>
      </c>
      <c r="Q91" t="str">
        <f>_xlfn.TEXTJOIN("",,"*SOCKET0**CBB",misc[[#This Row],[CBB]],"**BASE**I_CCF_ENV",misc[[#This Row],[ENV]],splitchar,"CBREGS_ALL",misc[[#This Row],[CBO]],splitchar,"MC_STATUS*")</f>
        <v>*SOCKET0**CBB2**BASE**I_CCF_ENV0__CBREGS_ALL66__MC_STATUS*</v>
      </c>
      <c r="R91">
        <f>COUNTIFS(cha_mc[TestName],misc[[#This Row],[CBO_MCA_String]],cha_mc[VisualId],MC_Check!$H$2)</f>
        <v>0</v>
      </c>
      <c r="S91" t="str">
        <f>_xlfn.TEXTJOIN("",,"*SOCKET0**CBB",misc[[#This Row],[CBB]],"**COMPUTE",misc[[#This Row],[Compute]],"**MODULE",misc[[#This Row],[Module]],splitchar,"**CORE**IFU*CR*MC0*STATUS**")</f>
        <v>*SOCKET0**CBB2**COMPUTE3**MODULE24__**CORE**IFU*CR*MC0*STATUS**</v>
      </c>
      <c r="T91">
        <f>COUNTIFS(core_mc[TestName],misc[[#This Row],[IFU_MCA_String]],core_mc[VisualId],MC_Check!$H$2)</f>
        <v>0</v>
      </c>
      <c r="U91" t="str">
        <f>_xlfn.TEXTJOIN("",,"*SOCKET0**CBB",misc[[#This Row],[CBB]],"**COMPUTE",misc[[#This Row],[Compute]],"**MODULE",misc[[#This Row],[Module]],splitchar,"**CORE**ROB1*CR*MC*STATUS**")</f>
        <v>*SOCKET0**CBB2**COMPUTE3**MODULE24__**CORE**ROB1*CR*MC*STATUS**</v>
      </c>
      <c r="V91">
        <f>COUNTIFS(core_mc[TestName],misc[[#This Row],[ROB_MCA_String]],core_mc[VisualId],MC_Check!$H$2)</f>
        <v>0</v>
      </c>
      <c r="W91" t="str">
        <f>_xlfn.TEXTJOIN("",,"*SOCKET0**CBB",misc[[#This Row],[CBB]],"**COMPUTE",misc[[#This Row],[Compute]],"**MODULE",misc[[#This Row],[Module]],splitchar,"**CORE**DCU*CR*MC1*STATUS**")</f>
        <v>*SOCKET0**CBB2**COMPUTE3**MODULE24__**CORE**DCU*CR*MC1*STATUS**</v>
      </c>
      <c r="X91">
        <f>COUNTIFS(core_mc[TestName],misc[[#This Row],[DCU_MCA_String]],core_mc[VisualId],MC_Check!$H$2)</f>
        <v>0</v>
      </c>
      <c r="Y91" t="str">
        <f>_xlfn.TEXTJOIN("",,"*SOCKET0**CBB",misc[[#This Row],[CBB]],"**COMPUTE",misc[[#This Row],[Compute]],"**MODULE",misc[[#This Row],[Module]],splitchar,"**CORE**DTLB*CR*MC2*STATUS**")</f>
        <v>*SOCKET0**CBB2**COMPUTE3**MODULE24__**CORE**DTLB*CR*MC2*STATUS**</v>
      </c>
      <c r="Z91">
        <f>COUNTIFS(core_mc[TestName],misc[[#This Row],[CORE_DTLB_String]],core_mc[VisualId],MC_Check!$H$2)</f>
        <v>0</v>
      </c>
      <c r="AA91" t="str">
        <f>_xlfn.TEXTJOIN("",,"*SOCKET0**CBB",misc[[#This Row],[CBB]],"**COMPUTE",misc[[#This Row],[Compute]],"**MODULE",misc[[#This Row],[Module]],splitchar,"**ML2*CR*MC3*STATUS**")</f>
        <v>*SOCKET0**CBB2**COMPUTE3**MODULE24__**ML2*CR*MC3*STATUS**</v>
      </c>
      <c r="AB91">
        <f>COUNTIFS(core_mc[TestName],misc[[#This Row],[Core_ML2_String]],core_mc[VisualId],MC_Check!$H$2)</f>
        <v>0</v>
      </c>
      <c r="AC91" t="str">
        <f>_xlfn.TEXTJOIN("",,"*SOCKET0**CBB",misc[[#This Row],[CBB]],"**COMPUTE",misc[[#This Row],[Compute]],"**MODULE",misc[[#This Row],[Module]],splitchar,"SPARE")</f>
        <v>*SOCKET0**CBB2**COMPUTE3**MODULE24__SPARE</v>
      </c>
      <c r="AD91">
        <f>COUNTIFS(core_mc[TestName],misc[[#This Row],[Core_L2_String - SPARE]],core_mc[VisualId],MC_Check!$H$2)</f>
        <v>0</v>
      </c>
      <c r="AE91">
        <f>misc[[#This Row],[Core_DTLB_Count]]+misc[[#This Row],[Core_DCU_Count]]+misc[[#This Row],[Core_IFU_Count]]+misc[[#This Row],[Core_ROB_Count]]+misc[[#This Row],[Core_L2_Count - SPARE]]+misc[[#This Row],[Core_ML2_Count]]</f>
        <v>0</v>
      </c>
      <c r="AF91" t="str">
        <f>_xlfn.TEXTJOIN(", ",,IF(misc[[#This Row],[Core_IFU_Count]]&gt;0,"IFU",""),IF(misc[[#This Row],[Core_DCU_Count]]&gt;0,"DCU",""),IF(misc[[#This Row],[Core_DTLB_Count]]&gt;0,"DTLB",""),IF(misc[[#This Row],[Core_ROB_Count]]&gt;0,"ROB",""),IF(misc[[#This Row],[Core_ML2_Count]]&gt;0,"ML2",""),IF(misc[[#This Row],[Core_L2_Count - SPARE]]&gt;0,"L2",""))</f>
        <v/>
      </c>
      <c r="AG91" t="str">
        <f>_xlfn.TEXTJOIN("",,"*SOCKET0**CBB",misc[[#This Row],[CBB]],"**BASE**I_CCF**ENV",misc[[#This Row],[ENV]],splitchar,"CBREGS_ALL",misc[[#This Row],[CBO]],splitchar,"SPARE")</f>
        <v>*SOCKET0**CBB2**BASE**I_CCF**ENV0__CBREGS_ALL66__SPARE</v>
      </c>
      <c r="AH91">
        <f>COUNTIFS(cha_mc[TestName],misc[[#This Row],[LLC_MCA_String - Not Used]],cha_mc[VisualId],MC_Check!$H$2)</f>
        <v>0</v>
      </c>
    </row>
    <row r="92" spans="6:34" x14ac:dyDescent="0.3">
      <c r="F92">
        <v>2</v>
      </c>
      <c r="G92">
        <v>25</v>
      </c>
      <c r="H92" s="61">
        <f>IF(MC_Check!$AN$2="PHY",misc[[#This Row],[location]],misc[[#This Row],[Module_log]])</f>
        <v>25</v>
      </c>
      <c r="I92" s="61">
        <f>misc[[#This Row],[Module]]</f>
        <v>25</v>
      </c>
      <c r="J92" s="61">
        <f t="shared" si="4"/>
        <v>3</v>
      </c>
      <c r="K92" s="61">
        <f t="shared" si="3"/>
        <v>6</v>
      </c>
      <c r="L92" s="61">
        <v>1</v>
      </c>
      <c r="M92" s="61" t="str">
        <f>_xlfn.TEXTJOIN("",,misc[[#This Row],[ROW]],misc[[#This Row],[ROW]])</f>
        <v>66</v>
      </c>
      <c r="N92" s="5" t="b">
        <f>misc[[#This Row],[Core_Hitter_Count]]&gt;0</f>
        <v>0</v>
      </c>
      <c r="O92" t="b">
        <f>misc[[#This Row],[LLC_Hitter_Count]]&gt;0</f>
        <v>0</v>
      </c>
      <c r="P92" t="b">
        <f>misc[[#This Row],[CHA_Hitter_Count]]&gt;0</f>
        <v>0</v>
      </c>
      <c r="Q92" t="str">
        <f>_xlfn.TEXTJOIN("",,"*SOCKET0**CBB",misc[[#This Row],[CBB]],"**BASE**I_CCF_ENV",misc[[#This Row],[ENV]],splitchar,"CBREGS_ALL",misc[[#This Row],[CBO]],splitchar,"MC_STATUS*")</f>
        <v>*SOCKET0**CBB2**BASE**I_CCF_ENV1__CBREGS_ALL66__MC_STATUS*</v>
      </c>
      <c r="R92">
        <f>COUNTIFS(cha_mc[TestName],misc[[#This Row],[CBO_MCA_String]],cha_mc[VisualId],MC_Check!$H$2)</f>
        <v>0</v>
      </c>
      <c r="S92" t="str">
        <f>_xlfn.TEXTJOIN("",,"*SOCKET0**CBB",misc[[#This Row],[CBB]],"**COMPUTE",misc[[#This Row],[Compute]],"**MODULE",misc[[#This Row],[Module]],splitchar,"**CORE**IFU*CR*MC0*STATUS**")</f>
        <v>*SOCKET0**CBB2**COMPUTE3**MODULE25__**CORE**IFU*CR*MC0*STATUS**</v>
      </c>
      <c r="T92">
        <f>COUNTIFS(core_mc[TestName],misc[[#This Row],[IFU_MCA_String]],core_mc[VisualId],MC_Check!$H$2)</f>
        <v>0</v>
      </c>
      <c r="U92" t="str">
        <f>_xlfn.TEXTJOIN("",,"*SOCKET0**CBB",misc[[#This Row],[CBB]],"**COMPUTE",misc[[#This Row],[Compute]],"**MODULE",misc[[#This Row],[Module]],splitchar,"**CORE**ROB1*CR*MC*STATUS**")</f>
        <v>*SOCKET0**CBB2**COMPUTE3**MODULE25__**CORE**ROB1*CR*MC*STATUS**</v>
      </c>
      <c r="V92">
        <f>COUNTIFS(core_mc[TestName],misc[[#This Row],[ROB_MCA_String]],core_mc[VisualId],MC_Check!$H$2)</f>
        <v>0</v>
      </c>
      <c r="W92" t="str">
        <f>_xlfn.TEXTJOIN("",,"*SOCKET0**CBB",misc[[#This Row],[CBB]],"**COMPUTE",misc[[#This Row],[Compute]],"**MODULE",misc[[#This Row],[Module]],splitchar,"**CORE**DCU*CR*MC1*STATUS**")</f>
        <v>*SOCKET0**CBB2**COMPUTE3**MODULE25__**CORE**DCU*CR*MC1*STATUS**</v>
      </c>
      <c r="X92">
        <f>COUNTIFS(core_mc[TestName],misc[[#This Row],[DCU_MCA_String]],core_mc[VisualId],MC_Check!$H$2)</f>
        <v>0</v>
      </c>
      <c r="Y92" t="str">
        <f>_xlfn.TEXTJOIN("",,"*SOCKET0**CBB",misc[[#This Row],[CBB]],"**COMPUTE",misc[[#This Row],[Compute]],"**MODULE",misc[[#This Row],[Module]],splitchar,"**CORE**DTLB*CR*MC2*STATUS**")</f>
        <v>*SOCKET0**CBB2**COMPUTE3**MODULE25__**CORE**DTLB*CR*MC2*STATUS**</v>
      </c>
      <c r="Z92">
        <f>COUNTIFS(core_mc[TestName],misc[[#This Row],[CORE_DTLB_String]],core_mc[VisualId],MC_Check!$H$2)</f>
        <v>0</v>
      </c>
      <c r="AA92" t="str">
        <f>_xlfn.TEXTJOIN("",,"*SOCKET0**CBB",misc[[#This Row],[CBB]],"**COMPUTE",misc[[#This Row],[Compute]],"**MODULE",misc[[#This Row],[Module]],splitchar,"**ML2*CR*MC3*STATUS**")</f>
        <v>*SOCKET0**CBB2**COMPUTE3**MODULE25__**ML2*CR*MC3*STATUS**</v>
      </c>
      <c r="AB92">
        <f>COUNTIFS(core_mc[TestName],misc[[#This Row],[Core_ML2_String]],core_mc[VisualId],MC_Check!$H$2)</f>
        <v>0</v>
      </c>
      <c r="AC92" t="str">
        <f>_xlfn.TEXTJOIN("",,"*SOCKET0**CBB",misc[[#This Row],[CBB]],"**COMPUTE",misc[[#This Row],[Compute]],"**MODULE",misc[[#This Row],[Module]],splitchar,"SPARE")</f>
        <v>*SOCKET0**CBB2**COMPUTE3**MODULE25__SPARE</v>
      </c>
      <c r="AD92">
        <f>COUNTIFS(core_mc[TestName],misc[[#This Row],[Core_L2_String - SPARE]],core_mc[VisualId],MC_Check!$H$2)</f>
        <v>0</v>
      </c>
      <c r="AE92">
        <f>misc[[#This Row],[Core_DTLB_Count]]+misc[[#This Row],[Core_DCU_Count]]+misc[[#This Row],[Core_IFU_Count]]+misc[[#This Row],[Core_ROB_Count]]+misc[[#This Row],[Core_L2_Count - SPARE]]+misc[[#This Row],[Core_ML2_Count]]</f>
        <v>0</v>
      </c>
      <c r="AF92" t="str">
        <f>_xlfn.TEXTJOIN(", ",,IF(misc[[#This Row],[Core_IFU_Count]]&gt;0,"IFU",""),IF(misc[[#This Row],[Core_DCU_Count]]&gt;0,"DCU",""),IF(misc[[#This Row],[Core_DTLB_Count]]&gt;0,"DTLB",""),IF(misc[[#This Row],[Core_ROB_Count]]&gt;0,"ROB",""),IF(misc[[#This Row],[Core_ML2_Count]]&gt;0,"ML2",""),IF(misc[[#This Row],[Core_L2_Count - SPARE]]&gt;0,"L2",""))</f>
        <v/>
      </c>
      <c r="AG92" t="str">
        <f>_xlfn.TEXTJOIN("",,"*SOCKET0**CBB",misc[[#This Row],[CBB]],"**BASE**I_CCF**ENV",misc[[#This Row],[ENV]],splitchar,"CBREGS_ALL",misc[[#This Row],[CBO]],splitchar,"SPARE")</f>
        <v>*SOCKET0**CBB2**BASE**I_CCF**ENV1__CBREGS_ALL66__SPARE</v>
      </c>
      <c r="AH92">
        <f>COUNTIFS(cha_mc[TestName],misc[[#This Row],[LLC_MCA_String - Not Used]],cha_mc[VisualId],MC_Check!$H$2)</f>
        <v>0</v>
      </c>
    </row>
    <row r="93" spans="6:34" x14ac:dyDescent="0.3">
      <c r="F93">
        <v>2</v>
      </c>
      <c r="G93">
        <v>26</v>
      </c>
      <c r="H93" s="61">
        <f>IF(MC_Check!$AN$2="PHY",misc[[#This Row],[location]],misc[[#This Row],[Module_log]])</f>
        <v>26</v>
      </c>
      <c r="I93" s="61">
        <f>misc[[#This Row],[Module]]</f>
        <v>26</v>
      </c>
      <c r="J93" s="61">
        <f t="shared" si="4"/>
        <v>3</v>
      </c>
      <c r="K93" s="61">
        <f t="shared" si="3"/>
        <v>6</v>
      </c>
      <c r="L93" s="61">
        <v>2</v>
      </c>
      <c r="M93" s="61" t="str">
        <f>_xlfn.TEXTJOIN("",,misc[[#This Row],[ROW]],misc[[#This Row],[ROW]])</f>
        <v>66</v>
      </c>
      <c r="N93" s="5" t="b">
        <f>misc[[#This Row],[Core_Hitter_Count]]&gt;0</f>
        <v>0</v>
      </c>
      <c r="O93" t="b">
        <f>misc[[#This Row],[LLC_Hitter_Count]]&gt;0</f>
        <v>0</v>
      </c>
      <c r="P93" t="b">
        <f>misc[[#This Row],[CHA_Hitter_Count]]&gt;0</f>
        <v>0</v>
      </c>
      <c r="Q93" t="str">
        <f>_xlfn.TEXTJOIN("",,"*SOCKET0**CBB",misc[[#This Row],[CBB]],"**BASE**I_CCF_ENV",misc[[#This Row],[ENV]],splitchar,"CBREGS_ALL",misc[[#This Row],[CBO]],splitchar,"MC_STATUS*")</f>
        <v>*SOCKET0**CBB2**BASE**I_CCF_ENV2__CBREGS_ALL66__MC_STATUS*</v>
      </c>
      <c r="R93">
        <f>COUNTIFS(cha_mc[TestName],misc[[#This Row],[CBO_MCA_String]],cha_mc[VisualId],MC_Check!$H$2)</f>
        <v>0</v>
      </c>
      <c r="S93" t="str">
        <f>_xlfn.TEXTJOIN("",,"*SOCKET0**CBB",misc[[#This Row],[CBB]],"**COMPUTE",misc[[#This Row],[Compute]],"**MODULE",misc[[#This Row],[Module]],splitchar,"**CORE**IFU*CR*MC0*STATUS**")</f>
        <v>*SOCKET0**CBB2**COMPUTE3**MODULE26__**CORE**IFU*CR*MC0*STATUS**</v>
      </c>
      <c r="T93">
        <f>COUNTIFS(core_mc[TestName],misc[[#This Row],[IFU_MCA_String]],core_mc[VisualId],MC_Check!$H$2)</f>
        <v>0</v>
      </c>
      <c r="U93" t="str">
        <f>_xlfn.TEXTJOIN("",,"*SOCKET0**CBB",misc[[#This Row],[CBB]],"**COMPUTE",misc[[#This Row],[Compute]],"**MODULE",misc[[#This Row],[Module]],splitchar,"**CORE**ROB1*CR*MC*STATUS**")</f>
        <v>*SOCKET0**CBB2**COMPUTE3**MODULE26__**CORE**ROB1*CR*MC*STATUS**</v>
      </c>
      <c r="V93">
        <f>COUNTIFS(core_mc[TestName],misc[[#This Row],[ROB_MCA_String]],core_mc[VisualId],MC_Check!$H$2)</f>
        <v>0</v>
      </c>
      <c r="W93" t="str">
        <f>_xlfn.TEXTJOIN("",,"*SOCKET0**CBB",misc[[#This Row],[CBB]],"**COMPUTE",misc[[#This Row],[Compute]],"**MODULE",misc[[#This Row],[Module]],splitchar,"**CORE**DCU*CR*MC1*STATUS**")</f>
        <v>*SOCKET0**CBB2**COMPUTE3**MODULE26__**CORE**DCU*CR*MC1*STATUS**</v>
      </c>
      <c r="X93">
        <f>COUNTIFS(core_mc[TestName],misc[[#This Row],[DCU_MCA_String]],core_mc[VisualId],MC_Check!$H$2)</f>
        <v>0</v>
      </c>
      <c r="Y93" t="str">
        <f>_xlfn.TEXTJOIN("",,"*SOCKET0**CBB",misc[[#This Row],[CBB]],"**COMPUTE",misc[[#This Row],[Compute]],"**MODULE",misc[[#This Row],[Module]],splitchar,"**CORE**DTLB*CR*MC2*STATUS**")</f>
        <v>*SOCKET0**CBB2**COMPUTE3**MODULE26__**CORE**DTLB*CR*MC2*STATUS**</v>
      </c>
      <c r="Z93">
        <f>COUNTIFS(core_mc[TestName],misc[[#This Row],[CORE_DTLB_String]],core_mc[VisualId],MC_Check!$H$2)</f>
        <v>0</v>
      </c>
      <c r="AA93" t="str">
        <f>_xlfn.TEXTJOIN("",,"*SOCKET0**CBB",misc[[#This Row],[CBB]],"**COMPUTE",misc[[#This Row],[Compute]],"**MODULE",misc[[#This Row],[Module]],splitchar,"**ML2*CR*MC3*STATUS**")</f>
        <v>*SOCKET0**CBB2**COMPUTE3**MODULE26__**ML2*CR*MC3*STATUS**</v>
      </c>
      <c r="AB93">
        <f>COUNTIFS(core_mc[TestName],misc[[#This Row],[Core_ML2_String]],core_mc[VisualId],MC_Check!$H$2)</f>
        <v>0</v>
      </c>
      <c r="AC93" t="str">
        <f>_xlfn.TEXTJOIN("",,"*SOCKET0**CBB",misc[[#This Row],[CBB]],"**COMPUTE",misc[[#This Row],[Compute]],"**MODULE",misc[[#This Row],[Module]],splitchar,"SPARE")</f>
        <v>*SOCKET0**CBB2**COMPUTE3**MODULE26__SPARE</v>
      </c>
      <c r="AD93">
        <f>COUNTIFS(core_mc[TestName],misc[[#This Row],[Core_L2_String - SPARE]],core_mc[VisualId],MC_Check!$H$2)</f>
        <v>0</v>
      </c>
      <c r="AE93">
        <f>misc[[#This Row],[Core_DTLB_Count]]+misc[[#This Row],[Core_DCU_Count]]+misc[[#This Row],[Core_IFU_Count]]+misc[[#This Row],[Core_ROB_Count]]+misc[[#This Row],[Core_L2_Count - SPARE]]+misc[[#This Row],[Core_ML2_Count]]</f>
        <v>0</v>
      </c>
      <c r="AF93" t="str">
        <f>_xlfn.TEXTJOIN(", ",,IF(misc[[#This Row],[Core_IFU_Count]]&gt;0,"IFU",""),IF(misc[[#This Row],[Core_DCU_Count]]&gt;0,"DCU",""),IF(misc[[#This Row],[Core_DTLB_Count]]&gt;0,"DTLB",""),IF(misc[[#This Row],[Core_ROB_Count]]&gt;0,"ROB",""),IF(misc[[#This Row],[Core_ML2_Count]]&gt;0,"ML2",""),IF(misc[[#This Row],[Core_L2_Count - SPARE]]&gt;0,"L2",""))</f>
        <v/>
      </c>
      <c r="AG93" t="str">
        <f>_xlfn.TEXTJOIN("",,"*SOCKET0**CBB",misc[[#This Row],[CBB]],"**BASE**I_CCF**ENV",misc[[#This Row],[ENV]],splitchar,"CBREGS_ALL",misc[[#This Row],[CBO]],splitchar,"SPARE")</f>
        <v>*SOCKET0**CBB2**BASE**I_CCF**ENV2__CBREGS_ALL66__SPARE</v>
      </c>
      <c r="AH93">
        <f>COUNTIFS(cha_mc[TestName],misc[[#This Row],[LLC_MCA_String - Not Used]],cha_mc[VisualId],MC_Check!$H$2)</f>
        <v>0</v>
      </c>
    </row>
    <row r="94" spans="6:34" x14ac:dyDescent="0.3">
      <c r="F94">
        <v>2</v>
      </c>
      <c r="G94">
        <v>27</v>
      </c>
      <c r="H94" s="61">
        <f>IF(MC_Check!$AN$2="PHY",misc[[#This Row],[location]],misc[[#This Row],[Module_log]])</f>
        <v>27</v>
      </c>
      <c r="I94" s="61">
        <f>misc[[#This Row],[Module]]</f>
        <v>27</v>
      </c>
      <c r="J94" s="61">
        <f t="shared" si="4"/>
        <v>3</v>
      </c>
      <c r="K94" s="61">
        <f t="shared" si="3"/>
        <v>6</v>
      </c>
      <c r="L94" s="61">
        <v>3</v>
      </c>
      <c r="M94" s="61" t="str">
        <f>_xlfn.TEXTJOIN("",,misc[[#This Row],[ROW]],misc[[#This Row],[ROW]])</f>
        <v>66</v>
      </c>
      <c r="N94" s="5" t="b">
        <f>misc[[#This Row],[Core_Hitter_Count]]&gt;0</f>
        <v>0</v>
      </c>
      <c r="O94" t="b">
        <f>misc[[#This Row],[LLC_Hitter_Count]]&gt;0</f>
        <v>0</v>
      </c>
      <c r="P94" t="b">
        <f>misc[[#This Row],[CHA_Hitter_Count]]&gt;0</f>
        <v>0</v>
      </c>
      <c r="Q94" t="str">
        <f>_xlfn.TEXTJOIN("",,"*SOCKET0**CBB",misc[[#This Row],[CBB]],"**BASE**I_CCF_ENV",misc[[#This Row],[ENV]],splitchar,"CBREGS_ALL",misc[[#This Row],[CBO]],splitchar,"MC_STATUS*")</f>
        <v>*SOCKET0**CBB2**BASE**I_CCF_ENV3__CBREGS_ALL66__MC_STATUS*</v>
      </c>
      <c r="R94">
        <f>COUNTIFS(cha_mc[TestName],misc[[#This Row],[CBO_MCA_String]],cha_mc[VisualId],MC_Check!$H$2)</f>
        <v>0</v>
      </c>
      <c r="S94" t="str">
        <f>_xlfn.TEXTJOIN("",,"*SOCKET0**CBB",misc[[#This Row],[CBB]],"**COMPUTE",misc[[#This Row],[Compute]],"**MODULE",misc[[#This Row],[Module]],splitchar,"**CORE**IFU*CR*MC0*STATUS**")</f>
        <v>*SOCKET0**CBB2**COMPUTE3**MODULE27__**CORE**IFU*CR*MC0*STATUS**</v>
      </c>
      <c r="T94">
        <f>COUNTIFS(core_mc[TestName],misc[[#This Row],[IFU_MCA_String]],core_mc[VisualId],MC_Check!$H$2)</f>
        <v>0</v>
      </c>
      <c r="U94" t="str">
        <f>_xlfn.TEXTJOIN("",,"*SOCKET0**CBB",misc[[#This Row],[CBB]],"**COMPUTE",misc[[#This Row],[Compute]],"**MODULE",misc[[#This Row],[Module]],splitchar,"**CORE**ROB1*CR*MC*STATUS**")</f>
        <v>*SOCKET0**CBB2**COMPUTE3**MODULE27__**CORE**ROB1*CR*MC*STATUS**</v>
      </c>
      <c r="V94">
        <f>COUNTIFS(core_mc[TestName],misc[[#This Row],[ROB_MCA_String]],core_mc[VisualId],MC_Check!$H$2)</f>
        <v>0</v>
      </c>
      <c r="W94" t="str">
        <f>_xlfn.TEXTJOIN("",,"*SOCKET0**CBB",misc[[#This Row],[CBB]],"**COMPUTE",misc[[#This Row],[Compute]],"**MODULE",misc[[#This Row],[Module]],splitchar,"**CORE**DCU*CR*MC1*STATUS**")</f>
        <v>*SOCKET0**CBB2**COMPUTE3**MODULE27__**CORE**DCU*CR*MC1*STATUS**</v>
      </c>
      <c r="X94">
        <f>COUNTIFS(core_mc[TestName],misc[[#This Row],[DCU_MCA_String]],core_mc[VisualId],MC_Check!$H$2)</f>
        <v>0</v>
      </c>
      <c r="Y94" t="str">
        <f>_xlfn.TEXTJOIN("",,"*SOCKET0**CBB",misc[[#This Row],[CBB]],"**COMPUTE",misc[[#This Row],[Compute]],"**MODULE",misc[[#This Row],[Module]],splitchar,"**CORE**DTLB*CR*MC2*STATUS**")</f>
        <v>*SOCKET0**CBB2**COMPUTE3**MODULE27__**CORE**DTLB*CR*MC2*STATUS**</v>
      </c>
      <c r="Z94">
        <f>COUNTIFS(core_mc[TestName],misc[[#This Row],[CORE_DTLB_String]],core_mc[VisualId],MC_Check!$H$2)</f>
        <v>0</v>
      </c>
      <c r="AA94" t="str">
        <f>_xlfn.TEXTJOIN("",,"*SOCKET0**CBB",misc[[#This Row],[CBB]],"**COMPUTE",misc[[#This Row],[Compute]],"**MODULE",misc[[#This Row],[Module]],splitchar,"**ML2*CR*MC3*STATUS**")</f>
        <v>*SOCKET0**CBB2**COMPUTE3**MODULE27__**ML2*CR*MC3*STATUS**</v>
      </c>
      <c r="AB94">
        <f>COUNTIFS(core_mc[TestName],misc[[#This Row],[Core_ML2_String]],core_mc[VisualId],MC_Check!$H$2)</f>
        <v>0</v>
      </c>
      <c r="AC94" t="str">
        <f>_xlfn.TEXTJOIN("",,"*SOCKET0**CBB",misc[[#This Row],[CBB]],"**COMPUTE",misc[[#This Row],[Compute]],"**MODULE",misc[[#This Row],[Module]],splitchar,"SPARE")</f>
        <v>*SOCKET0**CBB2**COMPUTE3**MODULE27__SPARE</v>
      </c>
      <c r="AD94">
        <f>COUNTIFS(core_mc[TestName],misc[[#This Row],[Core_L2_String - SPARE]],core_mc[VisualId],MC_Check!$H$2)</f>
        <v>0</v>
      </c>
      <c r="AE94">
        <f>misc[[#This Row],[Core_DTLB_Count]]+misc[[#This Row],[Core_DCU_Count]]+misc[[#This Row],[Core_IFU_Count]]+misc[[#This Row],[Core_ROB_Count]]+misc[[#This Row],[Core_L2_Count - SPARE]]+misc[[#This Row],[Core_ML2_Count]]</f>
        <v>0</v>
      </c>
      <c r="AF94" t="str">
        <f>_xlfn.TEXTJOIN(", ",,IF(misc[[#This Row],[Core_IFU_Count]]&gt;0,"IFU",""),IF(misc[[#This Row],[Core_DCU_Count]]&gt;0,"DCU",""),IF(misc[[#This Row],[Core_DTLB_Count]]&gt;0,"DTLB",""),IF(misc[[#This Row],[Core_ROB_Count]]&gt;0,"ROB",""),IF(misc[[#This Row],[Core_ML2_Count]]&gt;0,"ML2",""),IF(misc[[#This Row],[Core_L2_Count - SPARE]]&gt;0,"L2",""))</f>
        <v/>
      </c>
      <c r="AG94" t="str">
        <f>_xlfn.TEXTJOIN("",,"*SOCKET0**CBB",misc[[#This Row],[CBB]],"**BASE**I_CCF**ENV",misc[[#This Row],[ENV]],splitchar,"CBREGS_ALL",misc[[#This Row],[CBO]],splitchar,"SPARE")</f>
        <v>*SOCKET0**CBB2**BASE**I_CCF**ENV3__CBREGS_ALL66__SPARE</v>
      </c>
      <c r="AH94">
        <f>COUNTIFS(cha_mc[TestName],misc[[#This Row],[LLC_MCA_String - Not Used]],cha_mc[VisualId],MC_Check!$H$2)</f>
        <v>0</v>
      </c>
    </row>
    <row r="95" spans="6:34" x14ac:dyDescent="0.3">
      <c r="F95">
        <v>2</v>
      </c>
      <c r="G95">
        <v>28</v>
      </c>
      <c r="H95" s="61">
        <f>IF(MC_Check!$AN$2="PHY",misc[[#This Row],[location]],misc[[#This Row],[Module_log]])</f>
        <v>28</v>
      </c>
      <c r="I95" s="61">
        <f>misc[[#This Row],[Module]]</f>
        <v>28</v>
      </c>
      <c r="J95" s="61">
        <f t="shared" si="4"/>
        <v>3</v>
      </c>
      <c r="K95" s="61">
        <f>K91+1</f>
        <v>7</v>
      </c>
      <c r="L95" s="61">
        <v>0</v>
      </c>
      <c r="M95" s="61" t="str">
        <f>_xlfn.TEXTJOIN("",,misc[[#This Row],[ROW]],misc[[#This Row],[ROW]])</f>
        <v>77</v>
      </c>
      <c r="N95" s="5" t="b">
        <f>misc[[#This Row],[Core_Hitter_Count]]&gt;0</f>
        <v>0</v>
      </c>
      <c r="O95" t="b">
        <f>misc[[#This Row],[LLC_Hitter_Count]]&gt;0</f>
        <v>0</v>
      </c>
      <c r="P95" t="b">
        <f>misc[[#This Row],[CHA_Hitter_Count]]&gt;0</f>
        <v>0</v>
      </c>
      <c r="Q95" t="str">
        <f>_xlfn.TEXTJOIN("",,"*SOCKET0**CBB",misc[[#This Row],[CBB]],"**BASE**I_CCF_ENV",misc[[#This Row],[ENV]],splitchar,"CBREGS_ALL",misc[[#This Row],[CBO]],splitchar,"MC_STATUS*")</f>
        <v>*SOCKET0**CBB2**BASE**I_CCF_ENV0__CBREGS_ALL77__MC_STATUS*</v>
      </c>
      <c r="R95">
        <f>COUNTIFS(cha_mc[TestName],misc[[#This Row],[CBO_MCA_String]],cha_mc[VisualId],MC_Check!$H$2)</f>
        <v>0</v>
      </c>
      <c r="S95" t="str">
        <f>_xlfn.TEXTJOIN("",,"*SOCKET0**CBB",misc[[#This Row],[CBB]],"**COMPUTE",misc[[#This Row],[Compute]],"**MODULE",misc[[#This Row],[Module]],splitchar,"**CORE**IFU*CR*MC0*STATUS**")</f>
        <v>*SOCKET0**CBB2**COMPUTE3**MODULE28__**CORE**IFU*CR*MC0*STATUS**</v>
      </c>
      <c r="T95">
        <f>COUNTIFS(core_mc[TestName],misc[[#This Row],[IFU_MCA_String]],core_mc[VisualId],MC_Check!$H$2)</f>
        <v>0</v>
      </c>
      <c r="U95" t="str">
        <f>_xlfn.TEXTJOIN("",,"*SOCKET0**CBB",misc[[#This Row],[CBB]],"**COMPUTE",misc[[#This Row],[Compute]],"**MODULE",misc[[#This Row],[Module]],splitchar,"**CORE**ROB1*CR*MC*STATUS**")</f>
        <v>*SOCKET0**CBB2**COMPUTE3**MODULE28__**CORE**ROB1*CR*MC*STATUS**</v>
      </c>
      <c r="V95">
        <f>COUNTIFS(core_mc[TestName],misc[[#This Row],[ROB_MCA_String]],core_mc[VisualId],MC_Check!$H$2)</f>
        <v>0</v>
      </c>
      <c r="W95" t="str">
        <f>_xlfn.TEXTJOIN("",,"*SOCKET0**CBB",misc[[#This Row],[CBB]],"**COMPUTE",misc[[#This Row],[Compute]],"**MODULE",misc[[#This Row],[Module]],splitchar,"**CORE**DCU*CR*MC1*STATUS**")</f>
        <v>*SOCKET0**CBB2**COMPUTE3**MODULE28__**CORE**DCU*CR*MC1*STATUS**</v>
      </c>
      <c r="X95">
        <f>COUNTIFS(core_mc[TestName],misc[[#This Row],[DCU_MCA_String]],core_mc[VisualId],MC_Check!$H$2)</f>
        <v>0</v>
      </c>
      <c r="Y95" t="str">
        <f>_xlfn.TEXTJOIN("",,"*SOCKET0**CBB",misc[[#This Row],[CBB]],"**COMPUTE",misc[[#This Row],[Compute]],"**MODULE",misc[[#This Row],[Module]],splitchar,"**CORE**DTLB*CR*MC2*STATUS**")</f>
        <v>*SOCKET0**CBB2**COMPUTE3**MODULE28__**CORE**DTLB*CR*MC2*STATUS**</v>
      </c>
      <c r="Z95">
        <f>COUNTIFS(core_mc[TestName],misc[[#This Row],[CORE_DTLB_String]],core_mc[VisualId],MC_Check!$H$2)</f>
        <v>0</v>
      </c>
      <c r="AA95" t="str">
        <f>_xlfn.TEXTJOIN("",,"*SOCKET0**CBB",misc[[#This Row],[CBB]],"**COMPUTE",misc[[#This Row],[Compute]],"**MODULE",misc[[#This Row],[Module]],splitchar,"**ML2*CR*MC3*STATUS**")</f>
        <v>*SOCKET0**CBB2**COMPUTE3**MODULE28__**ML2*CR*MC3*STATUS**</v>
      </c>
      <c r="AB95">
        <f>COUNTIFS(core_mc[TestName],misc[[#This Row],[Core_ML2_String]],core_mc[VisualId],MC_Check!$H$2)</f>
        <v>0</v>
      </c>
      <c r="AC95" t="str">
        <f>_xlfn.TEXTJOIN("",,"*SOCKET0**CBB",misc[[#This Row],[CBB]],"**COMPUTE",misc[[#This Row],[Compute]],"**MODULE",misc[[#This Row],[Module]],splitchar,"SPARE")</f>
        <v>*SOCKET0**CBB2**COMPUTE3**MODULE28__SPARE</v>
      </c>
      <c r="AD95">
        <f>COUNTIFS(core_mc[TestName],misc[[#This Row],[Core_L2_String - SPARE]],core_mc[VisualId],MC_Check!$H$2)</f>
        <v>0</v>
      </c>
      <c r="AE95">
        <f>misc[[#This Row],[Core_DTLB_Count]]+misc[[#This Row],[Core_DCU_Count]]+misc[[#This Row],[Core_IFU_Count]]+misc[[#This Row],[Core_ROB_Count]]+misc[[#This Row],[Core_L2_Count - SPARE]]+misc[[#This Row],[Core_ML2_Count]]</f>
        <v>0</v>
      </c>
      <c r="AF95" t="str">
        <f>_xlfn.TEXTJOIN(", ",,IF(misc[[#This Row],[Core_IFU_Count]]&gt;0,"IFU",""),IF(misc[[#This Row],[Core_DCU_Count]]&gt;0,"DCU",""),IF(misc[[#This Row],[Core_DTLB_Count]]&gt;0,"DTLB",""),IF(misc[[#This Row],[Core_ROB_Count]]&gt;0,"ROB",""),IF(misc[[#This Row],[Core_ML2_Count]]&gt;0,"ML2",""),IF(misc[[#This Row],[Core_L2_Count - SPARE]]&gt;0,"L2",""))</f>
        <v/>
      </c>
      <c r="AG95" t="str">
        <f>_xlfn.TEXTJOIN("",,"*SOCKET0**CBB",misc[[#This Row],[CBB]],"**BASE**I_CCF**ENV",misc[[#This Row],[ENV]],splitchar,"CBREGS_ALL",misc[[#This Row],[CBO]],splitchar,"SPARE")</f>
        <v>*SOCKET0**CBB2**BASE**I_CCF**ENV0__CBREGS_ALL77__SPARE</v>
      </c>
      <c r="AH95">
        <f>COUNTIFS(cha_mc[TestName],misc[[#This Row],[LLC_MCA_String - Not Used]],cha_mc[VisualId],MC_Check!$H$2)</f>
        <v>0</v>
      </c>
    </row>
    <row r="96" spans="6:34" x14ac:dyDescent="0.3">
      <c r="F96">
        <v>2</v>
      </c>
      <c r="G96">
        <v>29</v>
      </c>
      <c r="H96" s="61">
        <f>IF(MC_Check!$AN$2="PHY",misc[[#This Row],[location]],misc[[#This Row],[Module_log]])</f>
        <v>29</v>
      </c>
      <c r="I96" s="61">
        <f>misc[[#This Row],[Module]]</f>
        <v>29</v>
      </c>
      <c r="J96" s="61">
        <f t="shared" si="4"/>
        <v>3</v>
      </c>
      <c r="K96" s="61">
        <f t="shared" si="3"/>
        <v>7</v>
      </c>
      <c r="L96" s="61">
        <v>1</v>
      </c>
      <c r="M96" s="61" t="str">
        <f>_xlfn.TEXTJOIN("",,misc[[#This Row],[ROW]],misc[[#This Row],[ROW]])</f>
        <v>77</v>
      </c>
      <c r="N96" s="5" t="b">
        <f>misc[[#This Row],[Core_Hitter_Count]]&gt;0</f>
        <v>0</v>
      </c>
      <c r="O96" t="b">
        <f>misc[[#This Row],[LLC_Hitter_Count]]&gt;0</f>
        <v>0</v>
      </c>
      <c r="P96" t="b">
        <f>misc[[#This Row],[CHA_Hitter_Count]]&gt;0</f>
        <v>0</v>
      </c>
      <c r="Q96" t="str">
        <f>_xlfn.TEXTJOIN("",,"*SOCKET0**CBB",misc[[#This Row],[CBB]],"**BASE**I_CCF_ENV",misc[[#This Row],[ENV]],splitchar,"CBREGS_ALL",misc[[#This Row],[CBO]],splitchar,"MC_STATUS*")</f>
        <v>*SOCKET0**CBB2**BASE**I_CCF_ENV1__CBREGS_ALL77__MC_STATUS*</v>
      </c>
      <c r="R96">
        <f>COUNTIFS(cha_mc[TestName],misc[[#This Row],[CBO_MCA_String]],cha_mc[VisualId],MC_Check!$H$2)</f>
        <v>0</v>
      </c>
      <c r="S96" t="str">
        <f>_xlfn.TEXTJOIN("",,"*SOCKET0**CBB",misc[[#This Row],[CBB]],"**COMPUTE",misc[[#This Row],[Compute]],"**MODULE",misc[[#This Row],[Module]],splitchar,"**CORE**IFU*CR*MC0*STATUS**")</f>
        <v>*SOCKET0**CBB2**COMPUTE3**MODULE29__**CORE**IFU*CR*MC0*STATUS**</v>
      </c>
      <c r="T96">
        <f>COUNTIFS(core_mc[TestName],misc[[#This Row],[IFU_MCA_String]],core_mc[VisualId],MC_Check!$H$2)</f>
        <v>0</v>
      </c>
      <c r="U96" t="str">
        <f>_xlfn.TEXTJOIN("",,"*SOCKET0**CBB",misc[[#This Row],[CBB]],"**COMPUTE",misc[[#This Row],[Compute]],"**MODULE",misc[[#This Row],[Module]],splitchar,"**CORE**ROB1*CR*MC*STATUS**")</f>
        <v>*SOCKET0**CBB2**COMPUTE3**MODULE29__**CORE**ROB1*CR*MC*STATUS**</v>
      </c>
      <c r="V96">
        <f>COUNTIFS(core_mc[TestName],misc[[#This Row],[ROB_MCA_String]],core_mc[VisualId],MC_Check!$H$2)</f>
        <v>0</v>
      </c>
      <c r="W96" t="str">
        <f>_xlfn.TEXTJOIN("",,"*SOCKET0**CBB",misc[[#This Row],[CBB]],"**COMPUTE",misc[[#This Row],[Compute]],"**MODULE",misc[[#This Row],[Module]],splitchar,"**CORE**DCU*CR*MC1*STATUS**")</f>
        <v>*SOCKET0**CBB2**COMPUTE3**MODULE29__**CORE**DCU*CR*MC1*STATUS**</v>
      </c>
      <c r="X96">
        <f>COUNTIFS(core_mc[TestName],misc[[#This Row],[DCU_MCA_String]],core_mc[VisualId],MC_Check!$H$2)</f>
        <v>0</v>
      </c>
      <c r="Y96" t="str">
        <f>_xlfn.TEXTJOIN("",,"*SOCKET0**CBB",misc[[#This Row],[CBB]],"**COMPUTE",misc[[#This Row],[Compute]],"**MODULE",misc[[#This Row],[Module]],splitchar,"**CORE**DTLB*CR*MC2*STATUS**")</f>
        <v>*SOCKET0**CBB2**COMPUTE3**MODULE29__**CORE**DTLB*CR*MC2*STATUS**</v>
      </c>
      <c r="Z96">
        <f>COUNTIFS(core_mc[TestName],misc[[#This Row],[CORE_DTLB_String]],core_mc[VisualId],MC_Check!$H$2)</f>
        <v>0</v>
      </c>
      <c r="AA96" t="str">
        <f>_xlfn.TEXTJOIN("",,"*SOCKET0**CBB",misc[[#This Row],[CBB]],"**COMPUTE",misc[[#This Row],[Compute]],"**MODULE",misc[[#This Row],[Module]],splitchar,"**ML2*CR*MC3*STATUS**")</f>
        <v>*SOCKET0**CBB2**COMPUTE3**MODULE29__**ML2*CR*MC3*STATUS**</v>
      </c>
      <c r="AB96">
        <f>COUNTIFS(core_mc[TestName],misc[[#This Row],[Core_ML2_String]],core_mc[VisualId],MC_Check!$H$2)</f>
        <v>0</v>
      </c>
      <c r="AC96" t="str">
        <f>_xlfn.TEXTJOIN("",,"*SOCKET0**CBB",misc[[#This Row],[CBB]],"**COMPUTE",misc[[#This Row],[Compute]],"**MODULE",misc[[#This Row],[Module]],splitchar,"SPARE")</f>
        <v>*SOCKET0**CBB2**COMPUTE3**MODULE29__SPARE</v>
      </c>
      <c r="AD96">
        <f>COUNTIFS(core_mc[TestName],misc[[#This Row],[Core_L2_String - SPARE]],core_mc[VisualId],MC_Check!$H$2)</f>
        <v>0</v>
      </c>
      <c r="AE96">
        <f>misc[[#This Row],[Core_DTLB_Count]]+misc[[#This Row],[Core_DCU_Count]]+misc[[#This Row],[Core_IFU_Count]]+misc[[#This Row],[Core_ROB_Count]]+misc[[#This Row],[Core_L2_Count - SPARE]]+misc[[#This Row],[Core_ML2_Count]]</f>
        <v>0</v>
      </c>
      <c r="AF96" t="str">
        <f>_xlfn.TEXTJOIN(", ",,IF(misc[[#This Row],[Core_IFU_Count]]&gt;0,"IFU",""),IF(misc[[#This Row],[Core_DCU_Count]]&gt;0,"DCU",""),IF(misc[[#This Row],[Core_DTLB_Count]]&gt;0,"DTLB",""),IF(misc[[#This Row],[Core_ROB_Count]]&gt;0,"ROB",""),IF(misc[[#This Row],[Core_ML2_Count]]&gt;0,"ML2",""),IF(misc[[#This Row],[Core_L2_Count - SPARE]]&gt;0,"L2",""))</f>
        <v/>
      </c>
      <c r="AG96" t="str">
        <f>_xlfn.TEXTJOIN("",,"*SOCKET0**CBB",misc[[#This Row],[CBB]],"**BASE**I_CCF**ENV",misc[[#This Row],[ENV]],splitchar,"CBREGS_ALL",misc[[#This Row],[CBO]],splitchar,"SPARE")</f>
        <v>*SOCKET0**CBB2**BASE**I_CCF**ENV1__CBREGS_ALL77__SPARE</v>
      </c>
      <c r="AH96">
        <f>COUNTIFS(cha_mc[TestName],misc[[#This Row],[LLC_MCA_String - Not Used]],cha_mc[VisualId],MC_Check!$H$2)</f>
        <v>0</v>
      </c>
    </row>
    <row r="97" spans="6:34" x14ac:dyDescent="0.3">
      <c r="F97">
        <v>2</v>
      </c>
      <c r="G97">
        <v>30</v>
      </c>
      <c r="H97" s="61">
        <f>IF(MC_Check!$AN$2="PHY",misc[[#This Row],[location]],misc[[#This Row],[Module_log]])</f>
        <v>30</v>
      </c>
      <c r="I97" s="61">
        <f>misc[[#This Row],[Module]]</f>
        <v>30</v>
      </c>
      <c r="J97" s="61">
        <f t="shared" si="4"/>
        <v>3</v>
      </c>
      <c r="K97" s="61">
        <f t="shared" si="3"/>
        <v>7</v>
      </c>
      <c r="L97" s="61">
        <v>2</v>
      </c>
      <c r="M97" s="61" t="str">
        <f>_xlfn.TEXTJOIN("",,misc[[#This Row],[ROW]],misc[[#This Row],[ROW]])</f>
        <v>77</v>
      </c>
      <c r="N97" s="5" t="b">
        <f>misc[[#This Row],[Core_Hitter_Count]]&gt;0</f>
        <v>0</v>
      </c>
      <c r="O97" t="b">
        <f>misc[[#This Row],[LLC_Hitter_Count]]&gt;0</f>
        <v>0</v>
      </c>
      <c r="P97" t="b">
        <f>misc[[#This Row],[CHA_Hitter_Count]]&gt;0</f>
        <v>0</v>
      </c>
      <c r="Q97" t="str">
        <f>_xlfn.TEXTJOIN("",,"*SOCKET0**CBB",misc[[#This Row],[CBB]],"**BASE**I_CCF_ENV",misc[[#This Row],[ENV]],splitchar,"CBREGS_ALL",misc[[#This Row],[CBO]],splitchar,"MC_STATUS*")</f>
        <v>*SOCKET0**CBB2**BASE**I_CCF_ENV2__CBREGS_ALL77__MC_STATUS*</v>
      </c>
      <c r="R97">
        <f>COUNTIFS(cha_mc[TestName],misc[[#This Row],[CBO_MCA_String]],cha_mc[VisualId],MC_Check!$H$2)</f>
        <v>0</v>
      </c>
      <c r="S97" t="str">
        <f>_xlfn.TEXTJOIN("",,"*SOCKET0**CBB",misc[[#This Row],[CBB]],"**COMPUTE",misc[[#This Row],[Compute]],"**MODULE",misc[[#This Row],[Module]],splitchar,"**CORE**IFU*CR*MC0*STATUS**")</f>
        <v>*SOCKET0**CBB2**COMPUTE3**MODULE30__**CORE**IFU*CR*MC0*STATUS**</v>
      </c>
      <c r="T97">
        <f>COUNTIFS(core_mc[TestName],misc[[#This Row],[IFU_MCA_String]],core_mc[VisualId],MC_Check!$H$2)</f>
        <v>0</v>
      </c>
      <c r="U97" t="str">
        <f>_xlfn.TEXTJOIN("",,"*SOCKET0**CBB",misc[[#This Row],[CBB]],"**COMPUTE",misc[[#This Row],[Compute]],"**MODULE",misc[[#This Row],[Module]],splitchar,"**CORE**ROB1*CR*MC*STATUS**")</f>
        <v>*SOCKET0**CBB2**COMPUTE3**MODULE30__**CORE**ROB1*CR*MC*STATUS**</v>
      </c>
      <c r="V97">
        <f>COUNTIFS(core_mc[TestName],misc[[#This Row],[ROB_MCA_String]],core_mc[VisualId],MC_Check!$H$2)</f>
        <v>0</v>
      </c>
      <c r="W97" t="str">
        <f>_xlfn.TEXTJOIN("",,"*SOCKET0**CBB",misc[[#This Row],[CBB]],"**COMPUTE",misc[[#This Row],[Compute]],"**MODULE",misc[[#This Row],[Module]],splitchar,"**CORE**DCU*CR*MC1*STATUS**")</f>
        <v>*SOCKET0**CBB2**COMPUTE3**MODULE30__**CORE**DCU*CR*MC1*STATUS**</v>
      </c>
      <c r="X97">
        <f>COUNTIFS(core_mc[TestName],misc[[#This Row],[DCU_MCA_String]],core_mc[VisualId],MC_Check!$H$2)</f>
        <v>0</v>
      </c>
      <c r="Y97" t="str">
        <f>_xlfn.TEXTJOIN("",,"*SOCKET0**CBB",misc[[#This Row],[CBB]],"**COMPUTE",misc[[#This Row],[Compute]],"**MODULE",misc[[#This Row],[Module]],splitchar,"**CORE**DTLB*CR*MC2*STATUS**")</f>
        <v>*SOCKET0**CBB2**COMPUTE3**MODULE30__**CORE**DTLB*CR*MC2*STATUS**</v>
      </c>
      <c r="Z97">
        <f>COUNTIFS(core_mc[TestName],misc[[#This Row],[CORE_DTLB_String]],core_mc[VisualId],MC_Check!$H$2)</f>
        <v>0</v>
      </c>
      <c r="AA97" t="str">
        <f>_xlfn.TEXTJOIN("",,"*SOCKET0**CBB",misc[[#This Row],[CBB]],"**COMPUTE",misc[[#This Row],[Compute]],"**MODULE",misc[[#This Row],[Module]],splitchar,"**ML2*CR*MC3*STATUS**")</f>
        <v>*SOCKET0**CBB2**COMPUTE3**MODULE30__**ML2*CR*MC3*STATUS**</v>
      </c>
      <c r="AB97">
        <f>COUNTIFS(core_mc[TestName],misc[[#This Row],[Core_ML2_String]],core_mc[VisualId],MC_Check!$H$2)</f>
        <v>0</v>
      </c>
      <c r="AC97" t="str">
        <f>_xlfn.TEXTJOIN("",,"*SOCKET0**CBB",misc[[#This Row],[CBB]],"**COMPUTE",misc[[#This Row],[Compute]],"**MODULE",misc[[#This Row],[Module]],splitchar,"SPARE")</f>
        <v>*SOCKET0**CBB2**COMPUTE3**MODULE30__SPARE</v>
      </c>
      <c r="AD97">
        <f>COUNTIFS(core_mc[TestName],misc[[#This Row],[Core_L2_String - SPARE]],core_mc[VisualId],MC_Check!$H$2)</f>
        <v>0</v>
      </c>
      <c r="AE97">
        <f>misc[[#This Row],[Core_DTLB_Count]]+misc[[#This Row],[Core_DCU_Count]]+misc[[#This Row],[Core_IFU_Count]]+misc[[#This Row],[Core_ROB_Count]]+misc[[#This Row],[Core_L2_Count - SPARE]]+misc[[#This Row],[Core_ML2_Count]]</f>
        <v>0</v>
      </c>
      <c r="AF97" t="str">
        <f>_xlfn.TEXTJOIN(", ",,IF(misc[[#This Row],[Core_IFU_Count]]&gt;0,"IFU",""),IF(misc[[#This Row],[Core_DCU_Count]]&gt;0,"DCU",""),IF(misc[[#This Row],[Core_DTLB_Count]]&gt;0,"DTLB",""),IF(misc[[#This Row],[Core_ROB_Count]]&gt;0,"ROB",""),IF(misc[[#This Row],[Core_ML2_Count]]&gt;0,"ML2",""),IF(misc[[#This Row],[Core_L2_Count - SPARE]]&gt;0,"L2",""))</f>
        <v/>
      </c>
      <c r="AG97" t="str">
        <f>_xlfn.TEXTJOIN("",,"*SOCKET0**CBB",misc[[#This Row],[CBB]],"**BASE**I_CCF**ENV",misc[[#This Row],[ENV]],splitchar,"CBREGS_ALL",misc[[#This Row],[CBO]],splitchar,"SPARE")</f>
        <v>*SOCKET0**CBB2**BASE**I_CCF**ENV2__CBREGS_ALL77__SPARE</v>
      </c>
      <c r="AH97">
        <f>COUNTIFS(cha_mc[TestName],misc[[#This Row],[LLC_MCA_String - Not Used]],cha_mc[VisualId],MC_Check!$H$2)</f>
        <v>0</v>
      </c>
    </row>
    <row r="98" spans="6:34" x14ac:dyDescent="0.3">
      <c r="F98">
        <v>2</v>
      </c>
      <c r="G98">
        <v>31</v>
      </c>
      <c r="H98" s="61">
        <f>IF(MC_Check!$AN$2="PHY",misc[[#This Row],[location]],misc[[#This Row],[Module_log]])</f>
        <v>31</v>
      </c>
      <c r="I98" s="61">
        <f>misc[[#This Row],[Module]]</f>
        <v>31</v>
      </c>
      <c r="J98" s="61">
        <f t="shared" si="4"/>
        <v>3</v>
      </c>
      <c r="K98" s="61">
        <f t="shared" si="3"/>
        <v>7</v>
      </c>
      <c r="L98" s="61">
        <v>3</v>
      </c>
      <c r="M98" s="61" t="str">
        <f>_xlfn.TEXTJOIN("",,misc[[#This Row],[ROW]],misc[[#This Row],[ROW]])</f>
        <v>77</v>
      </c>
      <c r="N98" s="5" t="b">
        <f>misc[[#This Row],[Core_Hitter_Count]]&gt;0</f>
        <v>0</v>
      </c>
      <c r="O98" t="b">
        <f>misc[[#This Row],[LLC_Hitter_Count]]&gt;0</f>
        <v>0</v>
      </c>
      <c r="P98" t="b">
        <f>misc[[#This Row],[CHA_Hitter_Count]]&gt;0</f>
        <v>0</v>
      </c>
      <c r="Q98" t="str">
        <f>_xlfn.TEXTJOIN("",,"*SOCKET0**CBB",misc[[#This Row],[CBB]],"**BASE**I_CCF_ENV",misc[[#This Row],[ENV]],splitchar,"CBREGS_ALL",misc[[#This Row],[CBO]],splitchar,"MC_STATUS*")</f>
        <v>*SOCKET0**CBB2**BASE**I_CCF_ENV3__CBREGS_ALL77__MC_STATUS*</v>
      </c>
      <c r="R98">
        <f>COUNTIFS(cha_mc[TestName],misc[[#This Row],[CBO_MCA_String]],cha_mc[VisualId],MC_Check!$H$2)</f>
        <v>0</v>
      </c>
      <c r="S98" t="str">
        <f>_xlfn.TEXTJOIN("",,"*SOCKET0**CBB",misc[[#This Row],[CBB]],"**COMPUTE",misc[[#This Row],[Compute]],"**MODULE",misc[[#This Row],[Module]],splitchar,"**CORE**IFU*CR*MC0*STATUS**")</f>
        <v>*SOCKET0**CBB2**COMPUTE3**MODULE31__**CORE**IFU*CR*MC0*STATUS**</v>
      </c>
      <c r="T98">
        <f>COUNTIFS(core_mc[TestName],misc[[#This Row],[IFU_MCA_String]],core_mc[VisualId],MC_Check!$H$2)</f>
        <v>0</v>
      </c>
      <c r="U98" t="str">
        <f>_xlfn.TEXTJOIN("",,"*SOCKET0**CBB",misc[[#This Row],[CBB]],"**COMPUTE",misc[[#This Row],[Compute]],"**MODULE",misc[[#This Row],[Module]],splitchar,"**CORE**ROB1*CR*MC*STATUS**")</f>
        <v>*SOCKET0**CBB2**COMPUTE3**MODULE31__**CORE**ROB1*CR*MC*STATUS**</v>
      </c>
      <c r="V98">
        <f>COUNTIFS(core_mc[TestName],misc[[#This Row],[ROB_MCA_String]],core_mc[VisualId],MC_Check!$H$2)</f>
        <v>0</v>
      </c>
      <c r="W98" t="str">
        <f>_xlfn.TEXTJOIN("",,"*SOCKET0**CBB",misc[[#This Row],[CBB]],"**COMPUTE",misc[[#This Row],[Compute]],"**MODULE",misc[[#This Row],[Module]],splitchar,"**CORE**DCU*CR*MC1*STATUS**")</f>
        <v>*SOCKET0**CBB2**COMPUTE3**MODULE31__**CORE**DCU*CR*MC1*STATUS**</v>
      </c>
      <c r="X98">
        <f>COUNTIFS(core_mc[TestName],misc[[#This Row],[DCU_MCA_String]],core_mc[VisualId],MC_Check!$H$2)</f>
        <v>0</v>
      </c>
      <c r="Y98" t="str">
        <f>_xlfn.TEXTJOIN("",,"*SOCKET0**CBB",misc[[#This Row],[CBB]],"**COMPUTE",misc[[#This Row],[Compute]],"**MODULE",misc[[#This Row],[Module]],splitchar,"**CORE**DTLB*CR*MC2*STATUS**")</f>
        <v>*SOCKET0**CBB2**COMPUTE3**MODULE31__**CORE**DTLB*CR*MC2*STATUS**</v>
      </c>
      <c r="Z98">
        <f>COUNTIFS(core_mc[TestName],misc[[#This Row],[CORE_DTLB_String]],core_mc[VisualId],MC_Check!$H$2)</f>
        <v>0</v>
      </c>
      <c r="AA98" t="str">
        <f>_xlfn.TEXTJOIN("",,"*SOCKET0**CBB",misc[[#This Row],[CBB]],"**COMPUTE",misc[[#This Row],[Compute]],"**MODULE",misc[[#This Row],[Module]],splitchar,"**ML2*CR*MC3*STATUS**")</f>
        <v>*SOCKET0**CBB2**COMPUTE3**MODULE31__**ML2*CR*MC3*STATUS**</v>
      </c>
      <c r="AB98">
        <f>COUNTIFS(core_mc[TestName],misc[[#This Row],[Core_ML2_String]],core_mc[VisualId],MC_Check!$H$2)</f>
        <v>0</v>
      </c>
      <c r="AC98" t="str">
        <f>_xlfn.TEXTJOIN("",,"*SOCKET0**CBB",misc[[#This Row],[CBB]],"**COMPUTE",misc[[#This Row],[Compute]],"**MODULE",misc[[#This Row],[Module]],splitchar,"SPARE")</f>
        <v>*SOCKET0**CBB2**COMPUTE3**MODULE31__SPARE</v>
      </c>
      <c r="AD98">
        <f>COUNTIFS(core_mc[TestName],misc[[#This Row],[Core_L2_String - SPARE]],core_mc[VisualId],MC_Check!$H$2)</f>
        <v>0</v>
      </c>
      <c r="AE98">
        <f>misc[[#This Row],[Core_DTLB_Count]]+misc[[#This Row],[Core_DCU_Count]]+misc[[#This Row],[Core_IFU_Count]]+misc[[#This Row],[Core_ROB_Count]]+misc[[#This Row],[Core_L2_Count - SPARE]]+misc[[#This Row],[Core_ML2_Count]]</f>
        <v>0</v>
      </c>
      <c r="AF98" t="str">
        <f>_xlfn.TEXTJOIN(", ",,IF(misc[[#This Row],[Core_IFU_Count]]&gt;0,"IFU",""),IF(misc[[#This Row],[Core_DCU_Count]]&gt;0,"DCU",""),IF(misc[[#This Row],[Core_DTLB_Count]]&gt;0,"DTLB",""),IF(misc[[#This Row],[Core_ROB_Count]]&gt;0,"ROB",""),IF(misc[[#This Row],[Core_ML2_Count]]&gt;0,"ML2",""),IF(misc[[#This Row],[Core_L2_Count - SPARE]]&gt;0,"L2",""))</f>
        <v/>
      </c>
      <c r="AG98" t="str">
        <f>_xlfn.TEXTJOIN("",,"*SOCKET0**CBB",misc[[#This Row],[CBB]],"**BASE**I_CCF**ENV",misc[[#This Row],[ENV]],splitchar,"CBREGS_ALL",misc[[#This Row],[CBO]],splitchar,"SPARE")</f>
        <v>*SOCKET0**CBB2**BASE**I_CCF**ENV3__CBREGS_ALL77__SPARE</v>
      </c>
      <c r="AH98">
        <f>COUNTIFS(cha_mc[TestName],misc[[#This Row],[LLC_MCA_String - Not Used]],cha_mc[VisualId],MC_Check!$H$2)</f>
        <v>0</v>
      </c>
    </row>
    <row r="99" spans="6:34" x14ac:dyDescent="0.3">
      <c r="F99">
        <v>3</v>
      </c>
      <c r="G99">
        <v>0</v>
      </c>
      <c r="H99" s="61">
        <f>IF(MC_Check!$AN$2="PHY",misc[[#This Row],[location]],misc[[#This Row],[Module_log]])</f>
        <v>0</v>
      </c>
      <c r="I99" s="61">
        <f>misc[[#This Row],[Module]]</f>
        <v>0</v>
      </c>
      <c r="J99" s="61">
        <v>0</v>
      </c>
      <c r="K99" s="61">
        <v>0</v>
      </c>
      <c r="L99" s="61">
        <v>0</v>
      </c>
      <c r="M99" s="61" t="str">
        <f>_xlfn.TEXTJOIN("",,misc[[#This Row],[ROW]],misc[[#This Row],[ROW]])</f>
        <v>00</v>
      </c>
      <c r="N99" s="5" t="b">
        <f>misc[[#This Row],[Core_Hitter_Count]]&gt;0</f>
        <v>0</v>
      </c>
      <c r="O99" t="b">
        <f>misc[[#This Row],[LLC_Hitter_Count]]&gt;0</f>
        <v>0</v>
      </c>
      <c r="P99" t="b">
        <f>misc[[#This Row],[CHA_Hitter_Count]]&gt;0</f>
        <v>0</v>
      </c>
      <c r="Q99" t="str">
        <f>_xlfn.TEXTJOIN("",,"*SOCKET0**CBB",misc[[#This Row],[CBB]],"**BASE**I_CCF_ENV",misc[[#This Row],[ENV]],splitchar,"CBREGS_ALL",misc[[#This Row],[CBO]],splitchar,"MC_STATUS*")</f>
        <v>*SOCKET0**CBB3**BASE**I_CCF_ENV0__CBREGS_ALL00__MC_STATUS*</v>
      </c>
      <c r="R99">
        <f>COUNTIFS(cha_mc[TestName],misc[[#This Row],[CBO_MCA_String]],cha_mc[VisualId],MC_Check!$H$2)</f>
        <v>0</v>
      </c>
      <c r="S99" t="str">
        <f>_xlfn.TEXTJOIN("",,"*SOCKET0**CBB",misc[[#This Row],[CBB]],"**COMPUTE",misc[[#This Row],[Compute]],"**MODULE",misc[[#This Row],[Module]],splitchar,"**CORE**IFU*CR*MC0*STATUS**")</f>
        <v>*SOCKET0**CBB3**COMPUTE0**MODULE0__**CORE**IFU*CR*MC0*STATUS**</v>
      </c>
      <c r="T99">
        <f>COUNTIFS(core_mc[TestName],misc[[#This Row],[IFU_MCA_String]],core_mc[VisualId],MC_Check!$H$2)</f>
        <v>0</v>
      </c>
      <c r="U99" t="str">
        <f>_xlfn.TEXTJOIN("",,"*SOCKET0**CBB",misc[[#This Row],[CBB]],"**COMPUTE",misc[[#This Row],[Compute]],"**MODULE",misc[[#This Row],[Module]],splitchar,"**CORE**ROB1*CR*MC*STATUS**")</f>
        <v>*SOCKET0**CBB3**COMPUTE0**MODULE0__**CORE**ROB1*CR*MC*STATUS**</v>
      </c>
      <c r="V99">
        <f>COUNTIFS(core_mc[TestName],misc[[#This Row],[ROB_MCA_String]],core_mc[VisualId],MC_Check!$H$2)</f>
        <v>0</v>
      </c>
      <c r="W99" t="str">
        <f>_xlfn.TEXTJOIN("",,"*SOCKET0**CBB",misc[[#This Row],[CBB]],"**COMPUTE",misc[[#This Row],[Compute]],"**MODULE",misc[[#This Row],[Module]],splitchar,"**CORE**DCU*CR*MC1*STATUS**")</f>
        <v>*SOCKET0**CBB3**COMPUTE0**MODULE0__**CORE**DCU*CR*MC1*STATUS**</v>
      </c>
      <c r="X99">
        <f>COUNTIFS(core_mc[TestName],misc[[#This Row],[DCU_MCA_String]],core_mc[VisualId],MC_Check!$H$2)</f>
        <v>0</v>
      </c>
      <c r="Y99" t="str">
        <f>_xlfn.TEXTJOIN("",,"*SOCKET0**CBB",misc[[#This Row],[CBB]],"**COMPUTE",misc[[#This Row],[Compute]],"**MODULE",misc[[#This Row],[Module]],splitchar,"**CORE**DTLB*CR*MC2*STATUS**")</f>
        <v>*SOCKET0**CBB3**COMPUTE0**MODULE0__**CORE**DTLB*CR*MC2*STATUS**</v>
      </c>
      <c r="Z99">
        <f>COUNTIFS(core_mc[TestName],misc[[#This Row],[CORE_DTLB_String]],core_mc[VisualId],MC_Check!$H$2)</f>
        <v>0</v>
      </c>
      <c r="AA99" t="str">
        <f>_xlfn.TEXTJOIN("",,"*SOCKET0**CBB",misc[[#This Row],[CBB]],"**COMPUTE",misc[[#This Row],[Compute]],"**MODULE",misc[[#This Row],[Module]],splitchar,"**ML2*CR*MC3*STATUS**")</f>
        <v>*SOCKET0**CBB3**COMPUTE0**MODULE0__**ML2*CR*MC3*STATUS**</v>
      </c>
      <c r="AB99">
        <f>COUNTIFS(core_mc[TestName],misc[[#This Row],[Core_ML2_String]],core_mc[VisualId],MC_Check!$H$2)</f>
        <v>0</v>
      </c>
      <c r="AC99" t="str">
        <f>_xlfn.TEXTJOIN("",,"*SOCKET0**CBB",misc[[#This Row],[CBB]],"**COMPUTE",misc[[#This Row],[Compute]],"**MODULE",misc[[#This Row],[Module]],splitchar,"SPARE")</f>
        <v>*SOCKET0**CBB3**COMPUTE0**MODULE0__SPARE</v>
      </c>
      <c r="AD99">
        <f>COUNTIFS(core_mc[TestName],misc[[#This Row],[Core_L2_String - SPARE]],core_mc[VisualId],MC_Check!$H$2)</f>
        <v>0</v>
      </c>
      <c r="AE99">
        <f>misc[[#This Row],[Core_DTLB_Count]]+misc[[#This Row],[Core_DCU_Count]]+misc[[#This Row],[Core_IFU_Count]]+misc[[#This Row],[Core_ROB_Count]]+misc[[#This Row],[Core_L2_Count - SPARE]]+misc[[#This Row],[Core_ML2_Count]]</f>
        <v>0</v>
      </c>
      <c r="AF99" t="str">
        <f>_xlfn.TEXTJOIN(", ",,IF(misc[[#This Row],[Core_IFU_Count]]&gt;0,"IFU",""),IF(misc[[#This Row],[Core_DCU_Count]]&gt;0,"DCU",""),IF(misc[[#This Row],[Core_DTLB_Count]]&gt;0,"DTLB",""),IF(misc[[#This Row],[Core_ROB_Count]]&gt;0,"ROB",""),IF(misc[[#This Row],[Core_ML2_Count]]&gt;0,"ML2",""),IF(misc[[#This Row],[Core_L2_Count - SPARE]]&gt;0,"L2",""))</f>
        <v/>
      </c>
      <c r="AG99" t="str">
        <f>_xlfn.TEXTJOIN("",,"*SOCKET0**CBB",misc[[#This Row],[CBB]],"**BASE**I_CCF**ENV",misc[[#This Row],[ENV]],splitchar,"CBREGS_ALL",misc[[#This Row],[CBO]],splitchar,"SPARE")</f>
        <v>*SOCKET0**CBB3**BASE**I_CCF**ENV0__CBREGS_ALL00__SPARE</v>
      </c>
      <c r="AH99">
        <f>COUNTIFS(cha_mc[TestName],misc[[#This Row],[LLC_MCA_String - Not Used]],cha_mc[VisualId],MC_Check!$H$2)</f>
        <v>0</v>
      </c>
    </row>
    <row r="100" spans="6:34" x14ac:dyDescent="0.3">
      <c r="F100">
        <v>3</v>
      </c>
      <c r="G100">
        <v>1</v>
      </c>
      <c r="H100" s="61">
        <f>IF(MC_Check!$AN$2="PHY",misc[[#This Row],[location]],misc[[#This Row],[Module_log]])</f>
        <v>1</v>
      </c>
      <c r="I100" s="61">
        <f>misc[[#This Row],[Module]]</f>
        <v>1</v>
      </c>
      <c r="J100" s="61">
        <v>0</v>
      </c>
      <c r="K100" s="61">
        <v>0</v>
      </c>
      <c r="L100" s="61">
        <v>1</v>
      </c>
      <c r="M100" s="61" t="str">
        <f>_xlfn.TEXTJOIN("",,misc[[#This Row],[ROW]],misc[[#This Row],[ROW]])</f>
        <v>00</v>
      </c>
      <c r="N100" s="5" t="b">
        <f>misc[[#This Row],[Core_Hitter_Count]]&gt;0</f>
        <v>0</v>
      </c>
      <c r="O100" t="b">
        <f>misc[[#This Row],[LLC_Hitter_Count]]&gt;0</f>
        <v>0</v>
      </c>
      <c r="P100" t="b">
        <f>misc[[#This Row],[CHA_Hitter_Count]]&gt;0</f>
        <v>0</v>
      </c>
      <c r="Q100" t="str">
        <f>_xlfn.TEXTJOIN("",,"*SOCKET0**CBB",misc[[#This Row],[CBB]],"**BASE**I_CCF_ENV",misc[[#This Row],[ENV]],splitchar,"CBREGS_ALL",misc[[#This Row],[CBO]],splitchar,"MC_STATUS*")</f>
        <v>*SOCKET0**CBB3**BASE**I_CCF_ENV1__CBREGS_ALL00__MC_STATUS*</v>
      </c>
      <c r="R100">
        <f>COUNTIFS(cha_mc[TestName],misc[[#This Row],[CBO_MCA_String]],cha_mc[VisualId],MC_Check!$H$2)</f>
        <v>0</v>
      </c>
      <c r="S100" t="str">
        <f>_xlfn.TEXTJOIN("",,"*SOCKET0**CBB",misc[[#This Row],[CBB]],"**COMPUTE",misc[[#This Row],[Compute]],"**MODULE",misc[[#This Row],[Module]],splitchar,"**CORE**IFU*CR*MC0*STATUS**")</f>
        <v>*SOCKET0**CBB3**COMPUTE0**MODULE1__**CORE**IFU*CR*MC0*STATUS**</v>
      </c>
      <c r="T100">
        <f>COUNTIFS(core_mc[TestName],misc[[#This Row],[IFU_MCA_String]],core_mc[VisualId],MC_Check!$H$2)</f>
        <v>0</v>
      </c>
      <c r="U100" t="str">
        <f>_xlfn.TEXTJOIN("",,"*SOCKET0**CBB",misc[[#This Row],[CBB]],"**COMPUTE",misc[[#This Row],[Compute]],"**MODULE",misc[[#This Row],[Module]],splitchar,"**CORE**ROB1*CR*MC*STATUS**")</f>
        <v>*SOCKET0**CBB3**COMPUTE0**MODULE1__**CORE**ROB1*CR*MC*STATUS**</v>
      </c>
      <c r="V100">
        <f>COUNTIFS(core_mc[TestName],misc[[#This Row],[ROB_MCA_String]],core_mc[VisualId],MC_Check!$H$2)</f>
        <v>0</v>
      </c>
      <c r="W100" t="str">
        <f>_xlfn.TEXTJOIN("",,"*SOCKET0**CBB",misc[[#This Row],[CBB]],"**COMPUTE",misc[[#This Row],[Compute]],"**MODULE",misc[[#This Row],[Module]],splitchar,"**CORE**DCU*CR*MC1*STATUS**")</f>
        <v>*SOCKET0**CBB3**COMPUTE0**MODULE1__**CORE**DCU*CR*MC1*STATUS**</v>
      </c>
      <c r="X100">
        <f>COUNTIFS(core_mc[TestName],misc[[#This Row],[DCU_MCA_String]],core_mc[VisualId],MC_Check!$H$2)</f>
        <v>0</v>
      </c>
      <c r="Y100" t="str">
        <f>_xlfn.TEXTJOIN("",,"*SOCKET0**CBB",misc[[#This Row],[CBB]],"**COMPUTE",misc[[#This Row],[Compute]],"**MODULE",misc[[#This Row],[Module]],splitchar,"**CORE**DTLB*CR*MC2*STATUS**")</f>
        <v>*SOCKET0**CBB3**COMPUTE0**MODULE1__**CORE**DTLB*CR*MC2*STATUS**</v>
      </c>
      <c r="Z100">
        <f>COUNTIFS(core_mc[TestName],misc[[#This Row],[CORE_DTLB_String]],core_mc[VisualId],MC_Check!$H$2)</f>
        <v>0</v>
      </c>
      <c r="AA100" t="str">
        <f>_xlfn.TEXTJOIN("",,"*SOCKET0**CBB",misc[[#This Row],[CBB]],"**COMPUTE",misc[[#This Row],[Compute]],"**MODULE",misc[[#This Row],[Module]],splitchar,"**ML2*CR*MC3*STATUS**")</f>
        <v>*SOCKET0**CBB3**COMPUTE0**MODULE1__**ML2*CR*MC3*STATUS**</v>
      </c>
      <c r="AB100">
        <f>COUNTIFS(core_mc[TestName],misc[[#This Row],[Core_ML2_String]],core_mc[VisualId],MC_Check!$H$2)</f>
        <v>0</v>
      </c>
      <c r="AC100" t="str">
        <f>_xlfn.TEXTJOIN("",,"*SOCKET0**CBB",misc[[#This Row],[CBB]],"**COMPUTE",misc[[#This Row],[Compute]],"**MODULE",misc[[#This Row],[Module]],splitchar,"SPARE")</f>
        <v>*SOCKET0**CBB3**COMPUTE0**MODULE1__SPARE</v>
      </c>
      <c r="AD100">
        <f>COUNTIFS(core_mc[TestName],misc[[#This Row],[Core_L2_String - SPARE]],core_mc[VisualId],MC_Check!$H$2)</f>
        <v>0</v>
      </c>
      <c r="AE100">
        <f>misc[[#This Row],[Core_DTLB_Count]]+misc[[#This Row],[Core_DCU_Count]]+misc[[#This Row],[Core_IFU_Count]]+misc[[#This Row],[Core_ROB_Count]]+misc[[#This Row],[Core_L2_Count - SPARE]]+misc[[#This Row],[Core_ML2_Count]]</f>
        <v>0</v>
      </c>
      <c r="AF100" t="str">
        <f>_xlfn.TEXTJOIN(", ",,IF(misc[[#This Row],[Core_IFU_Count]]&gt;0,"IFU",""),IF(misc[[#This Row],[Core_DCU_Count]]&gt;0,"DCU",""),IF(misc[[#This Row],[Core_DTLB_Count]]&gt;0,"DTLB",""),IF(misc[[#This Row],[Core_ROB_Count]]&gt;0,"ROB",""),IF(misc[[#This Row],[Core_ML2_Count]]&gt;0,"ML2",""),IF(misc[[#This Row],[Core_L2_Count - SPARE]]&gt;0,"L2",""))</f>
        <v/>
      </c>
      <c r="AG100" t="str">
        <f>_xlfn.TEXTJOIN("",,"*SOCKET0**CBB",misc[[#This Row],[CBB]],"**BASE**I_CCF**ENV",misc[[#This Row],[ENV]],splitchar,"CBREGS_ALL",misc[[#This Row],[CBO]],splitchar,"SPARE")</f>
        <v>*SOCKET0**CBB3**BASE**I_CCF**ENV1__CBREGS_ALL00__SPARE</v>
      </c>
      <c r="AH100">
        <f>COUNTIFS(cha_mc[TestName],misc[[#This Row],[LLC_MCA_String - Not Used]],cha_mc[VisualId],MC_Check!$H$2)</f>
        <v>0</v>
      </c>
    </row>
    <row r="101" spans="6:34" x14ac:dyDescent="0.3">
      <c r="F101">
        <v>3</v>
      </c>
      <c r="G101">
        <v>2</v>
      </c>
      <c r="H101" s="61">
        <f>IF(MC_Check!$AN$2="PHY",misc[[#This Row],[location]],misc[[#This Row],[Module_log]])</f>
        <v>2</v>
      </c>
      <c r="I101" s="61">
        <f>misc[[#This Row],[Module]]</f>
        <v>2</v>
      </c>
      <c r="J101" s="61">
        <v>0</v>
      </c>
      <c r="K101" s="61">
        <v>0</v>
      </c>
      <c r="L101" s="61">
        <v>2</v>
      </c>
      <c r="M101" s="61" t="str">
        <f>_xlfn.TEXTJOIN("",,misc[[#This Row],[ROW]],misc[[#This Row],[ROW]])</f>
        <v>00</v>
      </c>
      <c r="N101" s="5" t="b">
        <f>misc[[#This Row],[Core_Hitter_Count]]&gt;0</f>
        <v>0</v>
      </c>
      <c r="O101" t="b">
        <f>misc[[#This Row],[LLC_Hitter_Count]]&gt;0</f>
        <v>0</v>
      </c>
      <c r="P101" t="b">
        <f>misc[[#This Row],[CHA_Hitter_Count]]&gt;0</f>
        <v>0</v>
      </c>
      <c r="Q101" t="str">
        <f>_xlfn.TEXTJOIN("",,"*SOCKET0**CBB",misc[[#This Row],[CBB]],"**BASE**I_CCF_ENV",misc[[#This Row],[ENV]],splitchar,"CBREGS_ALL",misc[[#This Row],[CBO]],splitchar,"MC_STATUS*")</f>
        <v>*SOCKET0**CBB3**BASE**I_CCF_ENV2__CBREGS_ALL00__MC_STATUS*</v>
      </c>
      <c r="R101">
        <f>COUNTIFS(cha_mc[TestName],misc[[#This Row],[CBO_MCA_String]],cha_mc[VisualId],MC_Check!$H$2)</f>
        <v>0</v>
      </c>
      <c r="S101" t="str">
        <f>_xlfn.TEXTJOIN("",,"*SOCKET0**CBB",misc[[#This Row],[CBB]],"**COMPUTE",misc[[#This Row],[Compute]],"**MODULE",misc[[#This Row],[Module]],splitchar,"**CORE**IFU*CR*MC0*STATUS**")</f>
        <v>*SOCKET0**CBB3**COMPUTE0**MODULE2__**CORE**IFU*CR*MC0*STATUS**</v>
      </c>
      <c r="T101">
        <f>COUNTIFS(core_mc[TestName],misc[[#This Row],[IFU_MCA_String]],core_mc[VisualId],MC_Check!$H$2)</f>
        <v>0</v>
      </c>
      <c r="U101" t="str">
        <f>_xlfn.TEXTJOIN("",,"*SOCKET0**CBB",misc[[#This Row],[CBB]],"**COMPUTE",misc[[#This Row],[Compute]],"**MODULE",misc[[#This Row],[Module]],splitchar,"**CORE**ROB1*CR*MC*STATUS**")</f>
        <v>*SOCKET0**CBB3**COMPUTE0**MODULE2__**CORE**ROB1*CR*MC*STATUS**</v>
      </c>
      <c r="V101">
        <f>COUNTIFS(core_mc[TestName],misc[[#This Row],[ROB_MCA_String]],core_mc[VisualId],MC_Check!$H$2)</f>
        <v>0</v>
      </c>
      <c r="W101" t="str">
        <f>_xlfn.TEXTJOIN("",,"*SOCKET0**CBB",misc[[#This Row],[CBB]],"**COMPUTE",misc[[#This Row],[Compute]],"**MODULE",misc[[#This Row],[Module]],splitchar,"**CORE**DCU*CR*MC1*STATUS**")</f>
        <v>*SOCKET0**CBB3**COMPUTE0**MODULE2__**CORE**DCU*CR*MC1*STATUS**</v>
      </c>
      <c r="X101">
        <f>COUNTIFS(core_mc[TestName],misc[[#This Row],[DCU_MCA_String]],core_mc[VisualId],MC_Check!$H$2)</f>
        <v>0</v>
      </c>
      <c r="Y101" t="str">
        <f>_xlfn.TEXTJOIN("",,"*SOCKET0**CBB",misc[[#This Row],[CBB]],"**COMPUTE",misc[[#This Row],[Compute]],"**MODULE",misc[[#This Row],[Module]],splitchar,"**CORE**DTLB*CR*MC2*STATUS**")</f>
        <v>*SOCKET0**CBB3**COMPUTE0**MODULE2__**CORE**DTLB*CR*MC2*STATUS**</v>
      </c>
      <c r="Z101">
        <f>COUNTIFS(core_mc[TestName],misc[[#This Row],[CORE_DTLB_String]],core_mc[VisualId],MC_Check!$H$2)</f>
        <v>0</v>
      </c>
      <c r="AA101" t="str">
        <f>_xlfn.TEXTJOIN("",,"*SOCKET0**CBB",misc[[#This Row],[CBB]],"**COMPUTE",misc[[#This Row],[Compute]],"**MODULE",misc[[#This Row],[Module]],splitchar,"**ML2*CR*MC3*STATUS**")</f>
        <v>*SOCKET0**CBB3**COMPUTE0**MODULE2__**ML2*CR*MC3*STATUS**</v>
      </c>
      <c r="AB101">
        <f>COUNTIFS(core_mc[TestName],misc[[#This Row],[Core_ML2_String]],core_mc[VisualId],MC_Check!$H$2)</f>
        <v>0</v>
      </c>
      <c r="AC101" t="str">
        <f>_xlfn.TEXTJOIN("",,"*SOCKET0**CBB",misc[[#This Row],[CBB]],"**COMPUTE",misc[[#This Row],[Compute]],"**MODULE",misc[[#This Row],[Module]],splitchar,"SPARE")</f>
        <v>*SOCKET0**CBB3**COMPUTE0**MODULE2__SPARE</v>
      </c>
      <c r="AD101">
        <f>COUNTIFS(core_mc[TestName],misc[[#This Row],[Core_L2_String - SPARE]],core_mc[VisualId],MC_Check!$H$2)</f>
        <v>0</v>
      </c>
      <c r="AE101">
        <f>misc[[#This Row],[Core_DTLB_Count]]+misc[[#This Row],[Core_DCU_Count]]+misc[[#This Row],[Core_IFU_Count]]+misc[[#This Row],[Core_ROB_Count]]+misc[[#This Row],[Core_L2_Count - SPARE]]+misc[[#This Row],[Core_ML2_Count]]</f>
        <v>0</v>
      </c>
      <c r="AF101" t="str">
        <f>_xlfn.TEXTJOIN(", ",,IF(misc[[#This Row],[Core_IFU_Count]]&gt;0,"IFU",""),IF(misc[[#This Row],[Core_DCU_Count]]&gt;0,"DCU",""),IF(misc[[#This Row],[Core_DTLB_Count]]&gt;0,"DTLB",""),IF(misc[[#This Row],[Core_ROB_Count]]&gt;0,"ROB",""),IF(misc[[#This Row],[Core_ML2_Count]]&gt;0,"ML2",""),IF(misc[[#This Row],[Core_L2_Count - SPARE]]&gt;0,"L2",""))</f>
        <v/>
      </c>
      <c r="AG101" t="str">
        <f>_xlfn.TEXTJOIN("",,"*SOCKET0**CBB",misc[[#This Row],[CBB]],"**BASE**I_CCF**ENV",misc[[#This Row],[ENV]],splitchar,"CBREGS_ALL",misc[[#This Row],[CBO]],splitchar,"SPARE")</f>
        <v>*SOCKET0**CBB3**BASE**I_CCF**ENV2__CBREGS_ALL00__SPARE</v>
      </c>
      <c r="AH101">
        <f>COUNTIFS(cha_mc[TestName],misc[[#This Row],[LLC_MCA_String - Not Used]],cha_mc[VisualId],MC_Check!$H$2)</f>
        <v>0</v>
      </c>
    </row>
    <row r="102" spans="6:34" x14ac:dyDescent="0.3">
      <c r="F102">
        <v>3</v>
      </c>
      <c r="G102">
        <v>3</v>
      </c>
      <c r="H102" s="61">
        <f>IF(MC_Check!$AN$2="PHY",misc[[#This Row],[location]],misc[[#This Row],[Module_log]])</f>
        <v>3</v>
      </c>
      <c r="I102" s="61">
        <f>misc[[#This Row],[Module]]</f>
        <v>3</v>
      </c>
      <c r="J102" s="61">
        <v>0</v>
      </c>
      <c r="K102" s="61">
        <v>0</v>
      </c>
      <c r="L102" s="61">
        <v>3</v>
      </c>
      <c r="M102" s="61" t="str">
        <f>_xlfn.TEXTJOIN("",,misc[[#This Row],[ROW]],misc[[#This Row],[ROW]])</f>
        <v>00</v>
      </c>
      <c r="N102" s="5" t="b">
        <f>misc[[#This Row],[Core_Hitter_Count]]&gt;0</f>
        <v>0</v>
      </c>
      <c r="O102" t="b">
        <f>misc[[#This Row],[LLC_Hitter_Count]]&gt;0</f>
        <v>0</v>
      </c>
      <c r="P102" t="b">
        <f>misc[[#This Row],[CHA_Hitter_Count]]&gt;0</f>
        <v>0</v>
      </c>
      <c r="Q102" t="str">
        <f>_xlfn.TEXTJOIN("",,"*SOCKET0**CBB",misc[[#This Row],[CBB]],"**BASE**I_CCF_ENV",misc[[#This Row],[ENV]],splitchar,"CBREGS_ALL",misc[[#This Row],[CBO]],splitchar,"MC_STATUS*")</f>
        <v>*SOCKET0**CBB3**BASE**I_CCF_ENV3__CBREGS_ALL00__MC_STATUS*</v>
      </c>
      <c r="R102">
        <f>COUNTIFS(cha_mc[TestName],misc[[#This Row],[CBO_MCA_String]],cha_mc[VisualId],MC_Check!$H$2)</f>
        <v>0</v>
      </c>
      <c r="S102" t="str">
        <f>_xlfn.TEXTJOIN("",,"*SOCKET0**CBB",misc[[#This Row],[CBB]],"**COMPUTE",misc[[#This Row],[Compute]],"**MODULE",misc[[#This Row],[Module]],splitchar,"**CORE**IFU*CR*MC0*STATUS**")</f>
        <v>*SOCKET0**CBB3**COMPUTE0**MODULE3__**CORE**IFU*CR*MC0*STATUS**</v>
      </c>
      <c r="T102">
        <f>COUNTIFS(core_mc[TestName],misc[[#This Row],[IFU_MCA_String]],core_mc[VisualId],MC_Check!$H$2)</f>
        <v>0</v>
      </c>
      <c r="U102" t="str">
        <f>_xlfn.TEXTJOIN("",,"*SOCKET0**CBB",misc[[#This Row],[CBB]],"**COMPUTE",misc[[#This Row],[Compute]],"**MODULE",misc[[#This Row],[Module]],splitchar,"**CORE**ROB1*CR*MC*STATUS**")</f>
        <v>*SOCKET0**CBB3**COMPUTE0**MODULE3__**CORE**ROB1*CR*MC*STATUS**</v>
      </c>
      <c r="V102">
        <f>COUNTIFS(core_mc[TestName],misc[[#This Row],[ROB_MCA_String]],core_mc[VisualId],MC_Check!$H$2)</f>
        <v>0</v>
      </c>
      <c r="W102" t="str">
        <f>_xlfn.TEXTJOIN("",,"*SOCKET0**CBB",misc[[#This Row],[CBB]],"**COMPUTE",misc[[#This Row],[Compute]],"**MODULE",misc[[#This Row],[Module]],splitchar,"**CORE**DCU*CR*MC1*STATUS**")</f>
        <v>*SOCKET0**CBB3**COMPUTE0**MODULE3__**CORE**DCU*CR*MC1*STATUS**</v>
      </c>
      <c r="X102">
        <f>COUNTIFS(core_mc[TestName],misc[[#This Row],[DCU_MCA_String]],core_mc[VisualId],MC_Check!$H$2)</f>
        <v>0</v>
      </c>
      <c r="Y102" t="str">
        <f>_xlfn.TEXTJOIN("",,"*SOCKET0**CBB",misc[[#This Row],[CBB]],"**COMPUTE",misc[[#This Row],[Compute]],"**MODULE",misc[[#This Row],[Module]],splitchar,"**CORE**DTLB*CR*MC2*STATUS**")</f>
        <v>*SOCKET0**CBB3**COMPUTE0**MODULE3__**CORE**DTLB*CR*MC2*STATUS**</v>
      </c>
      <c r="Z102">
        <f>COUNTIFS(core_mc[TestName],misc[[#This Row],[CORE_DTLB_String]],core_mc[VisualId],MC_Check!$H$2)</f>
        <v>0</v>
      </c>
      <c r="AA102" t="str">
        <f>_xlfn.TEXTJOIN("",,"*SOCKET0**CBB",misc[[#This Row],[CBB]],"**COMPUTE",misc[[#This Row],[Compute]],"**MODULE",misc[[#This Row],[Module]],splitchar,"**ML2*CR*MC3*STATUS**")</f>
        <v>*SOCKET0**CBB3**COMPUTE0**MODULE3__**ML2*CR*MC3*STATUS**</v>
      </c>
      <c r="AB102">
        <f>COUNTIFS(core_mc[TestName],misc[[#This Row],[Core_ML2_String]],core_mc[VisualId],MC_Check!$H$2)</f>
        <v>0</v>
      </c>
      <c r="AC102" t="str">
        <f>_xlfn.TEXTJOIN("",,"*SOCKET0**CBB",misc[[#This Row],[CBB]],"**COMPUTE",misc[[#This Row],[Compute]],"**MODULE",misc[[#This Row],[Module]],splitchar,"SPARE")</f>
        <v>*SOCKET0**CBB3**COMPUTE0**MODULE3__SPARE</v>
      </c>
      <c r="AD102">
        <f>COUNTIFS(core_mc[TestName],misc[[#This Row],[Core_L2_String - SPARE]],core_mc[VisualId],MC_Check!$H$2)</f>
        <v>0</v>
      </c>
      <c r="AE102">
        <f>misc[[#This Row],[Core_DTLB_Count]]+misc[[#This Row],[Core_DCU_Count]]+misc[[#This Row],[Core_IFU_Count]]+misc[[#This Row],[Core_ROB_Count]]+misc[[#This Row],[Core_L2_Count - SPARE]]+misc[[#This Row],[Core_ML2_Count]]</f>
        <v>0</v>
      </c>
      <c r="AF102" t="str">
        <f>_xlfn.TEXTJOIN(", ",,IF(misc[[#This Row],[Core_IFU_Count]]&gt;0,"IFU",""),IF(misc[[#This Row],[Core_DCU_Count]]&gt;0,"DCU",""),IF(misc[[#This Row],[Core_DTLB_Count]]&gt;0,"DTLB",""),IF(misc[[#This Row],[Core_ROB_Count]]&gt;0,"ROB",""),IF(misc[[#This Row],[Core_ML2_Count]]&gt;0,"ML2",""),IF(misc[[#This Row],[Core_L2_Count - SPARE]]&gt;0,"L2",""))</f>
        <v/>
      </c>
      <c r="AG102" t="str">
        <f>_xlfn.TEXTJOIN("",,"*SOCKET0**CBB",misc[[#This Row],[CBB]],"**BASE**I_CCF**ENV",misc[[#This Row],[ENV]],splitchar,"CBREGS_ALL",misc[[#This Row],[CBO]],splitchar,"SPARE")</f>
        <v>*SOCKET0**CBB3**BASE**I_CCF**ENV3__CBREGS_ALL00__SPARE</v>
      </c>
      <c r="AH102">
        <f>COUNTIFS(cha_mc[TestName],misc[[#This Row],[LLC_MCA_String - Not Used]],cha_mc[VisualId],MC_Check!$H$2)</f>
        <v>0</v>
      </c>
    </row>
    <row r="103" spans="6:34" x14ac:dyDescent="0.3">
      <c r="F103">
        <v>3</v>
      </c>
      <c r="G103">
        <v>4</v>
      </c>
      <c r="H103" s="61">
        <f>IF(MC_Check!$AN$2="PHY",misc[[#This Row],[location]],misc[[#This Row],[Module_log]])</f>
        <v>4</v>
      </c>
      <c r="I103" s="61">
        <f>misc[[#This Row],[Module]]</f>
        <v>4</v>
      </c>
      <c r="J103" s="61">
        <v>0</v>
      </c>
      <c r="K103" s="61">
        <f>K99+1</f>
        <v>1</v>
      </c>
      <c r="L103" s="61">
        <v>0</v>
      </c>
      <c r="M103" s="61" t="str">
        <f>_xlfn.TEXTJOIN("",,misc[[#This Row],[ROW]],misc[[#This Row],[ROW]])</f>
        <v>11</v>
      </c>
      <c r="N103" s="5" t="b">
        <f>misc[[#This Row],[Core_Hitter_Count]]&gt;0</f>
        <v>0</v>
      </c>
      <c r="O103" t="b">
        <f>misc[[#This Row],[LLC_Hitter_Count]]&gt;0</f>
        <v>0</v>
      </c>
      <c r="P103" t="b">
        <f>misc[[#This Row],[CHA_Hitter_Count]]&gt;0</f>
        <v>0</v>
      </c>
      <c r="Q103" t="str">
        <f>_xlfn.TEXTJOIN("",,"*SOCKET0**CBB",misc[[#This Row],[CBB]],"**BASE**I_CCF_ENV",misc[[#This Row],[ENV]],splitchar,"CBREGS_ALL",misc[[#This Row],[CBO]],splitchar,"MC_STATUS*")</f>
        <v>*SOCKET0**CBB3**BASE**I_CCF_ENV0__CBREGS_ALL11__MC_STATUS*</v>
      </c>
      <c r="R103">
        <f>COUNTIFS(cha_mc[TestName],misc[[#This Row],[CBO_MCA_String]],cha_mc[VisualId],MC_Check!$H$2)</f>
        <v>0</v>
      </c>
      <c r="S103" t="str">
        <f>_xlfn.TEXTJOIN("",,"*SOCKET0**CBB",misc[[#This Row],[CBB]],"**COMPUTE",misc[[#This Row],[Compute]],"**MODULE",misc[[#This Row],[Module]],splitchar,"**CORE**IFU*CR*MC0*STATUS**")</f>
        <v>*SOCKET0**CBB3**COMPUTE0**MODULE4__**CORE**IFU*CR*MC0*STATUS**</v>
      </c>
      <c r="T103">
        <f>COUNTIFS(core_mc[TestName],misc[[#This Row],[IFU_MCA_String]],core_mc[VisualId],MC_Check!$H$2)</f>
        <v>0</v>
      </c>
      <c r="U103" t="str">
        <f>_xlfn.TEXTJOIN("",,"*SOCKET0**CBB",misc[[#This Row],[CBB]],"**COMPUTE",misc[[#This Row],[Compute]],"**MODULE",misc[[#This Row],[Module]],splitchar,"**CORE**ROB1*CR*MC*STATUS**")</f>
        <v>*SOCKET0**CBB3**COMPUTE0**MODULE4__**CORE**ROB1*CR*MC*STATUS**</v>
      </c>
      <c r="V103">
        <f>COUNTIFS(core_mc[TestName],misc[[#This Row],[ROB_MCA_String]],core_mc[VisualId],MC_Check!$H$2)</f>
        <v>0</v>
      </c>
      <c r="W103" t="str">
        <f>_xlfn.TEXTJOIN("",,"*SOCKET0**CBB",misc[[#This Row],[CBB]],"**COMPUTE",misc[[#This Row],[Compute]],"**MODULE",misc[[#This Row],[Module]],splitchar,"**CORE**DCU*CR*MC1*STATUS**")</f>
        <v>*SOCKET0**CBB3**COMPUTE0**MODULE4__**CORE**DCU*CR*MC1*STATUS**</v>
      </c>
      <c r="X103">
        <f>COUNTIFS(core_mc[TestName],misc[[#This Row],[DCU_MCA_String]],core_mc[VisualId],MC_Check!$H$2)</f>
        <v>0</v>
      </c>
      <c r="Y103" t="str">
        <f>_xlfn.TEXTJOIN("",,"*SOCKET0**CBB",misc[[#This Row],[CBB]],"**COMPUTE",misc[[#This Row],[Compute]],"**MODULE",misc[[#This Row],[Module]],splitchar,"**CORE**DTLB*CR*MC2*STATUS**")</f>
        <v>*SOCKET0**CBB3**COMPUTE0**MODULE4__**CORE**DTLB*CR*MC2*STATUS**</v>
      </c>
      <c r="Z103">
        <f>COUNTIFS(core_mc[TestName],misc[[#This Row],[CORE_DTLB_String]],core_mc[VisualId],MC_Check!$H$2)</f>
        <v>0</v>
      </c>
      <c r="AA103" t="str">
        <f>_xlfn.TEXTJOIN("",,"*SOCKET0**CBB",misc[[#This Row],[CBB]],"**COMPUTE",misc[[#This Row],[Compute]],"**MODULE",misc[[#This Row],[Module]],splitchar,"**ML2*CR*MC3*STATUS**")</f>
        <v>*SOCKET0**CBB3**COMPUTE0**MODULE4__**ML2*CR*MC3*STATUS**</v>
      </c>
      <c r="AB103">
        <f>COUNTIFS(core_mc[TestName],misc[[#This Row],[Core_ML2_String]],core_mc[VisualId],MC_Check!$H$2)</f>
        <v>0</v>
      </c>
      <c r="AC103" t="str">
        <f>_xlfn.TEXTJOIN("",,"*SOCKET0**CBB",misc[[#This Row],[CBB]],"**COMPUTE",misc[[#This Row],[Compute]],"**MODULE",misc[[#This Row],[Module]],splitchar,"SPARE")</f>
        <v>*SOCKET0**CBB3**COMPUTE0**MODULE4__SPARE</v>
      </c>
      <c r="AD103">
        <f>COUNTIFS(core_mc[TestName],misc[[#This Row],[Core_L2_String - SPARE]],core_mc[VisualId],MC_Check!$H$2)</f>
        <v>0</v>
      </c>
      <c r="AE103">
        <f>misc[[#This Row],[Core_DTLB_Count]]+misc[[#This Row],[Core_DCU_Count]]+misc[[#This Row],[Core_IFU_Count]]+misc[[#This Row],[Core_ROB_Count]]+misc[[#This Row],[Core_L2_Count - SPARE]]+misc[[#This Row],[Core_ML2_Count]]</f>
        <v>0</v>
      </c>
      <c r="AF103" t="str">
        <f>_xlfn.TEXTJOIN(", ",,IF(misc[[#This Row],[Core_IFU_Count]]&gt;0,"IFU",""),IF(misc[[#This Row],[Core_DCU_Count]]&gt;0,"DCU",""),IF(misc[[#This Row],[Core_DTLB_Count]]&gt;0,"DTLB",""),IF(misc[[#This Row],[Core_ROB_Count]]&gt;0,"ROB",""),IF(misc[[#This Row],[Core_ML2_Count]]&gt;0,"ML2",""),IF(misc[[#This Row],[Core_L2_Count - SPARE]]&gt;0,"L2",""))</f>
        <v/>
      </c>
      <c r="AG103" t="str">
        <f>_xlfn.TEXTJOIN("",,"*SOCKET0**CBB",misc[[#This Row],[CBB]],"**BASE**I_CCF**ENV",misc[[#This Row],[ENV]],splitchar,"CBREGS_ALL",misc[[#This Row],[CBO]],splitchar,"SPARE")</f>
        <v>*SOCKET0**CBB3**BASE**I_CCF**ENV0__CBREGS_ALL11__SPARE</v>
      </c>
      <c r="AH103">
        <f>COUNTIFS(cha_mc[TestName],misc[[#This Row],[LLC_MCA_String - Not Used]],cha_mc[VisualId],MC_Check!$H$2)</f>
        <v>0</v>
      </c>
    </row>
    <row r="104" spans="6:34" x14ac:dyDescent="0.3">
      <c r="F104">
        <v>3</v>
      </c>
      <c r="G104">
        <v>5</v>
      </c>
      <c r="H104" s="61">
        <f>IF(MC_Check!$AN$2="PHY",misc[[#This Row],[location]],misc[[#This Row],[Module_log]])</f>
        <v>5</v>
      </c>
      <c r="I104" s="61">
        <f>misc[[#This Row],[Module]]</f>
        <v>5</v>
      </c>
      <c r="J104" s="61">
        <v>0</v>
      </c>
      <c r="K104" s="61">
        <f t="shared" ref="K104:K130" si="5">K100+1</f>
        <v>1</v>
      </c>
      <c r="L104" s="61">
        <v>1</v>
      </c>
      <c r="M104" s="61" t="str">
        <f>_xlfn.TEXTJOIN("",,misc[[#This Row],[ROW]],misc[[#This Row],[ROW]])</f>
        <v>11</v>
      </c>
      <c r="N104" s="5" t="b">
        <f>misc[[#This Row],[Core_Hitter_Count]]&gt;0</f>
        <v>0</v>
      </c>
      <c r="O104" t="b">
        <f>misc[[#This Row],[LLC_Hitter_Count]]&gt;0</f>
        <v>0</v>
      </c>
      <c r="P104" t="b">
        <f>misc[[#This Row],[CHA_Hitter_Count]]&gt;0</f>
        <v>0</v>
      </c>
      <c r="Q104" t="str">
        <f>_xlfn.TEXTJOIN("",,"*SOCKET0**CBB",misc[[#This Row],[CBB]],"**BASE**I_CCF_ENV",misc[[#This Row],[ENV]],splitchar,"CBREGS_ALL",misc[[#This Row],[CBO]],splitchar,"MC_STATUS*")</f>
        <v>*SOCKET0**CBB3**BASE**I_CCF_ENV1__CBREGS_ALL11__MC_STATUS*</v>
      </c>
      <c r="R104">
        <f>COUNTIFS(cha_mc[TestName],misc[[#This Row],[CBO_MCA_String]],cha_mc[VisualId],MC_Check!$H$2)</f>
        <v>0</v>
      </c>
      <c r="S104" t="str">
        <f>_xlfn.TEXTJOIN("",,"*SOCKET0**CBB",misc[[#This Row],[CBB]],"**COMPUTE",misc[[#This Row],[Compute]],"**MODULE",misc[[#This Row],[Module]],splitchar,"**CORE**IFU*CR*MC0*STATUS**")</f>
        <v>*SOCKET0**CBB3**COMPUTE0**MODULE5__**CORE**IFU*CR*MC0*STATUS**</v>
      </c>
      <c r="T104">
        <f>COUNTIFS(core_mc[TestName],misc[[#This Row],[IFU_MCA_String]],core_mc[VisualId],MC_Check!$H$2)</f>
        <v>0</v>
      </c>
      <c r="U104" t="str">
        <f>_xlfn.TEXTJOIN("",,"*SOCKET0**CBB",misc[[#This Row],[CBB]],"**COMPUTE",misc[[#This Row],[Compute]],"**MODULE",misc[[#This Row],[Module]],splitchar,"**CORE**ROB1*CR*MC*STATUS**")</f>
        <v>*SOCKET0**CBB3**COMPUTE0**MODULE5__**CORE**ROB1*CR*MC*STATUS**</v>
      </c>
      <c r="V104">
        <f>COUNTIFS(core_mc[TestName],misc[[#This Row],[ROB_MCA_String]],core_mc[VisualId],MC_Check!$H$2)</f>
        <v>0</v>
      </c>
      <c r="W104" t="str">
        <f>_xlfn.TEXTJOIN("",,"*SOCKET0**CBB",misc[[#This Row],[CBB]],"**COMPUTE",misc[[#This Row],[Compute]],"**MODULE",misc[[#This Row],[Module]],splitchar,"**CORE**DCU*CR*MC1*STATUS**")</f>
        <v>*SOCKET0**CBB3**COMPUTE0**MODULE5__**CORE**DCU*CR*MC1*STATUS**</v>
      </c>
      <c r="X104">
        <f>COUNTIFS(core_mc[TestName],misc[[#This Row],[DCU_MCA_String]],core_mc[VisualId],MC_Check!$H$2)</f>
        <v>0</v>
      </c>
      <c r="Y104" t="str">
        <f>_xlfn.TEXTJOIN("",,"*SOCKET0**CBB",misc[[#This Row],[CBB]],"**COMPUTE",misc[[#This Row],[Compute]],"**MODULE",misc[[#This Row],[Module]],splitchar,"**CORE**DTLB*CR*MC2*STATUS**")</f>
        <v>*SOCKET0**CBB3**COMPUTE0**MODULE5__**CORE**DTLB*CR*MC2*STATUS**</v>
      </c>
      <c r="Z104">
        <f>COUNTIFS(core_mc[TestName],misc[[#This Row],[CORE_DTLB_String]],core_mc[VisualId],MC_Check!$H$2)</f>
        <v>0</v>
      </c>
      <c r="AA104" t="str">
        <f>_xlfn.TEXTJOIN("",,"*SOCKET0**CBB",misc[[#This Row],[CBB]],"**COMPUTE",misc[[#This Row],[Compute]],"**MODULE",misc[[#This Row],[Module]],splitchar,"**ML2*CR*MC3*STATUS**")</f>
        <v>*SOCKET0**CBB3**COMPUTE0**MODULE5__**ML2*CR*MC3*STATUS**</v>
      </c>
      <c r="AB104">
        <f>COUNTIFS(core_mc[TestName],misc[[#This Row],[Core_ML2_String]],core_mc[VisualId],MC_Check!$H$2)</f>
        <v>0</v>
      </c>
      <c r="AC104" t="str">
        <f>_xlfn.TEXTJOIN("",,"*SOCKET0**CBB",misc[[#This Row],[CBB]],"**COMPUTE",misc[[#This Row],[Compute]],"**MODULE",misc[[#This Row],[Module]],splitchar,"SPARE")</f>
        <v>*SOCKET0**CBB3**COMPUTE0**MODULE5__SPARE</v>
      </c>
      <c r="AD104">
        <f>COUNTIFS(core_mc[TestName],misc[[#This Row],[Core_L2_String - SPARE]],core_mc[VisualId],MC_Check!$H$2)</f>
        <v>0</v>
      </c>
      <c r="AE104">
        <f>misc[[#This Row],[Core_DTLB_Count]]+misc[[#This Row],[Core_DCU_Count]]+misc[[#This Row],[Core_IFU_Count]]+misc[[#This Row],[Core_ROB_Count]]+misc[[#This Row],[Core_L2_Count - SPARE]]+misc[[#This Row],[Core_ML2_Count]]</f>
        <v>0</v>
      </c>
      <c r="AF104" t="str">
        <f>_xlfn.TEXTJOIN(", ",,IF(misc[[#This Row],[Core_IFU_Count]]&gt;0,"IFU",""),IF(misc[[#This Row],[Core_DCU_Count]]&gt;0,"DCU",""),IF(misc[[#This Row],[Core_DTLB_Count]]&gt;0,"DTLB",""),IF(misc[[#This Row],[Core_ROB_Count]]&gt;0,"ROB",""),IF(misc[[#This Row],[Core_ML2_Count]]&gt;0,"ML2",""),IF(misc[[#This Row],[Core_L2_Count - SPARE]]&gt;0,"L2",""))</f>
        <v/>
      </c>
      <c r="AG104" t="str">
        <f>_xlfn.TEXTJOIN("",,"*SOCKET0**CBB",misc[[#This Row],[CBB]],"**BASE**I_CCF**ENV",misc[[#This Row],[ENV]],splitchar,"CBREGS_ALL",misc[[#This Row],[CBO]],splitchar,"SPARE")</f>
        <v>*SOCKET0**CBB3**BASE**I_CCF**ENV1__CBREGS_ALL11__SPARE</v>
      </c>
      <c r="AH104">
        <f>COUNTIFS(cha_mc[TestName],misc[[#This Row],[LLC_MCA_String - Not Used]],cha_mc[VisualId],MC_Check!$H$2)</f>
        <v>0</v>
      </c>
    </row>
    <row r="105" spans="6:34" x14ac:dyDescent="0.3">
      <c r="F105">
        <v>3</v>
      </c>
      <c r="G105">
        <v>6</v>
      </c>
      <c r="H105" s="61">
        <f>IF(MC_Check!$AN$2="PHY",misc[[#This Row],[location]],misc[[#This Row],[Module_log]])</f>
        <v>6</v>
      </c>
      <c r="I105" s="61">
        <f>misc[[#This Row],[Module]]</f>
        <v>6</v>
      </c>
      <c r="J105" s="61">
        <v>0</v>
      </c>
      <c r="K105" s="61">
        <f t="shared" si="5"/>
        <v>1</v>
      </c>
      <c r="L105" s="61">
        <v>2</v>
      </c>
      <c r="M105" s="61" t="str">
        <f>_xlfn.TEXTJOIN("",,misc[[#This Row],[ROW]],misc[[#This Row],[ROW]])</f>
        <v>11</v>
      </c>
      <c r="N105" s="5" t="b">
        <f>misc[[#This Row],[Core_Hitter_Count]]&gt;0</f>
        <v>0</v>
      </c>
      <c r="O105" t="b">
        <f>misc[[#This Row],[LLC_Hitter_Count]]&gt;0</f>
        <v>0</v>
      </c>
      <c r="P105" t="b">
        <f>misc[[#This Row],[CHA_Hitter_Count]]&gt;0</f>
        <v>0</v>
      </c>
      <c r="Q105" t="str">
        <f>_xlfn.TEXTJOIN("",,"*SOCKET0**CBB",misc[[#This Row],[CBB]],"**BASE**I_CCF_ENV",misc[[#This Row],[ENV]],splitchar,"CBREGS_ALL",misc[[#This Row],[CBO]],splitchar,"MC_STATUS*")</f>
        <v>*SOCKET0**CBB3**BASE**I_CCF_ENV2__CBREGS_ALL11__MC_STATUS*</v>
      </c>
      <c r="R105">
        <f>COUNTIFS(cha_mc[TestName],misc[[#This Row],[CBO_MCA_String]],cha_mc[VisualId],MC_Check!$H$2)</f>
        <v>0</v>
      </c>
      <c r="S105" t="str">
        <f>_xlfn.TEXTJOIN("",,"*SOCKET0**CBB",misc[[#This Row],[CBB]],"**COMPUTE",misc[[#This Row],[Compute]],"**MODULE",misc[[#This Row],[Module]],splitchar,"**CORE**IFU*CR*MC0*STATUS**")</f>
        <v>*SOCKET0**CBB3**COMPUTE0**MODULE6__**CORE**IFU*CR*MC0*STATUS**</v>
      </c>
      <c r="T105">
        <f>COUNTIFS(core_mc[TestName],misc[[#This Row],[IFU_MCA_String]],core_mc[VisualId],MC_Check!$H$2)</f>
        <v>0</v>
      </c>
      <c r="U105" t="str">
        <f>_xlfn.TEXTJOIN("",,"*SOCKET0**CBB",misc[[#This Row],[CBB]],"**COMPUTE",misc[[#This Row],[Compute]],"**MODULE",misc[[#This Row],[Module]],splitchar,"**CORE**ROB1*CR*MC*STATUS**")</f>
        <v>*SOCKET0**CBB3**COMPUTE0**MODULE6__**CORE**ROB1*CR*MC*STATUS**</v>
      </c>
      <c r="V105">
        <f>COUNTIFS(core_mc[TestName],misc[[#This Row],[ROB_MCA_String]],core_mc[VisualId],MC_Check!$H$2)</f>
        <v>0</v>
      </c>
      <c r="W105" t="str">
        <f>_xlfn.TEXTJOIN("",,"*SOCKET0**CBB",misc[[#This Row],[CBB]],"**COMPUTE",misc[[#This Row],[Compute]],"**MODULE",misc[[#This Row],[Module]],splitchar,"**CORE**DCU*CR*MC1*STATUS**")</f>
        <v>*SOCKET0**CBB3**COMPUTE0**MODULE6__**CORE**DCU*CR*MC1*STATUS**</v>
      </c>
      <c r="X105">
        <f>COUNTIFS(core_mc[TestName],misc[[#This Row],[DCU_MCA_String]],core_mc[VisualId],MC_Check!$H$2)</f>
        <v>0</v>
      </c>
      <c r="Y105" t="str">
        <f>_xlfn.TEXTJOIN("",,"*SOCKET0**CBB",misc[[#This Row],[CBB]],"**COMPUTE",misc[[#This Row],[Compute]],"**MODULE",misc[[#This Row],[Module]],splitchar,"**CORE**DTLB*CR*MC2*STATUS**")</f>
        <v>*SOCKET0**CBB3**COMPUTE0**MODULE6__**CORE**DTLB*CR*MC2*STATUS**</v>
      </c>
      <c r="Z105">
        <f>COUNTIFS(core_mc[TestName],misc[[#This Row],[CORE_DTLB_String]],core_mc[VisualId],MC_Check!$H$2)</f>
        <v>0</v>
      </c>
      <c r="AA105" t="str">
        <f>_xlfn.TEXTJOIN("",,"*SOCKET0**CBB",misc[[#This Row],[CBB]],"**COMPUTE",misc[[#This Row],[Compute]],"**MODULE",misc[[#This Row],[Module]],splitchar,"**ML2*CR*MC3*STATUS**")</f>
        <v>*SOCKET0**CBB3**COMPUTE0**MODULE6__**ML2*CR*MC3*STATUS**</v>
      </c>
      <c r="AB105">
        <f>COUNTIFS(core_mc[TestName],misc[[#This Row],[Core_ML2_String]],core_mc[VisualId],MC_Check!$H$2)</f>
        <v>0</v>
      </c>
      <c r="AC105" t="str">
        <f>_xlfn.TEXTJOIN("",,"*SOCKET0**CBB",misc[[#This Row],[CBB]],"**COMPUTE",misc[[#This Row],[Compute]],"**MODULE",misc[[#This Row],[Module]],splitchar,"SPARE")</f>
        <v>*SOCKET0**CBB3**COMPUTE0**MODULE6__SPARE</v>
      </c>
      <c r="AD105">
        <f>COUNTIFS(core_mc[TestName],misc[[#This Row],[Core_L2_String - SPARE]],core_mc[VisualId],MC_Check!$H$2)</f>
        <v>0</v>
      </c>
      <c r="AE105">
        <f>misc[[#This Row],[Core_DTLB_Count]]+misc[[#This Row],[Core_DCU_Count]]+misc[[#This Row],[Core_IFU_Count]]+misc[[#This Row],[Core_ROB_Count]]+misc[[#This Row],[Core_L2_Count - SPARE]]+misc[[#This Row],[Core_ML2_Count]]</f>
        <v>0</v>
      </c>
      <c r="AF105" t="str">
        <f>_xlfn.TEXTJOIN(", ",,IF(misc[[#This Row],[Core_IFU_Count]]&gt;0,"IFU",""),IF(misc[[#This Row],[Core_DCU_Count]]&gt;0,"DCU",""),IF(misc[[#This Row],[Core_DTLB_Count]]&gt;0,"DTLB",""),IF(misc[[#This Row],[Core_ROB_Count]]&gt;0,"ROB",""),IF(misc[[#This Row],[Core_ML2_Count]]&gt;0,"ML2",""),IF(misc[[#This Row],[Core_L2_Count - SPARE]]&gt;0,"L2",""))</f>
        <v/>
      </c>
      <c r="AG105" t="str">
        <f>_xlfn.TEXTJOIN("",,"*SOCKET0**CBB",misc[[#This Row],[CBB]],"**BASE**I_CCF**ENV",misc[[#This Row],[ENV]],splitchar,"CBREGS_ALL",misc[[#This Row],[CBO]],splitchar,"SPARE")</f>
        <v>*SOCKET0**CBB3**BASE**I_CCF**ENV2__CBREGS_ALL11__SPARE</v>
      </c>
      <c r="AH105">
        <f>COUNTIFS(cha_mc[TestName],misc[[#This Row],[LLC_MCA_String - Not Used]],cha_mc[VisualId],MC_Check!$H$2)</f>
        <v>0</v>
      </c>
    </row>
    <row r="106" spans="6:34" x14ac:dyDescent="0.3">
      <c r="F106">
        <v>3</v>
      </c>
      <c r="G106">
        <v>7</v>
      </c>
      <c r="H106" s="61">
        <f>IF(MC_Check!$AN$2="PHY",misc[[#This Row],[location]],misc[[#This Row],[Module_log]])</f>
        <v>7</v>
      </c>
      <c r="I106" s="61">
        <f>misc[[#This Row],[Module]]</f>
        <v>7</v>
      </c>
      <c r="J106" s="61">
        <v>0</v>
      </c>
      <c r="K106" s="61">
        <f t="shared" si="5"/>
        <v>1</v>
      </c>
      <c r="L106" s="61">
        <v>3</v>
      </c>
      <c r="M106" s="61" t="str">
        <f>_xlfn.TEXTJOIN("",,misc[[#This Row],[ROW]],misc[[#This Row],[ROW]])</f>
        <v>11</v>
      </c>
      <c r="N106" s="5" t="b">
        <f>misc[[#This Row],[Core_Hitter_Count]]&gt;0</f>
        <v>0</v>
      </c>
      <c r="O106" t="b">
        <f>misc[[#This Row],[LLC_Hitter_Count]]&gt;0</f>
        <v>0</v>
      </c>
      <c r="P106" t="b">
        <f>misc[[#This Row],[CHA_Hitter_Count]]&gt;0</f>
        <v>0</v>
      </c>
      <c r="Q106" t="str">
        <f>_xlfn.TEXTJOIN("",,"*SOCKET0**CBB",misc[[#This Row],[CBB]],"**BASE**I_CCF_ENV",misc[[#This Row],[ENV]],splitchar,"CBREGS_ALL",misc[[#This Row],[CBO]],splitchar,"MC_STATUS*")</f>
        <v>*SOCKET0**CBB3**BASE**I_CCF_ENV3__CBREGS_ALL11__MC_STATUS*</v>
      </c>
      <c r="R106">
        <f>COUNTIFS(cha_mc[TestName],misc[[#This Row],[CBO_MCA_String]],cha_mc[VisualId],MC_Check!$H$2)</f>
        <v>0</v>
      </c>
      <c r="S106" t="str">
        <f>_xlfn.TEXTJOIN("",,"*SOCKET0**CBB",misc[[#This Row],[CBB]],"**COMPUTE",misc[[#This Row],[Compute]],"**MODULE",misc[[#This Row],[Module]],splitchar,"**CORE**IFU*CR*MC0*STATUS**")</f>
        <v>*SOCKET0**CBB3**COMPUTE0**MODULE7__**CORE**IFU*CR*MC0*STATUS**</v>
      </c>
      <c r="T106">
        <f>COUNTIFS(core_mc[TestName],misc[[#This Row],[IFU_MCA_String]],core_mc[VisualId],MC_Check!$H$2)</f>
        <v>0</v>
      </c>
      <c r="U106" t="str">
        <f>_xlfn.TEXTJOIN("",,"*SOCKET0**CBB",misc[[#This Row],[CBB]],"**COMPUTE",misc[[#This Row],[Compute]],"**MODULE",misc[[#This Row],[Module]],splitchar,"**CORE**ROB1*CR*MC*STATUS**")</f>
        <v>*SOCKET0**CBB3**COMPUTE0**MODULE7__**CORE**ROB1*CR*MC*STATUS**</v>
      </c>
      <c r="V106">
        <f>COUNTIFS(core_mc[TestName],misc[[#This Row],[ROB_MCA_String]],core_mc[VisualId],MC_Check!$H$2)</f>
        <v>0</v>
      </c>
      <c r="W106" t="str">
        <f>_xlfn.TEXTJOIN("",,"*SOCKET0**CBB",misc[[#This Row],[CBB]],"**COMPUTE",misc[[#This Row],[Compute]],"**MODULE",misc[[#This Row],[Module]],splitchar,"**CORE**DCU*CR*MC1*STATUS**")</f>
        <v>*SOCKET0**CBB3**COMPUTE0**MODULE7__**CORE**DCU*CR*MC1*STATUS**</v>
      </c>
      <c r="X106">
        <f>COUNTIFS(core_mc[TestName],misc[[#This Row],[DCU_MCA_String]],core_mc[VisualId],MC_Check!$H$2)</f>
        <v>0</v>
      </c>
      <c r="Y106" t="str">
        <f>_xlfn.TEXTJOIN("",,"*SOCKET0**CBB",misc[[#This Row],[CBB]],"**COMPUTE",misc[[#This Row],[Compute]],"**MODULE",misc[[#This Row],[Module]],splitchar,"**CORE**DTLB*CR*MC2*STATUS**")</f>
        <v>*SOCKET0**CBB3**COMPUTE0**MODULE7__**CORE**DTLB*CR*MC2*STATUS**</v>
      </c>
      <c r="Z106">
        <f>COUNTIFS(core_mc[TestName],misc[[#This Row],[CORE_DTLB_String]],core_mc[VisualId],MC_Check!$H$2)</f>
        <v>0</v>
      </c>
      <c r="AA106" t="str">
        <f>_xlfn.TEXTJOIN("",,"*SOCKET0**CBB",misc[[#This Row],[CBB]],"**COMPUTE",misc[[#This Row],[Compute]],"**MODULE",misc[[#This Row],[Module]],splitchar,"**ML2*CR*MC3*STATUS**")</f>
        <v>*SOCKET0**CBB3**COMPUTE0**MODULE7__**ML2*CR*MC3*STATUS**</v>
      </c>
      <c r="AB106">
        <f>COUNTIFS(core_mc[TestName],misc[[#This Row],[Core_ML2_String]],core_mc[VisualId],MC_Check!$H$2)</f>
        <v>0</v>
      </c>
      <c r="AC106" t="str">
        <f>_xlfn.TEXTJOIN("",,"*SOCKET0**CBB",misc[[#This Row],[CBB]],"**COMPUTE",misc[[#This Row],[Compute]],"**MODULE",misc[[#This Row],[Module]],splitchar,"SPARE")</f>
        <v>*SOCKET0**CBB3**COMPUTE0**MODULE7__SPARE</v>
      </c>
      <c r="AD106">
        <f>COUNTIFS(core_mc[TestName],misc[[#This Row],[Core_L2_String - SPARE]],core_mc[VisualId],MC_Check!$H$2)</f>
        <v>0</v>
      </c>
      <c r="AE106">
        <f>misc[[#This Row],[Core_DTLB_Count]]+misc[[#This Row],[Core_DCU_Count]]+misc[[#This Row],[Core_IFU_Count]]+misc[[#This Row],[Core_ROB_Count]]+misc[[#This Row],[Core_L2_Count - SPARE]]+misc[[#This Row],[Core_ML2_Count]]</f>
        <v>0</v>
      </c>
      <c r="AF106" t="str">
        <f>_xlfn.TEXTJOIN(", ",,IF(misc[[#This Row],[Core_IFU_Count]]&gt;0,"IFU",""),IF(misc[[#This Row],[Core_DCU_Count]]&gt;0,"DCU",""),IF(misc[[#This Row],[Core_DTLB_Count]]&gt;0,"DTLB",""),IF(misc[[#This Row],[Core_ROB_Count]]&gt;0,"ROB",""),IF(misc[[#This Row],[Core_ML2_Count]]&gt;0,"ML2",""),IF(misc[[#This Row],[Core_L2_Count - SPARE]]&gt;0,"L2",""))</f>
        <v/>
      </c>
      <c r="AG106" t="str">
        <f>_xlfn.TEXTJOIN("",,"*SOCKET0**CBB",misc[[#This Row],[CBB]],"**BASE**I_CCF**ENV",misc[[#This Row],[ENV]],splitchar,"CBREGS_ALL",misc[[#This Row],[CBO]],splitchar,"SPARE")</f>
        <v>*SOCKET0**CBB3**BASE**I_CCF**ENV3__CBREGS_ALL11__SPARE</v>
      </c>
      <c r="AH106">
        <f>COUNTIFS(cha_mc[TestName],misc[[#This Row],[LLC_MCA_String - Not Used]],cha_mc[VisualId],MC_Check!$H$2)</f>
        <v>0</v>
      </c>
    </row>
    <row r="107" spans="6:34" x14ac:dyDescent="0.3">
      <c r="F107">
        <v>3</v>
      </c>
      <c r="G107">
        <v>8</v>
      </c>
      <c r="H107" s="61">
        <f>IF(MC_Check!$AN$2="PHY",misc[[#This Row],[location]],misc[[#This Row],[Module_log]])</f>
        <v>8</v>
      </c>
      <c r="I107" s="61">
        <f>misc[[#This Row],[Module]]</f>
        <v>8</v>
      </c>
      <c r="J107" s="61">
        <f>J99+1</f>
        <v>1</v>
      </c>
      <c r="K107" s="61">
        <f>K103+1</f>
        <v>2</v>
      </c>
      <c r="L107" s="61">
        <v>0</v>
      </c>
      <c r="M107" s="61" t="str">
        <f>_xlfn.TEXTJOIN("",,misc[[#This Row],[ROW]],misc[[#This Row],[ROW]])</f>
        <v>22</v>
      </c>
      <c r="N107" s="5" t="b">
        <f>misc[[#This Row],[Core_Hitter_Count]]&gt;0</f>
        <v>0</v>
      </c>
      <c r="O107" t="b">
        <f>misc[[#This Row],[LLC_Hitter_Count]]&gt;0</f>
        <v>0</v>
      </c>
      <c r="P107" t="b">
        <f>misc[[#This Row],[CHA_Hitter_Count]]&gt;0</f>
        <v>0</v>
      </c>
      <c r="Q107" t="str">
        <f>_xlfn.TEXTJOIN("",,"*SOCKET0**CBB",misc[[#This Row],[CBB]],"**BASE**I_CCF_ENV",misc[[#This Row],[ENV]],splitchar,"CBREGS_ALL",misc[[#This Row],[CBO]],splitchar,"MC_STATUS*")</f>
        <v>*SOCKET0**CBB3**BASE**I_CCF_ENV0__CBREGS_ALL22__MC_STATUS*</v>
      </c>
      <c r="R107">
        <f>COUNTIFS(cha_mc[TestName],misc[[#This Row],[CBO_MCA_String]],cha_mc[VisualId],MC_Check!$H$2)</f>
        <v>0</v>
      </c>
      <c r="S107" t="str">
        <f>_xlfn.TEXTJOIN("",,"*SOCKET0**CBB",misc[[#This Row],[CBB]],"**COMPUTE",misc[[#This Row],[Compute]],"**MODULE",misc[[#This Row],[Module]],splitchar,"**CORE**IFU*CR*MC0*STATUS**")</f>
        <v>*SOCKET0**CBB3**COMPUTE1**MODULE8__**CORE**IFU*CR*MC0*STATUS**</v>
      </c>
      <c r="T107">
        <f>COUNTIFS(core_mc[TestName],misc[[#This Row],[IFU_MCA_String]],core_mc[VisualId],MC_Check!$H$2)</f>
        <v>0</v>
      </c>
      <c r="U107" t="str">
        <f>_xlfn.TEXTJOIN("",,"*SOCKET0**CBB",misc[[#This Row],[CBB]],"**COMPUTE",misc[[#This Row],[Compute]],"**MODULE",misc[[#This Row],[Module]],splitchar,"**CORE**ROB1*CR*MC*STATUS**")</f>
        <v>*SOCKET0**CBB3**COMPUTE1**MODULE8__**CORE**ROB1*CR*MC*STATUS**</v>
      </c>
      <c r="V107">
        <f>COUNTIFS(core_mc[TestName],misc[[#This Row],[ROB_MCA_String]],core_mc[VisualId],MC_Check!$H$2)</f>
        <v>0</v>
      </c>
      <c r="W107" t="str">
        <f>_xlfn.TEXTJOIN("",,"*SOCKET0**CBB",misc[[#This Row],[CBB]],"**COMPUTE",misc[[#This Row],[Compute]],"**MODULE",misc[[#This Row],[Module]],splitchar,"**CORE**DCU*CR*MC1*STATUS**")</f>
        <v>*SOCKET0**CBB3**COMPUTE1**MODULE8__**CORE**DCU*CR*MC1*STATUS**</v>
      </c>
      <c r="X107">
        <f>COUNTIFS(core_mc[TestName],misc[[#This Row],[DCU_MCA_String]],core_mc[VisualId],MC_Check!$H$2)</f>
        <v>0</v>
      </c>
      <c r="Y107" t="str">
        <f>_xlfn.TEXTJOIN("",,"*SOCKET0**CBB",misc[[#This Row],[CBB]],"**COMPUTE",misc[[#This Row],[Compute]],"**MODULE",misc[[#This Row],[Module]],splitchar,"**CORE**DTLB*CR*MC2*STATUS**")</f>
        <v>*SOCKET0**CBB3**COMPUTE1**MODULE8__**CORE**DTLB*CR*MC2*STATUS**</v>
      </c>
      <c r="Z107">
        <f>COUNTIFS(core_mc[TestName],misc[[#This Row],[CORE_DTLB_String]],core_mc[VisualId],MC_Check!$H$2)</f>
        <v>0</v>
      </c>
      <c r="AA107" t="str">
        <f>_xlfn.TEXTJOIN("",,"*SOCKET0**CBB",misc[[#This Row],[CBB]],"**COMPUTE",misc[[#This Row],[Compute]],"**MODULE",misc[[#This Row],[Module]],splitchar,"**ML2*CR*MC3*STATUS**")</f>
        <v>*SOCKET0**CBB3**COMPUTE1**MODULE8__**ML2*CR*MC3*STATUS**</v>
      </c>
      <c r="AB107">
        <f>COUNTIFS(core_mc[TestName],misc[[#This Row],[Core_ML2_String]],core_mc[VisualId],MC_Check!$H$2)</f>
        <v>0</v>
      </c>
      <c r="AC107" t="str">
        <f>_xlfn.TEXTJOIN("",,"*SOCKET0**CBB",misc[[#This Row],[CBB]],"**COMPUTE",misc[[#This Row],[Compute]],"**MODULE",misc[[#This Row],[Module]],splitchar,"SPARE")</f>
        <v>*SOCKET0**CBB3**COMPUTE1**MODULE8__SPARE</v>
      </c>
      <c r="AD107">
        <f>COUNTIFS(core_mc[TestName],misc[[#This Row],[Core_L2_String - SPARE]],core_mc[VisualId],MC_Check!$H$2)</f>
        <v>0</v>
      </c>
      <c r="AE107">
        <f>misc[[#This Row],[Core_DTLB_Count]]+misc[[#This Row],[Core_DCU_Count]]+misc[[#This Row],[Core_IFU_Count]]+misc[[#This Row],[Core_ROB_Count]]+misc[[#This Row],[Core_L2_Count - SPARE]]+misc[[#This Row],[Core_ML2_Count]]</f>
        <v>0</v>
      </c>
      <c r="AF107" t="str">
        <f>_xlfn.TEXTJOIN(", ",,IF(misc[[#This Row],[Core_IFU_Count]]&gt;0,"IFU",""),IF(misc[[#This Row],[Core_DCU_Count]]&gt;0,"DCU",""),IF(misc[[#This Row],[Core_DTLB_Count]]&gt;0,"DTLB",""),IF(misc[[#This Row],[Core_ROB_Count]]&gt;0,"ROB",""),IF(misc[[#This Row],[Core_ML2_Count]]&gt;0,"ML2",""),IF(misc[[#This Row],[Core_L2_Count - SPARE]]&gt;0,"L2",""))</f>
        <v/>
      </c>
      <c r="AG107" t="str">
        <f>_xlfn.TEXTJOIN("",,"*SOCKET0**CBB",misc[[#This Row],[CBB]],"**BASE**I_CCF**ENV",misc[[#This Row],[ENV]],splitchar,"CBREGS_ALL",misc[[#This Row],[CBO]],splitchar,"SPARE")</f>
        <v>*SOCKET0**CBB3**BASE**I_CCF**ENV0__CBREGS_ALL22__SPARE</v>
      </c>
      <c r="AH107">
        <f>COUNTIFS(cha_mc[TestName],misc[[#This Row],[LLC_MCA_String - Not Used]],cha_mc[VisualId],MC_Check!$H$2)</f>
        <v>0</v>
      </c>
    </row>
    <row r="108" spans="6:34" x14ac:dyDescent="0.3">
      <c r="F108">
        <v>3</v>
      </c>
      <c r="G108">
        <v>9</v>
      </c>
      <c r="H108" s="61">
        <f>IF(MC_Check!$AN$2="PHY",misc[[#This Row],[location]],misc[[#This Row],[Module_log]])</f>
        <v>9</v>
      </c>
      <c r="I108" s="61">
        <f>misc[[#This Row],[Module]]</f>
        <v>9</v>
      </c>
      <c r="J108" s="61">
        <f t="shared" ref="J108:J130" si="6">J100+1</f>
        <v>1</v>
      </c>
      <c r="K108" s="61">
        <f t="shared" si="5"/>
        <v>2</v>
      </c>
      <c r="L108" s="61">
        <v>1</v>
      </c>
      <c r="M108" s="61" t="str">
        <f>_xlfn.TEXTJOIN("",,misc[[#This Row],[ROW]],misc[[#This Row],[ROW]])</f>
        <v>22</v>
      </c>
      <c r="N108" s="5" t="b">
        <f>misc[[#This Row],[Core_Hitter_Count]]&gt;0</f>
        <v>0</v>
      </c>
      <c r="O108" t="b">
        <f>misc[[#This Row],[LLC_Hitter_Count]]&gt;0</f>
        <v>0</v>
      </c>
      <c r="P108" t="b">
        <f>misc[[#This Row],[CHA_Hitter_Count]]&gt;0</f>
        <v>0</v>
      </c>
      <c r="Q108" t="str">
        <f>_xlfn.TEXTJOIN("",,"*SOCKET0**CBB",misc[[#This Row],[CBB]],"**BASE**I_CCF_ENV",misc[[#This Row],[ENV]],splitchar,"CBREGS_ALL",misc[[#This Row],[CBO]],splitchar,"MC_STATUS*")</f>
        <v>*SOCKET0**CBB3**BASE**I_CCF_ENV1__CBREGS_ALL22__MC_STATUS*</v>
      </c>
      <c r="R108">
        <f>COUNTIFS(cha_mc[TestName],misc[[#This Row],[CBO_MCA_String]],cha_mc[VisualId],MC_Check!$H$2)</f>
        <v>0</v>
      </c>
      <c r="S108" t="str">
        <f>_xlfn.TEXTJOIN("",,"*SOCKET0**CBB",misc[[#This Row],[CBB]],"**COMPUTE",misc[[#This Row],[Compute]],"**MODULE",misc[[#This Row],[Module]],splitchar,"**CORE**IFU*CR*MC0*STATUS**")</f>
        <v>*SOCKET0**CBB3**COMPUTE1**MODULE9__**CORE**IFU*CR*MC0*STATUS**</v>
      </c>
      <c r="T108">
        <f>COUNTIFS(core_mc[TestName],misc[[#This Row],[IFU_MCA_String]],core_mc[VisualId],MC_Check!$H$2)</f>
        <v>0</v>
      </c>
      <c r="U108" t="str">
        <f>_xlfn.TEXTJOIN("",,"*SOCKET0**CBB",misc[[#This Row],[CBB]],"**COMPUTE",misc[[#This Row],[Compute]],"**MODULE",misc[[#This Row],[Module]],splitchar,"**CORE**ROB1*CR*MC*STATUS**")</f>
        <v>*SOCKET0**CBB3**COMPUTE1**MODULE9__**CORE**ROB1*CR*MC*STATUS**</v>
      </c>
      <c r="V108">
        <f>COUNTIFS(core_mc[TestName],misc[[#This Row],[ROB_MCA_String]],core_mc[VisualId],MC_Check!$H$2)</f>
        <v>0</v>
      </c>
      <c r="W108" t="str">
        <f>_xlfn.TEXTJOIN("",,"*SOCKET0**CBB",misc[[#This Row],[CBB]],"**COMPUTE",misc[[#This Row],[Compute]],"**MODULE",misc[[#This Row],[Module]],splitchar,"**CORE**DCU*CR*MC1*STATUS**")</f>
        <v>*SOCKET0**CBB3**COMPUTE1**MODULE9__**CORE**DCU*CR*MC1*STATUS**</v>
      </c>
      <c r="X108">
        <f>COUNTIFS(core_mc[TestName],misc[[#This Row],[DCU_MCA_String]],core_mc[VisualId],MC_Check!$H$2)</f>
        <v>0</v>
      </c>
      <c r="Y108" t="str">
        <f>_xlfn.TEXTJOIN("",,"*SOCKET0**CBB",misc[[#This Row],[CBB]],"**COMPUTE",misc[[#This Row],[Compute]],"**MODULE",misc[[#This Row],[Module]],splitchar,"**CORE**DTLB*CR*MC2*STATUS**")</f>
        <v>*SOCKET0**CBB3**COMPUTE1**MODULE9__**CORE**DTLB*CR*MC2*STATUS**</v>
      </c>
      <c r="Z108">
        <f>COUNTIFS(core_mc[TestName],misc[[#This Row],[CORE_DTLB_String]],core_mc[VisualId],MC_Check!$H$2)</f>
        <v>0</v>
      </c>
      <c r="AA108" t="str">
        <f>_xlfn.TEXTJOIN("",,"*SOCKET0**CBB",misc[[#This Row],[CBB]],"**COMPUTE",misc[[#This Row],[Compute]],"**MODULE",misc[[#This Row],[Module]],splitchar,"**ML2*CR*MC3*STATUS**")</f>
        <v>*SOCKET0**CBB3**COMPUTE1**MODULE9__**ML2*CR*MC3*STATUS**</v>
      </c>
      <c r="AB108">
        <f>COUNTIFS(core_mc[TestName],misc[[#This Row],[Core_ML2_String]],core_mc[VisualId],MC_Check!$H$2)</f>
        <v>0</v>
      </c>
      <c r="AC108" t="str">
        <f>_xlfn.TEXTJOIN("",,"*SOCKET0**CBB",misc[[#This Row],[CBB]],"**COMPUTE",misc[[#This Row],[Compute]],"**MODULE",misc[[#This Row],[Module]],splitchar,"SPARE")</f>
        <v>*SOCKET0**CBB3**COMPUTE1**MODULE9__SPARE</v>
      </c>
      <c r="AD108">
        <f>COUNTIFS(core_mc[TestName],misc[[#This Row],[Core_L2_String - SPARE]],core_mc[VisualId],MC_Check!$H$2)</f>
        <v>0</v>
      </c>
      <c r="AE108">
        <f>misc[[#This Row],[Core_DTLB_Count]]+misc[[#This Row],[Core_DCU_Count]]+misc[[#This Row],[Core_IFU_Count]]+misc[[#This Row],[Core_ROB_Count]]+misc[[#This Row],[Core_L2_Count - SPARE]]+misc[[#This Row],[Core_ML2_Count]]</f>
        <v>0</v>
      </c>
      <c r="AF108" t="str">
        <f>_xlfn.TEXTJOIN(", ",,IF(misc[[#This Row],[Core_IFU_Count]]&gt;0,"IFU",""),IF(misc[[#This Row],[Core_DCU_Count]]&gt;0,"DCU",""),IF(misc[[#This Row],[Core_DTLB_Count]]&gt;0,"DTLB",""),IF(misc[[#This Row],[Core_ROB_Count]]&gt;0,"ROB",""),IF(misc[[#This Row],[Core_ML2_Count]]&gt;0,"ML2",""),IF(misc[[#This Row],[Core_L2_Count - SPARE]]&gt;0,"L2",""))</f>
        <v/>
      </c>
      <c r="AG108" t="str">
        <f>_xlfn.TEXTJOIN("",,"*SOCKET0**CBB",misc[[#This Row],[CBB]],"**BASE**I_CCF**ENV",misc[[#This Row],[ENV]],splitchar,"CBREGS_ALL",misc[[#This Row],[CBO]],splitchar,"SPARE")</f>
        <v>*SOCKET0**CBB3**BASE**I_CCF**ENV1__CBREGS_ALL22__SPARE</v>
      </c>
      <c r="AH108">
        <f>COUNTIFS(cha_mc[TestName],misc[[#This Row],[LLC_MCA_String - Not Used]],cha_mc[VisualId],MC_Check!$H$2)</f>
        <v>0</v>
      </c>
    </row>
    <row r="109" spans="6:34" x14ac:dyDescent="0.3">
      <c r="F109">
        <v>3</v>
      </c>
      <c r="G109">
        <v>10</v>
      </c>
      <c r="H109" s="61">
        <f>IF(MC_Check!$AN$2="PHY",misc[[#This Row],[location]],misc[[#This Row],[Module_log]])</f>
        <v>10</v>
      </c>
      <c r="I109" s="61">
        <f>misc[[#This Row],[Module]]</f>
        <v>10</v>
      </c>
      <c r="J109" s="61">
        <f t="shared" si="6"/>
        <v>1</v>
      </c>
      <c r="K109" s="61">
        <f t="shared" si="5"/>
        <v>2</v>
      </c>
      <c r="L109" s="61">
        <v>2</v>
      </c>
      <c r="M109" s="61" t="str">
        <f>_xlfn.TEXTJOIN("",,misc[[#This Row],[ROW]],misc[[#This Row],[ROW]])</f>
        <v>22</v>
      </c>
      <c r="N109" s="5" t="b">
        <f>misc[[#This Row],[Core_Hitter_Count]]&gt;0</f>
        <v>0</v>
      </c>
      <c r="O109" t="b">
        <f>misc[[#This Row],[LLC_Hitter_Count]]&gt;0</f>
        <v>0</v>
      </c>
      <c r="P109" t="b">
        <f>misc[[#This Row],[CHA_Hitter_Count]]&gt;0</f>
        <v>0</v>
      </c>
      <c r="Q109" t="str">
        <f>_xlfn.TEXTJOIN("",,"*SOCKET0**CBB",misc[[#This Row],[CBB]],"**BASE**I_CCF_ENV",misc[[#This Row],[ENV]],splitchar,"CBREGS_ALL",misc[[#This Row],[CBO]],splitchar,"MC_STATUS*")</f>
        <v>*SOCKET0**CBB3**BASE**I_CCF_ENV2__CBREGS_ALL22__MC_STATUS*</v>
      </c>
      <c r="R109">
        <f>COUNTIFS(cha_mc[TestName],misc[[#This Row],[CBO_MCA_String]],cha_mc[VisualId],MC_Check!$H$2)</f>
        <v>0</v>
      </c>
      <c r="S109" t="str">
        <f>_xlfn.TEXTJOIN("",,"*SOCKET0**CBB",misc[[#This Row],[CBB]],"**COMPUTE",misc[[#This Row],[Compute]],"**MODULE",misc[[#This Row],[Module]],splitchar,"**CORE**IFU*CR*MC0*STATUS**")</f>
        <v>*SOCKET0**CBB3**COMPUTE1**MODULE10__**CORE**IFU*CR*MC0*STATUS**</v>
      </c>
      <c r="T109">
        <f>COUNTIFS(core_mc[TestName],misc[[#This Row],[IFU_MCA_String]],core_mc[VisualId],MC_Check!$H$2)</f>
        <v>0</v>
      </c>
      <c r="U109" t="str">
        <f>_xlfn.TEXTJOIN("",,"*SOCKET0**CBB",misc[[#This Row],[CBB]],"**COMPUTE",misc[[#This Row],[Compute]],"**MODULE",misc[[#This Row],[Module]],splitchar,"**CORE**ROB1*CR*MC*STATUS**")</f>
        <v>*SOCKET0**CBB3**COMPUTE1**MODULE10__**CORE**ROB1*CR*MC*STATUS**</v>
      </c>
      <c r="V109">
        <f>COUNTIFS(core_mc[TestName],misc[[#This Row],[ROB_MCA_String]],core_mc[VisualId],MC_Check!$H$2)</f>
        <v>0</v>
      </c>
      <c r="W109" t="str">
        <f>_xlfn.TEXTJOIN("",,"*SOCKET0**CBB",misc[[#This Row],[CBB]],"**COMPUTE",misc[[#This Row],[Compute]],"**MODULE",misc[[#This Row],[Module]],splitchar,"**CORE**DCU*CR*MC1*STATUS**")</f>
        <v>*SOCKET0**CBB3**COMPUTE1**MODULE10__**CORE**DCU*CR*MC1*STATUS**</v>
      </c>
      <c r="X109">
        <f>COUNTIFS(core_mc[TestName],misc[[#This Row],[DCU_MCA_String]],core_mc[VisualId],MC_Check!$H$2)</f>
        <v>0</v>
      </c>
      <c r="Y109" t="str">
        <f>_xlfn.TEXTJOIN("",,"*SOCKET0**CBB",misc[[#This Row],[CBB]],"**COMPUTE",misc[[#This Row],[Compute]],"**MODULE",misc[[#This Row],[Module]],splitchar,"**CORE**DTLB*CR*MC2*STATUS**")</f>
        <v>*SOCKET0**CBB3**COMPUTE1**MODULE10__**CORE**DTLB*CR*MC2*STATUS**</v>
      </c>
      <c r="Z109">
        <f>COUNTIFS(core_mc[TestName],misc[[#This Row],[CORE_DTLB_String]],core_mc[VisualId],MC_Check!$H$2)</f>
        <v>0</v>
      </c>
      <c r="AA109" t="str">
        <f>_xlfn.TEXTJOIN("",,"*SOCKET0**CBB",misc[[#This Row],[CBB]],"**COMPUTE",misc[[#This Row],[Compute]],"**MODULE",misc[[#This Row],[Module]],splitchar,"**ML2*CR*MC3*STATUS**")</f>
        <v>*SOCKET0**CBB3**COMPUTE1**MODULE10__**ML2*CR*MC3*STATUS**</v>
      </c>
      <c r="AB109">
        <f>COUNTIFS(core_mc[TestName],misc[[#This Row],[Core_ML2_String]],core_mc[VisualId],MC_Check!$H$2)</f>
        <v>0</v>
      </c>
      <c r="AC109" t="str">
        <f>_xlfn.TEXTJOIN("",,"*SOCKET0**CBB",misc[[#This Row],[CBB]],"**COMPUTE",misc[[#This Row],[Compute]],"**MODULE",misc[[#This Row],[Module]],splitchar,"SPARE")</f>
        <v>*SOCKET0**CBB3**COMPUTE1**MODULE10__SPARE</v>
      </c>
      <c r="AD109">
        <f>COUNTIFS(core_mc[TestName],misc[[#This Row],[Core_L2_String - SPARE]],core_mc[VisualId],MC_Check!$H$2)</f>
        <v>0</v>
      </c>
      <c r="AE109">
        <f>misc[[#This Row],[Core_DTLB_Count]]+misc[[#This Row],[Core_DCU_Count]]+misc[[#This Row],[Core_IFU_Count]]+misc[[#This Row],[Core_ROB_Count]]+misc[[#This Row],[Core_L2_Count - SPARE]]+misc[[#This Row],[Core_ML2_Count]]</f>
        <v>0</v>
      </c>
      <c r="AF109" t="str">
        <f>_xlfn.TEXTJOIN(", ",,IF(misc[[#This Row],[Core_IFU_Count]]&gt;0,"IFU",""),IF(misc[[#This Row],[Core_DCU_Count]]&gt;0,"DCU",""),IF(misc[[#This Row],[Core_DTLB_Count]]&gt;0,"DTLB",""),IF(misc[[#This Row],[Core_ROB_Count]]&gt;0,"ROB",""),IF(misc[[#This Row],[Core_ML2_Count]]&gt;0,"ML2",""),IF(misc[[#This Row],[Core_L2_Count - SPARE]]&gt;0,"L2",""))</f>
        <v/>
      </c>
      <c r="AG109" t="str">
        <f>_xlfn.TEXTJOIN("",,"*SOCKET0**CBB",misc[[#This Row],[CBB]],"**BASE**I_CCF**ENV",misc[[#This Row],[ENV]],splitchar,"CBREGS_ALL",misc[[#This Row],[CBO]],splitchar,"SPARE")</f>
        <v>*SOCKET0**CBB3**BASE**I_CCF**ENV2__CBREGS_ALL22__SPARE</v>
      </c>
      <c r="AH109">
        <f>COUNTIFS(cha_mc[TestName],misc[[#This Row],[LLC_MCA_String - Not Used]],cha_mc[VisualId],MC_Check!$H$2)</f>
        <v>0</v>
      </c>
    </row>
    <row r="110" spans="6:34" x14ac:dyDescent="0.3">
      <c r="F110">
        <v>3</v>
      </c>
      <c r="G110">
        <v>11</v>
      </c>
      <c r="H110" s="61">
        <f>IF(MC_Check!$AN$2="PHY",misc[[#This Row],[location]],misc[[#This Row],[Module_log]])</f>
        <v>11</v>
      </c>
      <c r="I110" s="61">
        <f>misc[[#This Row],[Module]]</f>
        <v>11</v>
      </c>
      <c r="J110" s="61">
        <f t="shared" si="6"/>
        <v>1</v>
      </c>
      <c r="K110" s="61">
        <f t="shared" si="5"/>
        <v>2</v>
      </c>
      <c r="L110" s="61">
        <v>3</v>
      </c>
      <c r="M110" s="61" t="str">
        <f>_xlfn.TEXTJOIN("",,misc[[#This Row],[ROW]],misc[[#This Row],[ROW]])</f>
        <v>22</v>
      </c>
      <c r="N110" s="5" t="b">
        <f>misc[[#This Row],[Core_Hitter_Count]]&gt;0</f>
        <v>0</v>
      </c>
      <c r="O110" t="b">
        <f>misc[[#This Row],[LLC_Hitter_Count]]&gt;0</f>
        <v>0</v>
      </c>
      <c r="P110" t="b">
        <f>misc[[#This Row],[CHA_Hitter_Count]]&gt;0</f>
        <v>0</v>
      </c>
      <c r="Q110" t="str">
        <f>_xlfn.TEXTJOIN("",,"*SOCKET0**CBB",misc[[#This Row],[CBB]],"**BASE**I_CCF_ENV",misc[[#This Row],[ENV]],splitchar,"CBREGS_ALL",misc[[#This Row],[CBO]],splitchar,"MC_STATUS*")</f>
        <v>*SOCKET0**CBB3**BASE**I_CCF_ENV3__CBREGS_ALL22__MC_STATUS*</v>
      </c>
      <c r="R110">
        <f>COUNTIFS(cha_mc[TestName],misc[[#This Row],[CBO_MCA_String]],cha_mc[VisualId],MC_Check!$H$2)</f>
        <v>0</v>
      </c>
      <c r="S110" t="str">
        <f>_xlfn.TEXTJOIN("",,"*SOCKET0**CBB",misc[[#This Row],[CBB]],"**COMPUTE",misc[[#This Row],[Compute]],"**MODULE",misc[[#This Row],[Module]],splitchar,"**CORE**IFU*CR*MC0*STATUS**")</f>
        <v>*SOCKET0**CBB3**COMPUTE1**MODULE11__**CORE**IFU*CR*MC0*STATUS**</v>
      </c>
      <c r="T110">
        <f>COUNTIFS(core_mc[TestName],misc[[#This Row],[IFU_MCA_String]],core_mc[VisualId],MC_Check!$H$2)</f>
        <v>0</v>
      </c>
      <c r="U110" t="str">
        <f>_xlfn.TEXTJOIN("",,"*SOCKET0**CBB",misc[[#This Row],[CBB]],"**COMPUTE",misc[[#This Row],[Compute]],"**MODULE",misc[[#This Row],[Module]],splitchar,"**CORE**ROB1*CR*MC*STATUS**")</f>
        <v>*SOCKET0**CBB3**COMPUTE1**MODULE11__**CORE**ROB1*CR*MC*STATUS**</v>
      </c>
      <c r="V110">
        <f>COUNTIFS(core_mc[TestName],misc[[#This Row],[ROB_MCA_String]],core_mc[VisualId],MC_Check!$H$2)</f>
        <v>0</v>
      </c>
      <c r="W110" t="str">
        <f>_xlfn.TEXTJOIN("",,"*SOCKET0**CBB",misc[[#This Row],[CBB]],"**COMPUTE",misc[[#This Row],[Compute]],"**MODULE",misc[[#This Row],[Module]],splitchar,"**CORE**DCU*CR*MC1*STATUS**")</f>
        <v>*SOCKET0**CBB3**COMPUTE1**MODULE11__**CORE**DCU*CR*MC1*STATUS**</v>
      </c>
      <c r="X110">
        <f>COUNTIFS(core_mc[TestName],misc[[#This Row],[DCU_MCA_String]],core_mc[VisualId],MC_Check!$H$2)</f>
        <v>0</v>
      </c>
      <c r="Y110" t="str">
        <f>_xlfn.TEXTJOIN("",,"*SOCKET0**CBB",misc[[#This Row],[CBB]],"**COMPUTE",misc[[#This Row],[Compute]],"**MODULE",misc[[#This Row],[Module]],splitchar,"**CORE**DTLB*CR*MC2*STATUS**")</f>
        <v>*SOCKET0**CBB3**COMPUTE1**MODULE11__**CORE**DTLB*CR*MC2*STATUS**</v>
      </c>
      <c r="Z110">
        <f>COUNTIFS(core_mc[TestName],misc[[#This Row],[CORE_DTLB_String]],core_mc[VisualId],MC_Check!$H$2)</f>
        <v>0</v>
      </c>
      <c r="AA110" t="str">
        <f>_xlfn.TEXTJOIN("",,"*SOCKET0**CBB",misc[[#This Row],[CBB]],"**COMPUTE",misc[[#This Row],[Compute]],"**MODULE",misc[[#This Row],[Module]],splitchar,"**ML2*CR*MC3*STATUS**")</f>
        <v>*SOCKET0**CBB3**COMPUTE1**MODULE11__**ML2*CR*MC3*STATUS**</v>
      </c>
      <c r="AB110">
        <f>COUNTIFS(core_mc[TestName],misc[[#This Row],[Core_ML2_String]],core_mc[VisualId],MC_Check!$H$2)</f>
        <v>0</v>
      </c>
      <c r="AC110" t="str">
        <f>_xlfn.TEXTJOIN("",,"*SOCKET0**CBB",misc[[#This Row],[CBB]],"**COMPUTE",misc[[#This Row],[Compute]],"**MODULE",misc[[#This Row],[Module]],splitchar,"SPARE")</f>
        <v>*SOCKET0**CBB3**COMPUTE1**MODULE11__SPARE</v>
      </c>
      <c r="AD110">
        <f>COUNTIFS(core_mc[TestName],misc[[#This Row],[Core_L2_String - SPARE]],core_mc[VisualId],MC_Check!$H$2)</f>
        <v>0</v>
      </c>
      <c r="AE110">
        <f>misc[[#This Row],[Core_DTLB_Count]]+misc[[#This Row],[Core_DCU_Count]]+misc[[#This Row],[Core_IFU_Count]]+misc[[#This Row],[Core_ROB_Count]]+misc[[#This Row],[Core_L2_Count - SPARE]]+misc[[#This Row],[Core_ML2_Count]]</f>
        <v>0</v>
      </c>
      <c r="AF110" t="str">
        <f>_xlfn.TEXTJOIN(", ",,IF(misc[[#This Row],[Core_IFU_Count]]&gt;0,"IFU",""),IF(misc[[#This Row],[Core_DCU_Count]]&gt;0,"DCU",""),IF(misc[[#This Row],[Core_DTLB_Count]]&gt;0,"DTLB",""),IF(misc[[#This Row],[Core_ROB_Count]]&gt;0,"ROB",""),IF(misc[[#This Row],[Core_ML2_Count]]&gt;0,"ML2",""),IF(misc[[#This Row],[Core_L2_Count - SPARE]]&gt;0,"L2",""))</f>
        <v/>
      </c>
      <c r="AG110" t="str">
        <f>_xlfn.TEXTJOIN("",,"*SOCKET0**CBB",misc[[#This Row],[CBB]],"**BASE**I_CCF**ENV",misc[[#This Row],[ENV]],splitchar,"CBREGS_ALL",misc[[#This Row],[CBO]],splitchar,"SPARE")</f>
        <v>*SOCKET0**CBB3**BASE**I_CCF**ENV3__CBREGS_ALL22__SPARE</v>
      </c>
      <c r="AH110">
        <f>COUNTIFS(cha_mc[TestName],misc[[#This Row],[LLC_MCA_String - Not Used]],cha_mc[VisualId],MC_Check!$H$2)</f>
        <v>0</v>
      </c>
    </row>
    <row r="111" spans="6:34" x14ac:dyDescent="0.3">
      <c r="F111">
        <v>3</v>
      </c>
      <c r="G111">
        <v>12</v>
      </c>
      <c r="H111" s="61">
        <f>IF(MC_Check!$AN$2="PHY",misc[[#This Row],[location]],misc[[#This Row],[Module_log]])</f>
        <v>12</v>
      </c>
      <c r="I111" s="61">
        <f>misc[[#This Row],[Module]]</f>
        <v>12</v>
      </c>
      <c r="J111" s="61">
        <f t="shared" si="6"/>
        <v>1</v>
      </c>
      <c r="K111" s="61">
        <f>K107+1</f>
        <v>3</v>
      </c>
      <c r="L111" s="61">
        <v>0</v>
      </c>
      <c r="M111" s="61" t="str">
        <f>_xlfn.TEXTJOIN("",,misc[[#This Row],[ROW]],misc[[#This Row],[ROW]])</f>
        <v>33</v>
      </c>
      <c r="N111" s="5" t="b">
        <f>misc[[#This Row],[Core_Hitter_Count]]&gt;0</f>
        <v>0</v>
      </c>
      <c r="O111" t="b">
        <f>misc[[#This Row],[LLC_Hitter_Count]]&gt;0</f>
        <v>0</v>
      </c>
      <c r="P111" t="b">
        <f>misc[[#This Row],[CHA_Hitter_Count]]&gt;0</f>
        <v>0</v>
      </c>
      <c r="Q111" t="str">
        <f>_xlfn.TEXTJOIN("",,"*SOCKET0**CBB",misc[[#This Row],[CBB]],"**BASE**I_CCF_ENV",misc[[#This Row],[ENV]],splitchar,"CBREGS_ALL",misc[[#This Row],[CBO]],splitchar,"MC_STATUS*")</f>
        <v>*SOCKET0**CBB3**BASE**I_CCF_ENV0__CBREGS_ALL33__MC_STATUS*</v>
      </c>
      <c r="R111">
        <f>COUNTIFS(cha_mc[TestName],misc[[#This Row],[CBO_MCA_String]],cha_mc[VisualId],MC_Check!$H$2)</f>
        <v>0</v>
      </c>
      <c r="S111" t="str">
        <f>_xlfn.TEXTJOIN("",,"*SOCKET0**CBB",misc[[#This Row],[CBB]],"**COMPUTE",misc[[#This Row],[Compute]],"**MODULE",misc[[#This Row],[Module]],splitchar,"**CORE**IFU*CR*MC0*STATUS**")</f>
        <v>*SOCKET0**CBB3**COMPUTE1**MODULE12__**CORE**IFU*CR*MC0*STATUS**</v>
      </c>
      <c r="T111">
        <f>COUNTIFS(core_mc[TestName],misc[[#This Row],[IFU_MCA_String]],core_mc[VisualId],MC_Check!$H$2)</f>
        <v>0</v>
      </c>
      <c r="U111" t="str">
        <f>_xlfn.TEXTJOIN("",,"*SOCKET0**CBB",misc[[#This Row],[CBB]],"**COMPUTE",misc[[#This Row],[Compute]],"**MODULE",misc[[#This Row],[Module]],splitchar,"**CORE**ROB1*CR*MC*STATUS**")</f>
        <v>*SOCKET0**CBB3**COMPUTE1**MODULE12__**CORE**ROB1*CR*MC*STATUS**</v>
      </c>
      <c r="V111">
        <f>COUNTIFS(core_mc[TestName],misc[[#This Row],[ROB_MCA_String]],core_mc[VisualId],MC_Check!$H$2)</f>
        <v>0</v>
      </c>
      <c r="W111" t="str">
        <f>_xlfn.TEXTJOIN("",,"*SOCKET0**CBB",misc[[#This Row],[CBB]],"**COMPUTE",misc[[#This Row],[Compute]],"**MODULE",misc[[#This Row],[Module]],splitchar,"**CORE**DCU*CR*MC1*STATUS**")</f>
        <v>*SOCKET0**CBB3**COMPUTE1**MODULE12__**CORE**DCU*CR*MC1*STATUS**</v>
      </c>
      <c r="X111">
        <f>COUNTIFS(core_mc[TestName],misc[[#This Row],[DCU_MCA_String]],core_mc[VisualId],MC_Check!$H$2)</f>
        <v>0</v>
      </c>
      <c r="Y111" t="str">
        <f>_xlfn.TEXTJOIN("",,"*SOCKET0**CBB",misc[[#This Row],[CBB]],"**COMPUTE",misc[[#This Row],[Compute]],"**MODULE",misc[[#This Row],[Module]],splitchar,"**CORE**DTLB*CR*MC2*STATUS**")</f>
        <v>*SOCKET0**CBB3**COMPUTE1**MODULE12__**CORE**DTLB*CR*MC2*STATUS**</v>
      </c>
      <c r="Z111">
        <f>COUNTIFS(core_mc[TestName],misc[[#This Row],[CORE_DTLB_String]],core_mc[VisualId],MC_Check!$H$2)</f>
        <v>0</v>
      </c>
      <c r="AA111" t="str">
        <f>_xlfn.TEXTJOIN("",,"*SOCKET0**CBB",misc[[#This Row],[CBB]],"**COMPUTE",misc[[#This Row],[Compute]],"**MODULE",misc[[#This Row],[Module]],splitchar,"**ML2*CR*MC3*STATUS**")</f>
        <v>*SOCKET0**CBB3**COMPUTE1**MODULE12__**ML2*CR*MC3*STATUS**</v>
      </c>
      <c r="AB111">
        <f>COUNTIFS(core_mc[TestName],misc[[#This Row],[Core_ML2_String]],core_mc[VisualId],MC_Check!$H$2)</f>
        <v>0</v>
      </c>
      <c r="AC111" t="str">
        <f>_xlfn.TEXTJOIN("",,"*SOCKET0**CBB",misc[[#This Row],[CBB]],"**COMPUTE",misc[[#This Row],[Compute]],"**MODULE",misc[[#This Row],[Module]],splitchar,"SPARE")</f>
        <v>*SOCKET0**CBB3**COMPUTE1**MODULE12__SPARE</v>
      </c>
      <c r="AD111">
        <f>COUNTIFS(core_mc[TestName],misc[[#This Row],[Core_L2_String - SPARE]],core_mc[VisualId],MC_Check!$H$2)</f>
        <v>0</v>
      </c>
      <c r="AE111">
        <f>misc[[#This Row],[Core_DTLB_Count]]+misc[[#This Row],[Core_DCU_Count]]+misc[[#This Row],[Core_IFU_Count]]+misc[[#This Row],[Core_ROB_Count]]+misc[[#This Row],[Core_L2_Count - SPARE]]+misc[[#This Row],[Core_ML2_Count]]</f>
        <v>0</v>
      </c>
      <c r="AF111" t="str">
        <f>_xlfn.TEXTJOIN(", ",,IF(misc[[#This Row],[Core_IFU_Count]]&gt;0,"IFU",""),IF(misc[[#This Row],[Core_DCU_Count]]&gt;0,"DCU",""),IF(misc[[#This Row],[Core_DTLB_Count]]&gt;0,"DTLB",""),IF(misc[[#This Row],[Core_ROB_Count]]&gt;0,"ROB",""),IF(misc[[#This Row],[Core_ML2_Count]]&gt;0,"ML2",""),IF(misc[[#This Row],[Core_L2_Count - SPARE]]&gt;0,"L2",""))</f>
        <v/>
      </c>
      <c r="AG111" t="str">
        <f>_xlfn.TEXTJOIN("",,"*SOCKET0**CBB",misc[[#This Row],[CBB]],"**BASE**I_CCF**ENV",misc[[#This Row],[ENV]],splitchar,"CBREGS_ALL",misc[[#This Row],[CBO]],splitchar,"SPARE")</f>
        <v>*SOCKET0**CBB3**BASE**I_CCF**ENV0__CBREGS_ALL33__SPARE</v>
      </c>
      <c r="AH111">
        <f>COUNTIFS(cha_mc[TestName],misc[[#This Row],[LLC_MCA_String - Not Used]],cha_mc[VisualId],MC_Check!$H$2)</f>
        <v>0</v>
      </c>
    </row>
    <row r="112" spans="6:34" x14ac:dyDescent="0.3">
      <c r="F112">
        <v>3</v>
      </c>
      <c r="G112">
        <v>13</v>
      </c>
      <c r="H112" s="61">
        <f>IF(MC_Check!$AN$2="PHY",misc[[#This Row],[location]],misc[[#This Row],[Module_log]])</f>
        <v>13</v>
      </c>
      <c r="I112" s="61">
        <f>misc[[#This Row],[Module]]</f>
        <v>13</v>
      </c>
      <c r="J112" s="61">
        <f t="shared" si="6"/>
        <v>1</v>
      </c>
      <c r="K112" s="61">
        <f t="shared" si="5"/>
        <v>3</v>
      </c>
      <c r="L112" s="61">
        <v>1</v>
      </c>
      <c r="M112" s="61" t="str">
        <f>_xlfn.TEXTJOIN("",,misc[[#This Row],[ROW]],misc[[#This Row],[ROW]])</f>
        <v>33</v>
      </c>
      <c r="N112" s="5" t="b">
        <f>misc[[#This Row],[Core_Hitter_Count]]&gt;0</f>
        <v>0</v>
      </c>
      <c r="O112" t="b">
        <f>misc[[#This Row],[LLC_Hitter_Count]]&gt;0</f>
        <v>0</v>
      </c>
      <c r="P112" t="b">
        <f>misc[[#This Row],[CHA_Hitter_Count]]&gt;0</f>
        <v>0</v>
      </c>
      <c r="Q112" t="str">
        <f>_xlfn.TEXTJOIN("",,"*SOCKET0**CBB",misc[[#This Row],[CBB]],"**BASE**I_CCF_ENV",misc[[#This Row],[ENV]],splitchar,"CBREGS_ALL",misc[[#This Row],[CBO]],splitchar,"MC_STATUS*")</f>
        <v>*SOCKET0**CBB3**BASE**I_CCF_ENV1__CBREGS_ALL33__MC_STATUS*</v>
      </c>
      <c r="R112">
        <f>COUNTIFS(cha_mc[TestName],misc[[#This Row],[CBO_MCA_String]],cha_mc[VisualId],MC_Check!$H$2)</f>
        <v>0</v>
      </c>
      <c r="S112" t="str">
        <f>_xlfn.TEXTJOIN("",,"*SOCKET0**CBB",misc[[#This Row],[CBB]],"**COMPUTE",misc[[#This Row],[Compute]],"**MODULE",misc[[#This Row],[Module]],splitchar,"**CORE**IFU*CR*MC0*STATUS**")</f>
        <v>*SOCKET0**CBB3**COMPUTE1**MODULE13__**CORE**IFU*CR*MC0*STATUS**</v>
      </c>
      <c r="T112">
        <f>COUNTIFS(core_mc[TestName],misc[[#This Row],[IFU_MCA_String]],core_mc[VisualId],MC_Check!$H$2)</f>
        <v>0</v>
      </c>
      <c r="U112" t="str">
        <f>_xlfn.TEXTJOIN("",,"*SOCKET0**CBB",misc[[#This Row],[CBB]],"**COMPUTE",misc[[#This Row],[Compute]],"**MODULE",misc[[#This Row],[Module]],splitchar,"**CORE**ROB1*CR*MC*STATUS**")</f>
        <v>*SOCKET0**CBB3**COMPUTE1**MODULE13__**CORE**ROB1*CR*MC*STATUS**</v>
      </c>
      <c r="V112">
        <f>COUNTIFS(core_mc[TestName],misc[[#This Row],[ROB_MCA_String]],core_mc[VisualId],MC_Check!$H$2)</f>
        <v>0</v>
      </c>
      <c r="W112" t="str">
        <f>_xlfn.TEXTJOIN("",,"*SOCKET0**CBB",misc[[#This Row],[CBB]],"**COMPUTE",misc[[#This Row],[Compute]],"**MODULE",misc[[#This Row],[Module]],splitchar,"**CORE**DCU*CR*MC1*STATUS**")</f>
        <v>*SOCKET0**CBB3**COMPUTE1**MODULE13__**CORE**DCU*CR*MC1*STATUS**</v>
      </c>
      <c r="X112">
        <f>COUNTIFS(core_mc[TestName],misc[[#This Row],[DCU_MCA_String]],core_mc[VisualId],MC_Check!$H$2)</f>
        <v>0</v>
      </c>
      <c r="Y112" t="str">
        <f>_xlfn.TEXTJOIN("",,"*SOCKET0**CBB",misc[[#This Row],[CBB]],"**COMPUTE",misc[[#This Row],[Compute]],"**MODULE",misc[[#This Row],[Module]],splitchar,"**CORE**DTLB*CR*MC2*STATUS**")</f>
        <v>*SOCKET0**CBB3**COMPUTE1**MODULE13__**CORE**DTLB*CR*MC2*STATUS**</v>
      </c>
      <c r="Z112">
        <f>COUNTIFS(core_mc[TestName],misc[[#This Row],[CORE_DTLB_String]],core_mc[VisualId],MC_Check!$H$2)</f>
        <v>0</v>
      </c>
      <c r="AA112" t="str">
        <f>_xlfn.TEXTJOIN("",,"*SOCKET0**CBB",misc[[#This Row],[CBB]],"**COMPUTE",misc[[#This Row],[Compute]],"**MODULE",misc[[#This Row],[Module]],splitchar,"**ML2*CR*MC3*STATUS**")</f>
        <v>*SOCKET0**CBB3**COMPUTE1**MODULE13__**ML2*CR*MC3*STATUS**</v>
      </c>
      <c r="AB112">
        <f>COUNTIFS(core_mc[TestName],misc[[#This Row],[Core_ML2_String]],core_mc[VisualId],MC_Check!$H$2)</f>
        <v>0</v>
      </c>
      <c r="AC112" t="str">
        <f>_xlfn.TEXTJOIN("",,"*SOCKET0**CBB",misc[[#This Row],[CBB]],"**COMPUTE",misc[[#This Row],[Compute]],"**MODULE",misc[[#This Row],[Module]],splitchar,"SPARE")</f>
        <v>*SOCKET0**CBB3**COMPUTE1**MODULE13__SPARE</v>
      </c>
      <c r="AD112">
        <f>COUNTIFS(core_mc[TestName],misc[[#This Row],[Core_L2_String - SPARE]],core_mc[VisualId],MC_Check!$H$2)</f>
        <v>0</v>
      </c>
      <c r="AE112">
        <f>misc[[#This Row],[Core_DTLB_Count]]+misc[[#This Row],[Core_DCU_Count]]+misc[[#This Row],[Core_IFU_Count]]+misc[[#This Row],[Core_ROB_Count]]+misc[[#This Row],[Core_L2_Count - SPARE]]+misc[[#This Row],[Core_ML2_Count]]</f>
        <v>0</v>
      </c>
      <c r="AF112" t="str">
        <f>_xlfn.TEXTJOIN(", ",,IF(misc[[#This Row],[Core_IFU_Count]]&gt;0,"IFU",""),IF(misc[[#This Row],[Core_DCU_Count]]&gt;0,"DCU",""),IF(misc[[#This Row],[Core_DTLB_Count]]&gt;0,"DTLB",""),IF(misc[[#This Row],[Core_ROB_Count]]&gt;0,"ROB",""),IF(misc[[#This Row],[Core_ML2_Count]]&gt;0,"ML2",""),IF(misc[[#This Row],[Core_L2_Count - SPARE]]&gt;0,"L2",""))</f>
        <v/>
      </c>
      <c r="AG112" t="str">
        <f>_xlfn.TEXTJOIN("",,"*SOCKET0**CBB",misc[[#This Row],[CBB]],"**BASE**I_CCF**ENV",misc[[#This Row],[ENV]],splitchar,"CBREGS_ALL",misc[[#This Row],[CBO]],splitchar,"SPARE")</f>
        <v>*SOCKET0**CBB3**BASE**I_CCF**ENV1__CBREGS_ALL33__SPARE</v>
      </c>
      <c r="AH112">
        <f>COUNTIFS(cha_mc[TestName],misc[[#This Row],[LLC_MCA_String - Not Used]],cha_mc[VisualId],MC_Check!$H$2)</f>
        <v>0</v>
      </c>
    </row>
    <row r="113" spans="6:34" x14ac:dyDescent="0.3">
      <c r="F113">
        <v>3</v>
      </c>
      <c r="G113">
        <v>14</v>
      </c>
      <c r="H113" s="61">
        <f>IF(MC_Check!$AN$2="PHY",misc[[#This Row],[location]],misc[[#This Row],[Module_log]])</f>
        <v>14</v>
      </c>
      <c r="I113" s="61">
        <f>misc[[#This Row],[Module]]</f>
        <v>14</v>
      </c>
      <c r="J113" s="61">
        <f t="shared" si="6"/>
        <v>1</v>
      </c>
      <c r="K113" s="61">
        <f t="shared" si="5"/>
        <v>3</v>
      </c>
      <c r="L113" s="61">
        <v>2</v>
      </c>
      <c r="M113" s="61" t="str">
        <f>_xlfn.TEXTJOIN("",,misc[[#This Row],[ROW]],misc[[#This Row],[ROW]])</f>
        <v>33</v>
      </c>
      <c r="N113" s="5" t="b">
        <f>misc[[#This Row],[Core_Hitter_Count]]&gt;0</f>
        <v>0</v>
      </c>
      <c r="O113" t="b">
        <f>misc[[#This Row],[LLC_Hitter_Count]]&gt;0</f>
        <v>0</v>
      </c>
      <c r="P113" t="b">
        <f>misc[[#This Row],[CHA_Hitter_Count]]&gt;0</f>
        <v>0</v>
      </c>
      <c r="Q113" t="str">
        <f>_xlfn.TEXTJOIN("",,"*SOCKET0**CBB",misc[[#This Row],[CBB]],"**BASE**I_CCF_ENV",misc[[#This Row],[ENV]],splitchar,"CBREGS_ALL",misc[[#This Row],[CBO]],splitchar,"MC_STATUS*")</f>
        <v>*SOCKET0**CBB3**BASE**I_CCF_ENV2__CBREGS_ALL33__MC_STATUS*</v>
      </c>
      <c r="R113">
        <f>COUNTIFS(cha_mc[TestName],misc[[#This Row],[CBO_MCA_String]],cha_mc[VisualId],MC_Check!$H$2)</f>
        <v>0</v>
      </c>
      <c r="S113" t="str">
        <f>_xlfn.TEXTJOIN("",,"*SOCKET0**CBB",misc[[#This Row],[CBB]],"**COMPUTE",misc[[#This Row],[Compute]],"**MODULE",misc[[#This Row],[Module]],splitchar,"**CORE**IFU*CR*MC0*STATUS**")</f>
        <v>*SOCKET0**CBB3**COMPUTE1**MODULE14__**CORE**IFU*CR*MC0*STATUS**</v>
      </c>
      <c r="T113">
        <f>COUNTIFS(core_mc[TestName],misc[[#This Row],[IFU_MCA_String]],core_mc[VisualId],MC_Check!$H$2)</f>
        <v>0</v>
      </c>
      <c r="U113" t="str">
        <f>_xlfn.TEXTJOIN("",,"*SOCKET0**CBB",misc[[#This Row],[CBB]],"**COMPUTE",misc[[#This Row],[Compute]],"**MODULE",misc[[#This Row],[Module]],splitchar,"**CORE**ROB1*CR*MC*STATUS**")</f>
        <v>*SOCKET0**CBB3**COMPUTE1**MODULE14__**CORE**ROB1*CR*MC*STATUS**</v>
      </c>
      <c r="V113">
        <f>COUNTIFS(core_mc[TestName],misc[[#This Row],[ROB_MCA_String]],core_mc[VisualId],MC_Check!$H$2)</f>
        <v>0</v>
      </c>
      <c r="W113" t="str">
        <f>_xlfn.TEXTJOIN("",,"*SOCKET0**CBB",misc[[#This Row],[CBB]],"**COMPUTE",misc[[#This Row],[Compute]],"**MODULE",misc[[#This Row],[Module]],splitchar,"**CORE**DCU*CR*MC1*STATUS**")</f>
        <v>*SOCKET0**CBB3**COMPUTE1**MODULE14__**CORE**DCU*CR*MC1*STATUS**</v>
      </c>
      <c r="X113">
        <f>COUNTIFS(core_mc[TestName],misc[[#This Row],[DCU_MCA_String]],core_mc[VisualId],MC_Check!$H$2)</f>
        <v>0</v>
      </c>
      <c r="Y113" t="str">
        <f>_xlfn.TEXTJOIN("",,"*SOCKET0**CBB",misc[[#This Row],[CBB]],"**COMPUTE",misc[[#This Row],[Compute]],"**MODULE",misc[[#This Row],[Module]],splitchar,"**CORE**DTLB*CR*MC2*STATUS**")</f>
        <v>*SOCKET0**CBB3**COMPUTE1**MODULE14__**CORE**DTLB*CR*MC2*STATUS**</v>
      </c>
      <c r="Z113">
        <f>COUNTIFS(core_mc[TestName],misc[[#This Row],[CORE_DTLB_String]],core_mc[VisualId],MC_Check!$H$2)</f>
        <v>0</v>
      </c>
      <c r="AA113" t="str">
        <f>_xlfn.TEXTJOIN("",,"*SOCKET0**CBB",misc[[#This Row],[CBB]],"**COMPUTE",misc[[#This Row],[Compute]],"**MODULE",misc[[#This Row],[Module]],splitchar,"**ML2*CR*MC3*STATUS**")</f>
        <v>*SOCKET0**CBB3**COMPUTE1**MODULE14__**ML2*CR*MC3*STATUS**</v>
      </c>
      <c r="AB113">
        <f>COUNTIFS(core_mc[TestName],misc[[#This Row],[Core_ML2_String]],core_mc[VisualId],MC_Check!$H$2)</f>
        <v>0</v>
      </c>
      <c r="AC113" t="str">
        <f>_xlfn.TEXTJOIN("",,"*SOCKET0**CBB",misc[[#This Row],[CBB]],"**COMPUTE",misc[[#This Row],[Compute]],"**MODULE",misc[[#This Row],[Module]],splitchar,"SPARE")</f>
        <v>*SOCKET0**CBB3**COMPUTE1**MODULE14__SPARE</v>
      </c>
      <c r="AD113">
        <f>COUNTIFS(core_mc[TestName],misc[[#This Row],[Core_L2_String - SPARE]],core_mc[VisualId],MC_Check!$H$2)</f>
        <v>0</v>
      </c>
      <c r="AE113">
        <f>misc[[#This Row],[Core_DTLB_Count]]+misc[[#This Row],[Core_DCU_Count]]+misc[[#This Row],[Core_IFU_Count]]+misc[[#This Row],[Core_ROB_Count]]+misc[[#This Row],[Core_L2_Count - SPARE]]+misc[[#This Row],[Core_ML2_Count]]</f>
        <v>0</v>
      </c>
      <c r="AF113" t="str">
        <f>_xlfn.TEXTJOIN(", ",,IF(misc[[#This Row],[Core_IFU_Count]]&gt;0,"IFU",""),IF(misc[[#This Row],[Core_DCU_Count]]&gt;0,"DCU",""),IF(misc[[#This Row],[Core_DTLB_Count]]&gt;0,"DTLB",""),IF(misc[[#This Row],[Core_ROB_Count]]&gt;0,"ROB",""),IF(misc[[#This Row],[Core_ML2_Count]]&gt;0,"ML2",""),IF(misc[[#This Row],[Core_L2_Count - SPARE]]&gt;0,"L2",""))</f>
        <v/>
      </c>
      <c r="AG113" t="str">
        <f>_xlfn.TEXTJOIN("",,"*SOCKET0**CBB",misc[[#This Row],[CBB]],"**BASE**I_CCF**ENV",misc[[#This Row],[ENV]],splitchar,"CBREGS_ALL",misc[[#This Row],[CBO]],splitchar,"SPARE")</f>
        <v>*SOCKET0**CBB3**BASE**I_CCF**ENV2__CBREGS_ALL33__SPARE</v>
      </c>
      <c r="AH113">
        <f>COUNTIFS(cha_mc[TestName],misc[[#This Row],[LLC_MCA_String - Not Used]],cha_mc[VisualId],MC_Check!$H$2)</f>
        <v>0</v>
      </c>
    </row>
    <row r="114" spans="6:34" x14ac:dyDescent="0.3">
      <c r="F114">
        <v>3</v>
      </c>
      <c r="G114">
        <v>15</v>
      </c>
      <c r="H114" s="61">
        <f>IF(MC_Check!$AN$2="PHY",misc[[#This Row],[location]],misc[[#This Row],[Module_log]])</f>
        <v>15</v>
      </c>
      <c r="I114" s="61">
        <f>misc[[#This Row],[Module]]</f>
        <v>15</v>
      </c>
      <c r="J114" s="61">
        <f t="shared" si="6"/>
        <v>1</v>
      </c>
      <c r="K114" s="61">
        <f t="shared" si="5"/>
        <v>3</v>
      </c>
      <c r="L114" s="61">
        <v>3</v>
      </c>
      <c r="M114" s="61" t="str">
        <f>_xlfn.TEXTJOIN("",,misc[[#This Row],[ROW]],misc[[#This Row],[ROW]])</f>
        <v>33</v>
      </c>
      <c r="N114" s="5" t="b">
        <f>misc[[#This Row],[Core_Hitter_Count]]&gt;0</f>
        <v>0</v>
      </c>
      <c r="O114" t="b">
        <f>misc[[#This Row],[LLC_Hitter_Count]]&gt;0</f>
        <v>0</v>
      </c>
      <c r="P114" t="b">
        <f>misc[[#This Row],[CHA_Hitter_Count]]&gt;0</f>
        <v>0</v>
      </c>
      <c r="Q114" t="str">
        <f>_xlfn.TEXTJOIN("",,"*SOCKET0**CBB",misc[[#This Row],[CBB]],"**BASE**I_CCF_ENV",misc[[#This Row],[ENV]],splitchar,"CBREGS_ALL",misc[[#This Row],[CBO]],splitchar,"MC_STATUS*")</f>
        <v>*SOCKET0**CBB3**BASE**I_CCF_ENV3__CBREGS_ALL33__MC_STATUS*</v>
      </c>
      <c r="R114">
        <f>COUNTIFS(cha_mc[TestName],misc[[#This Row],[CBO_MCA_String]],cha_mc[VisualId],MC_Check!$H$2)</f>
        <v>0</v>
      </c>
      <c r="S114" t="str">
        <f>_xlfn.TEXTJOIN("",,"*SOCKET0**CBB",misc[[#This Row],[CBB]],"**COMPUTE",misc[[#This Row],[Compute]],"**MODULE",misc[[#This Row],[Module]],splitchar,"**CORE**IFU*CR*MC0*STATUS**")</f>
        <v>*SOCKET0**CBB3**COMPUTE1**MODULE15__**CORE**IFU*CR*MC0*STATUS**</v>
      </c>
      <c r="T114">
        <f>COUNTIFS(core_mc[TestName],misc[[#This Row],[IFU_MCA_String]],core_mc[VisualId],MC_Check!$H$2)</f>
        <v>0</v>
      </c>
      <c r="U114" t="str">
        <f>_xlfn.TEXTJOIN("",,"*SOCKET0**CBB",misc[[#This Row],[CBB]],"**COMPUTE",misc[[#This Row],[Compute]],"**MODULE",misc[[#This Row],[Module]],splitchar,"**CORE**ROB1*CR*MC*STATUS**")</f>
        <v>*SOCKET0**CBB3**COMPUTE1**MODULE15__**CORE**ROB1*CR*MC*STATUS**</v>
      </c>
      <c r="V114">
        <f>COUNTIFS(core_mc[TestName],misc[[#This Row],[ROB_MCA_String]],core_mc[VisualId],MC_Check!$H$2)</f>
        <v>0</v>
      </c>
      <c r="W114" t="str">
        <f>_xlfn.TEXTJOIN("",,"*SOCKET0**CBB",misc[[#This Row],[CBB]],"**COMPUTE",misc[[#This Row],[Compute]],"**MODULE",misc[[#This Row],[Module]],splitchar,"**CORE**DCU*CR*MC1*STATUS**")</f>
        <v>*SOCKET0**CBB3**COMPUTE1**MODULE15__**CORE**DCU*CR*MC1*STATUS**</v>
      </c>
      <c r="X114">
        <f>COUNTIFS(core_mc[TestName],misc[[#This Row],[DCU_MCA_String]],core_mc[VisualId],MC_Check!$H$2)</f>
        <v>0</v>
      </c>
      <c r="Y114" t="str">
        <f>_xlfn.TEXTJOIN("",,"*SOCKET0**CBB",misc[[#This Row],[CBB]],"**COMPUTE",misc[[#This Row],[Compute]],"**MODULE",misc[[#This Row],[Module]],splitchar,"**CORE**DTLB*CR*MC2*STATUS**")</f>
        <v>*SOCKET0**CBB3**COMPUTE1**MODULE15__**CORE**DTLB*CR*MC2*STATUS**</v>
      </c>
      <c r="Z114">
        <f>COUNTIFS(core_mc[TestName],misc[[#This Row],[CORE_DTLB_String]],core_mc[VisualId],MC_Check!$H$2)</f>
        <v>0</v>
      </c>
      <c r="AA114" t="str">
        <f>_xlfn.TEXTJOIN("",,"*SOCKET0**CBB",misc[[#This Row],[CBB]],"**COMPUTE",misc[[#This Row],[Compute]],"**MODULE",misc[[#This Row],[Module]],splitchar,"**ML2*CR*MC3*STATUS**")</f>
        <v>*SOCKET0**CBB3**COMPUTE1**MODULE15__**ML2*CR*MC3*STATUS**</v>
      </c>
      <c r="AB114">
        <f>COUNTIFS(core_mc[TestName],misc[[#This Row],[Core_ML2_String]],core_mc[VisualId],MC_Check!$H$2)</f>
        <v>0</v>
      </c>
      <c r="AC114" t="str">
        <f>_xlfn.TEXTJOIN("",,"*SOCKET0**CBB",misc[[#This Row],[CBB]],"**COMPUTE",misc[[#This Row],[Compute]],"**MODULE",misc[[#This Row],[Module]],splitchar,"SPARE")</f>
        <v>*SOCKET0**CBB3**COMPUTE1**MODULE15__SPARE</v>
      </c>
      <c r="AD114">
        <f>COUNTIFS(core_mc[TestName],misc[[#This Row],[Core_L2_String - SPARE]],core_mc[VisualId],MC_Check!$H$2)</f>
        <v>0</v>
      </c>
      <c r="AE114">
        <f>misc[[#This Row],[Core_DTLB_Count]]+misc[[#This Row],[Core_DCU_Count]]+misc[[#This Row],[Core_IFU_Count]]+misc[[#This Row],[Core_ROB_Count]]+misc[[#This Row],[Core_L2_Count - SPARE]]+misc[[#This Row],[Core_ML2_Count]]</f>
        <v>0</v>
      </c>
      <c r="AF114" t="str">
        <f>_xlfn.TEXTJOIN(", ",,IF(misc[[#This Row],[Core_IFU_Count]]&gt;0,"IFU",""),IF(misc[[#This Row],[Core_DCU_Count]]&gt;0,"DCU",""),IF(misc[[#This Row],[Core_DTLB_Count]]&gt;0,"DTLB",""),IF(misc[[#This Row],[Core_ROB_Count]]&gt;0,"ROB",""),IF(misc[[#This Row],[Core_ML2_Count]]&gt;0,"ML2",""),IF(misc[[#This Row],[Core_L2_Count - SPARE]]&gt;0,"L2",""))</f>
        <v/>
      </c>
      <c r="AG114" t="str">
        <f>_xlfn.TEXTJOIN("",,"*SOCKET0**CBB",misc[[#This Row],[CBB]],"**BASE**I_CCF**ENV",misc[[#This Row],[ENV]],splitchar,"CBREGS_ALL",misc[[#This Row],[CBO]],splitchar,"SPARE")</f>
        <v>*SOCKET0**CBB3**BASE**I_CCF**ENV3__CBREGS_ALL33__SPARE</v>
      </c>
      <c r="AH114">
        <f>COUNTIFS(cha_mc[TestName],misc[[#This Row],[LLC_MCA_String - Not Used]],cha_mc[VisualId],MC_Check!$H$2)</f>
        <v>0</v>
      </c>
    </row>
    <row r="115" spans="6:34" x14ac:dyDescent="0.3">
      <c r="F115">
        <v>3</v>
      </c>
      <c r="G115">
        <v>16</v>
      </c>
      <c r="H115" s="61">
        <f>IF(MC_Check!$AN$2="PHY",misc[[#This Row],[location]],misc[[#This Row],[Module_log]])</f>
        <v>16</v>
      </c>
      <c r="I115" s="61">
        <f>misc[[#This Row],[Module]]</f>
        <v>16</v>
      </c>
      <c r="J115" s="61">
        <f t="shared" si="6"/>
        <v>2</v>
      </c>
      <c r="K115" s="61">
        <f>K111+1</f>
        <v>4</v>
      </c>
      <c r="L115" s="61">
        <v>0</v>
      </c>
      <c r="M115" s="61" t="str">
        <f>_xlfn.TEXTJOIN("",,misc[[#This Row],[ROW]],misc[[#This Row],[ROW]])</f>
        <v>44</v>
      </c>
      <c r="N115" s="5" t="b">
        <f>misc[[#This Row],[Core_Hitter_Count]]&gt;0</f>
        <v>0</v>
      </c>
      <c r="O115" t="b">
        <f>misc[[#This Row],[LLC_Hitter_Count]]&gt;0</f>
        <v>0</v>
      </c>
      <c r="P115" t="b">
        <f>misc[[#This Row],[CHA_Hitter_Count]]&gt;0</f>
        <v>0</v>
      </c>
      <c r="Q115" t="str">
        <f>_xlfn.TEXTJOIN("",,"*SOCKET0**CBB",misc[[#This Row],[CBB]],"**BASE**I_CCF_ENV",misc[[#This Row],[ENV]],splitchar,"CBREGS_ALL",misc[[#This Row],[CBO]],splitchar,"MC_STATUS*")</f>
        <v>*SOCKET0**CBB3**BASE**I_CCF_ENV0__CBREGS_ALL44__MC_STATUS*</v>
      </c>
      <c r="R115">
        <f>COUNTIFS(cha_mc[TestName],misc[[#This Row],[CBO_MCA_String]],cha_mc[VisualId],MC_Check!$H$2)</f>
        <v>0</v>
      </c>
      <c r="S115" t="str">
        <f>_xlfn.TEXTJOIN("",,"*SOCKET0**CBB",misc[[#This Row],[CBB]],"**COMPUTE",misc[[#This Row],[Compute]],"**MODULE",misc[[#This Row],[Module]],splitchar,"**CORE**IFU*CR*MC0*STATUS**")</f>
        <v>*SOCKET0**CBB3**COMPUTE2**MODULE16__**CORE**IFU*CR*MC0*STATUS**</v>
      </c>
      <c r="T115">
        <f>COUNTIFS(core_mc[TestName],misc[[#This Row],[IFU_MCA_String]],core_mc[VisualId],MC_Check!$H$2)</f>
        <v>0</v>
      </c>
      <c r="U115" t="str">
        <f>_xlfn.TEXTJOIN("",,"*SOCKET0**CBB",misc[[#This Row],[CBB]],"**COMPUTE",misc[[#This Row],[Compute]],"**MODULE",misc[[#This Row],[Module]],splitchar,"**CORE**ROB1*CR*MC*STATUS**")</f>
        <v>*SOCKET0**CBB3**COMPUTE2**MODULE16__**CORE**ROB1*CR*MC*STATUS**</v>
      </c>
      <c r="V115">
        <f>COUNTIFS(core_mc[TestName],misc[[#This Row],[ROB_MCA_String]],core_mc[VisualId],MC_Check!$H$2)</f>
        <v>0</v>
      </c>
      <c r="W115" t="str">
        <f>_xlfn.TEXTJOIN("",,"*SOCKET0**CBB",misc[[#This Row],[CBB]],"**COMPUTE",misc[[#This Row],[Compute]],"**MODULE",misc[[#This Row],[Module]],splitchar,"**CORE**DCU*CR*MC1*STATUS**")</f>
        <v>*SOCKET0**CBB3**COMPUTE2**MODULE16__**CORE**DCU*CR*MC1*STATUS**</v>
      </c>
      <c r="X115">
        <f>COUNTIFS(core_mc[TestName],misc[[#This Row],[DCU_MCA_String]],core_mc[VisualId],MC_Check!$H$2)</f>
        <v>0</v>
      </c>
      <c r="Y115" t="str">
        <f>_xlfn.TEXTJOIN("",,"*SOCKET0**CBB",misc[[#This Row],[CBB]],"**COMPUTE",misc[[#This Row],[Compute]],"**MODULE",misc[[#This Row],[Module]],splitchar,"**CORE**DTLB*CR*MC2*STATUS**")</f>
        <v>*SOCKET0**CBB3**COMPUTE2**MODULE16__**CORE**DTLB*CR*MC2*STATUS**</v>
      </c>
      <c r="Z115">
        <f>COUNTIFS(core_mc[TestName],misc[[#This Row],[CORE_DTLB_String]],core_mc[VisualId],MC_Check!$H$2)</f>
        <v>0</v>
      </c>
      <c r="AA115" t="str">
        <f>_xlfn.TEXTJOIN("",,"*SOCKET0**CBB",misc[[#This Row],[CBB]],"**COMPUTE",misc[[#This Row],[Compute]],"**MODULE",misc[[#This Row],[Module]],splitchar,"**ML2*CR*MC3*STATUS**")</f>
        <v>*SOCKET0**CBB3**COMPUTE2**MODULE16__**ML2*CR*MC3*STATUS**</v>
      </c>
      <c r="AB115">
        <f>COUNTIFS(core_mc[TestName],misc[[#This Row],[Core_ML2_String]],core_mc[VisualId],MC_Check!$H$2)</f>
        <v>0</v>
      </c>
      <c r="AC115" t="str">
        <f>_xlfn.TEXTJOIN("",,"*SOCKET0**CBB",misc[[#This Row],[CBB]],"**COMPUTE",misc[[#This Row],[Compute]],"**MODULE",misc[[#This Row],[Module]],splitchar,"SPARE")</f>
        <v>*SOCKET0**CBB3**COMPUTE2**MODULE16__SPARE</v>
      </c>
      <c r="AD115">
        <f>COUNTIFS(core_mc[TestName],misc[[#This Row],[Core_L2_String - SPARE]],core_mc[VisualId],MC_Check!$H$2)</f>
        <v>0</v>
      </c>
      <c r="AE115">
        <f>misc[[#This Row],[Core_DTLB_Count]]+misc[[#This Row],[Core_DCU_Count]]+misc[[#This Row],[Core_IFU_Count]]+misc[[#This Row],[Core_ROB_Count]]+misc[[#This Row],[Core_L2_Count - SPARE]]+misc[[#This Row],[Core_ML2_Count]]</f>
        <v>0</v>
      </c>
      <c r="AF115" t="str">
        <f>_xlfn.TEXTJOIN(", ",,IF(misc[[#This Row],[Core_IFU_Count]]&gt;0,"IFU",""),IF(misc[[#This Row],[Core_DCU_Count]]&gt;0,"DCU",""),IF(misc[[#This Row],[Core_DTLB_Count]]&gt;0,"DTLB",""),IF(misc[[#This Row],[Core_ROB_Count]]&gt;0,"ROB",""),IF(misc[[#This Row],[Core_ML2_Count]]&gt;0,"ML2",""),IF(misc[[#This Row],[Core_L2_Count - SPARE]]&gt;0,"L2",""))</f>
        <v/>
      </c>
      <c r="AG115" t="str">
        <f>_xlfn.TEXTJOIN("",,"*SOCKET0**CBB",misc[[#This Row],[CBB]],"**BASE**I_CCF**ENV",misc[[#This Row],[ENV]],splitchar,"CBREGS_ALL",misc[[#This Row],[CBO]],splitchar,"SPARE")</f>
        <v>*SOCKET0**CBB3**BASE**I_CCF**ENV0__CBREGS_ALL44__SPARE</v>
      </c>
      <c r="AH115">
        <f>COUNTIFS(cha_mc[TestName],misc[[#This Row],[LLC_MCA_String - Not Used]],cha_mc[VisualId],MC_Check!$H$2)</f>
        <v>0</v>
      </c>
    </row>
    <row r="116" spans="6:34" x14ac:dyDescent="0.3">
      <c r="F116">
        <v>3</v>
      </c>
      <c r="G116">
        <v>17</v>
      </c>
      <c r="H116" s="61">
        <f>IF(MC_Check!$AN$2="PHY",misc[[#This Row],[location]],misc[[#This Row],[Module_log]])</f>
        <v>17</v>
      </c>
      <c r="I116" s="61">
        <f>misc[[#This Row],[Module]]</f>
        <v>17</v>
      </c>
      <c r="J116" s="61">
        <f t="shared" si="6"/>
        <v>2</v>
      </c>
      <c r="K116" s="61">
        <f t="shared" si="5"/>
        <v>4</v>
      </c>
      <c r="L116" s="61">
        <v>1</v>
      </c>
      <c r="M116" s="61" t="str">
        <f>_xlfn.TEXTJOIN("",,misc[[#This Row],[ROW]],misc[[#This Row],[ROW]])</f>
        <v>44</v>
      </c>
      <c r="N116" s="5" t="b">
        <f>misc[[#This Row],[Core_Hitter_Count]]&gt;0</f>
        <v>0</v>
      </c>
      <c r="O116" t="b">
        <f>misc[[#This Row],[LLC_Hitter_Count]]&gt;0</f>
        <v>0</v>
      </c>
      <c r="P116" t="b">
        <f>misc[[#This Row],[CHA_Hitter_Count]]&gt;0</f>
        <v>0</v>
      </c>
      <c r="Q116" t="str">
        <f>_xlfn.TEXTJOIN("",,"*SOCKET0**CBB",misc[[#This Row],[CBB]],"**BASE**I_CCF_ENV",misc[[#This Row],[ENV]],splitchar,"CBREGS_ALL",misc[[#This Row],[CBO]],splitchar,"MC_STATUS*")</f>
        <v>*SOCKET0**CBB3**BASE**I_CCF_ENV1__CBREGS_ALL44__MC_STATUS*</v>
      </c>
      <c r="R116">
        <f>COUNTIFS(cha_mc[TestName],misc[[#This Row],[CBO_MCA_String]],cha_mc[VisualId],MC_Check!$H$2)</f>
        <v>0</v>
      </c>
      <c r="S116" t="str">
        <f>_xlfn.TEXTJOIN("",,"*SOCKET0**CBB",misc[[#This Row],[CBB]],"**COMPUTE",misc[[#This Row],[Compute]],"**MODULE",misc[[#This Row],[Module]],splitchar,"**CORE**IFU*CR*MC0*STATUS**")</f>
        <v>*SOCKET0**CBB3**COMPUTE2**MODULE17__**CORE**IFU*CR*MC0*STATUS**</v>
      </c>
      <c r="T116">
        <f>COUNTIFS(core_mc[TestName],misc[[#This Row],[IFU_MCA_String]],core_mc[VisualId],MC_Check!$H$2)</f>
        <v>0</v>
      </c>
      <c r="U116" t="str">
        <f>_xlfn.TEXTJOIN("",,"*SOCKET0**CBB",misc[[#This Row],[CBB]],"**COMPUTE",misc[[#This Row],[Compute]],"**MODULE",misc[[#This Row],[Module]],splitchar,"**CORE**ROB1*CR*MC*STATUS**")</f>
        <v>*SOCKET0**CBB3**COMPUTE2**MODULE17__**CORE**ROB1*CR*MC*STATUS**</v>
      </c>
      <c r="V116">
        <f>COUNTIFS(core_mc[TestName],misc[[#This Row],[ROB_MCA_String]],core_mc[VisualId],MC_Check!$H$2)</f>
        <v>0</v>
      </c>
      <c r="W116" t="str">
        <f>_xlfn.TEXTJOIN("",,"*SOCKET0**CBB",misc[[#This Row],[CBB]],"**COMPUTE",misc[[#This Row],[Compute]],"**MODULE",misc[[#This Row],[Module]],splitchar,"**CORE**DCU*CR*MC1*STATUS**")</f>
        <v>*SOCKET0**CBB3**COMPUTE2**MODULE17__**CORE**DCU*CR*MC1*STATUS**</v>
      </c>
      <c r="X116">
        <f>COUNTIFS(core_mc[TestName],misc[[#This Row],[DCU_MCA_String]],core_mc[VisualId],MC_Check!$H$2)</f>
        <v>0</v>
      </c>
      <c r="Y116" t="str">
        <f>_xlfn.TEXTJOIN("",,"*SOCKET0**CBB",misc[[#This Row],[CBB]],"**COMPUTE",misc[[#This Row],[Compute]],"**MODULE",misc[[#This Row],[Module]],splitchar,"**CORE**DTLB*CR*MC2*STATUS**")</f>
        <v>*SOCKET0**CBB3**COMPUTE2**MODULE17__**CORE**DTLB*CR*MC2*STATUS**</v>
      </c>
      <c r="Z116">
        <f>COUNTIFS(core_mc[TestName],misc[[#This Row],[CORE_DTLB_String]],core_mc[VisualId],MC_Check!$H$2)</f>
        <v>0</v>
      </c>
      <c r="AA116" t="str">
        <f>_xlfn.TEXTJOIN("",,"*SOCKET0**CBB",misc[[#This Row],[CBB]],"**COMPUTE",misc[[#This Row],[Compute]],"**MODULE",misc[[#This Row],[Module]],splitchar,"**ML2*CR*MC3*STATUS**")</f>
        <v>*SOCKET0**CBB3**COMPUTE2**MODULE17__**ML2*CR*MC3*STATUS**</v>
      </c>
      <c r="AB116">
        <f>COUNTIFS(core_mc[TestName],misc[[#This Row],[Core_ML2_String]],core_mc[VisualId],MC_Check!$H$2)</f>
        <v>0</v>
      </c>
      <c r="AC116" t="str">
        <f>_xlfn.TEXTJOIN("",,"*SOCKET0**CBB",misc[[#This Row],[CBB]],"**COMPUTE",misc[[#This Row],[Compute]],"**MODULE",misc[[#This Row],[Module]],splitchar,"SPARE")</f>
        <v>*SOCKET0**CBB3**COMPUTE2**MODULE17__SPARE</v>
      </c>
      <c r="AD116">
        <f>COUNTIFS(core_mc[TestName],misc[[#This Row],[Core_L2_String - SPARE]],core_mc[VisualId],MC_Check!$H$2)</f>
        <v>0</v>
      </c>
      <c r="AE116">
        <f>misc[[#This Row],[Core_DTLB_Count]]+misc[[#This Row],[Core_DCU_Count]]+misc[[#This Row],[Core_IFU_Count]]+misc[[#This Row],[Core_ROB_Count]]+misc[[#This Row],[Core_L2_Count - SPARE]]+misc[[#This Row],[Core_ML2_Count]]</f>
        <v>0</v>
      </c>
      <c r="AF116" t="str">
        <f>_xlfn.TEXTJOIN(", ",,IF(misc[[#This Row],[Core_IFU_Count]]&gt;0,"IFU",""),IF(misc[[#This Row],[Core_DCU_Count]]&gt;0,"DCU",""),IF(misc[[#This Row],[Core_DTLB_Count]]&gt;0,"DTLB",""),IF(misc[[#This Row],[Core_ROB_Count]]&gt;0,"ROB",""),IF(misc[[#This Row],[Core_ML2_Count]]&gt;0,"ML2",""),IF(misc[[#This Row],[Core_L2_Count - SPARE]]&gt;0,"L2",""))</f>
        <v/>
      </c>
      <c r="AG116" t="str">
        <f>_xlfn.TEXTJOIN("",,"*SOCKET0**CBB",misc[[#This Row],[CBB]],"**BASE**I_CCF**ENV",misc[[#This Row],[ENV]],splitchar,"CBREGS_ALL",misc[[#This Row],[CBO]],splitchar,"SPARE")</f>
        <v>*SOCKET0**CBB3**BASE**I_CCF**ENV1__CBREGS_ALL44__SPARE</v>
      </c>
      <c r="AH116">
        <f>COUNTIFS(cha_mc[TestName],misc[[#This Row],[LLC_MCA_String - Not Used]],cha_mc[VisualId],MC_Check!$H$2)</f>
        <v>0</v>
      </c>
    </row>
    <row r="117" spans="6:34" x14ac:dyDescent="0.3">
      <c r="F117">
        <v>3</v>
      </c>
      <c r="G117">
        <v>18</v>
      </c>
      <c r="H117" s="61">
        <f>IF(MC_Check!$AN$2="PHY",misc[[#This Row],[location]],misc[[#This Row],[Module_log]])</f>
        <v>18</v>
      </c>
      <c r="I117" s="61">
        <f>misc[[#This Row],[Module]]</f>
        <v>18</v>
      </c>
      <c r="J117" s="61">
        <f t="shared" si="6"/>
        <v>2</v>
      </c>
      <c r="K117" s="61">
        <f t="shared" si="5"/>
        <v>4</v>
      </c>
      <c r="L117" s="61">
        <v>2</v>
      </c>
      <c r="M117" s="61" t="str">
        <f>_xlfn.TEXTJOIN("",,misc[[#This Row],[ROW]],misc[[#This Row],[ROW]])</f>
        <v>44</v>
      </c>
      <c r="N117" s="5" t="b">
        <f>misc[[#This Row],[Core_Hitter_Count]]&gt;0</f>
        <v>0</v>
      </c>
      <c r="O117" t="b">
        <f>misc[[#This Row],[LLC_Hitter_Count]]&gt;0</f>
        <v>0</v>
      </c>
      <c r="P117" t="b">
        <f>misc[[#This Row],[CHA_Hitter_Count]]&gt;0</f>
        <v>0</v>
      </c>
      <c r="Q117" t="str">
        <f>_xlfn.TEXTJOIN("",,"*SOCKET0**CBB",misc[[#This Row],[CBB]],"**BASE**I_CCF_ENV",misc[[#This Row],[ENV]],splitchar,"CBREGS_ALL",misc[[#This Row],[CBO]],splitchar,"MC_STATUS*")</f>
        <v>*SOCKET0**CBB3**BASE**I_CCF_ENV2__CBREGS_ALL44__MC_STATUS*</v>
      </c>
      <c r="R117">
        <f>COUNTIFS(cha_mc[TestName],misc[[#This Row],[CBO_MCA_String]],cha_mc[VisualId],MC_Check!$H$2)</f>
        <v>0</v>
      </c>
      <c r="S117" t="str">
        <f>_xlfn.TEXTJOIN("",,"*SOCKET0**CBB",misc[[#This Row],[CBB]],"**COMPUTE",misc[[#This Row],[Compute]],"**MODULE",misc[[#This Row],[Module]],splitchar,"**CORE**IFU*CR*MC0*STATUS**")</f>
        <v>*SOCKET0**CBB3**COMPUTE2**MODULE18__**CORE**IFU*CR*MC0*STATUS**</v>
      </c>
      <c r="T117">
        <f>COUNTIFS(core_mc[TestName],misc[[#This Row],[IFU_MCA_String]],core_mc[VisualId],MC_Check!$H$2)</f>
        <v>0</v>
      </c>
      <c r="U117" t="str">
        <f>_xlfn.TEXTJOIN("",,"*SOCKET0**CBB",misc[[#This Row],[CBB]],"**COMPUTE",misc[[#This Row],[Compute]],"**MODULE",misc[[#This Row],[Module]],splitchar,"**CORE**ROB1*CR*MC*STATUS**")</f>
        <v>*SOCKET0**CBB3**COMPUTE2**MODULE18__**CORE**ROB1*CR*MC*STATUS**</v>
      </c>
      <c r="V117">
        <f>COUNTIFS(core_mc[TestName],misc[[#This Row],[ROB_MCA_String]],core_mc[VisualId],MC_Check!$H$2)</f>
        <v>0</v>
      </c>
      <c r="W117" t="str">
        <f>_xlfn.TEXTJOIN("",,"*SOCKET0**CBB",misc[[#This Row],[CBB]],"**COMPUTE",misc[[#This Row],[Compute]],"**MODULE",misc[[#This Row],[Module]],splitchar,"**CORE**DCU*CR*MC1*STATUS**")</f>
        <v>*SOCKET0**CBB3**COMPUTE2**MODULE18__**CORE**DCU*CR*MC1*STATUS**</v>
      </c>
      <c r="X117">
        <f>COUNTIFS(core_mc[TestName],misc[[#This Row],[DCU_MCA_String]],core_mc[VisualId],MC_Check!$H$2)</f>
        <v>0</v>
      </c>
      <c r="Y117" t="str">
        <f>_xlfn.TEXTJOIN("",,"*SOCKET0**CBB",misc[[#This Row],[CBB]],"**COMPUTE",misc[[#This Row],[Compute]],"**MODULE",misc[[#This Row],[Module]],splitchar,"**CORE**DTLB*CR*MC2*STATUS**")</f>
        <v>*SOCKET0**CBB3**COMPUTE2**MODULE18__**CORE**DTLB*CR*MC2*STATUS**</v>
      </c>
      <c r="Z117">
        <f>COUNTIFS(core_mc[TestName],misc[[#This Row],[CORE_DTLB_String]],core_mc[VisualId],MC_Check!$H$2)</f>
        <v>0</v>
      </c>
      <c r="AA117" t="str">
        <f>_xlfn.TEXTJOIN("",,"*SOCKET0**CBB",misc[[#This Row],[CBB]],"**COMPUTE",misc[[#This Row],[Compute]],"**MODULE",misc[[#This Row],[Module]],splitchar,"**ML2*CR*MC3*STATUS**")</f>
        <v>*SOCKET0**CBB3**COMPUTE2**MODULE18__**ML2*CR*MC3*STATUS**</v>
      </c>
      <c r="AB117">
        <f>COUNTIFS(core_mc[TestName],misc[[#This Row],[Core_ML2_String]],core_mc[VisualId],MC_Check!$H$2)</f>
        <v>0</v>
      </c>
      <c r="AC117" t="str">
        <f>_xlfn.TEXTJOIN("",,"*SOCKET0**CBB",misc[[#This Row],[CBB]],"**COMPUTE",misc[[#This Row],[Compute]],"**MODULE",misc[[#This Row],[Module]],splitchar,"SPARE")</f>
        <v>*SOCKET0**CBB3**COMPUTE2**MODULE18__SPARE</v>
      </c>
      <c r="AD117">
        <f>COUNTIFS(core_mc[TestName],misc[[#This Row],[Core_L2_String - SPARE]],core_mc[VisualId],MC_Check!$H$2)</f>
        <v>0</v>
      </c>
      <c r="AE117">
        <f>misc[[#This Row],[Core_DTLB_Count]]+misc[[#This Row],[Core_DCU_Count]]+misc[[#This Row],[Core_IFU_Count]]+misc[[#This Row],[Core_ROB_Count]]+misc[[#This Row],[Core_L2_Count - SPARE]]+misc[[#This Row],[Core_ML2_Count]]</f>
        <v>0</v>
      </c>
      <c r="AF117" t="str">
        <f>_xlfn.TEXTJOIN(", ",,IF(misc[[#This Row],[Core_IFU_Count]]&gt;0,"IFU",""),IF(misc[[#This Row],[Core_DCU_Count]]&gt;0,"DCU",""),IF(misc[[#This Row],[Core_DTLB_Count]]&gt;0,"DTLB",""),IF(misc[[#This Row],[Core_ROB_Count]]&gt;0,"ROB",""),IF(misc[[#This Row],[Core_ML2_Count]]&gt;0,"ML2",""),IF(misc[[#This Row],[Core_L2_Count - SPARE]]&gt;0,"L2",""))</f>
        <v/>
      </c>
      <c r="AG117" t="str">
        <f>_xlfn.TEXTJOIN("",,"*SOCKET0**CBB",misc[[#This Row],[CBB]],"**BASE**I_CCF**ENV",misc[[#This Row],[ENV]],splitchar,"CBREGS_ALL",misc[[#This Row],[CBO]],splitchar,"SPARE")</f>
        <v>*SOCKET0**CBB3**BASE**I_CCF**ENV2__CBREGS_ALL44__SPARE</v>
      </c>
      <c r="AH117">
        <f>COUNTIFS(cha_mc[TestName],misc[[#This Row],[LLC_MCA_String - Not Used]],cha_mc[VisualId],MC_Check!$H$2)</f>
        <v>0</v>
      </c>
    </row>
    <row r="118" spans="6:34" x14ac:dyDescent="0.3">
      <c r="F118">
        <v>3</v>
      </c>
      <c r="G118">
        <v>19</v>
      </c>
      <c r="H118" s="61">
        <f>IF(MC_Check!$AN$2="PHY",misc[[#This Row],[location]],misc[[#This Row],[Module_log]])</f>
        <v>19</v>
      </c>
      <c r="I118" s="61">
        <f>misc[[#This Row],[Module]]</f>
        <v>19</v>
      </c>
      <c r="J118" s="61">
        <f t="shared" si="6"/>
        <v>2</v>
      </c>
      <c r="K118" s="61">
        <f t="shared" si="5"/>
        <v>4</v>
      </c>
      <c r="L118" s="61">
        <v>3</v>
      </c>
      <c r="M118" s="61" t="str">
        <f>_xlfn.TEXTJOIN("",,misc[[#This Row],[ROW]],misc[[#This Row],[ROW]])</f>
        <v>44</v>
      </c>
      <c r="N118" s="5" t="b">
        <f>misc[[#This Row],[Core_Hitter_Count]]&gt;0</f>
        <v>0</v>
      </c>
      <c r="O118" t="b">
        <f>misc[[#This Row],[LLC_Hitter_Count]]&gt;0</f>
        <v>0</v>
      </c>
      <c r="P118" t="b">
        <f>misc[[#This Row],[CHA_Hitter_Count]]&gt;0</f>
        <v>0</v>
      </c>
      <c r="Q118" t="str">
        <f>_xlfn.TEXTJOIN("",,"*SOCKET0**CBB",misc[[#This Row],[CBB]],"**BASE**I_CCF_ENV",misc[[#This Row],[ENV]],splitchar,"CBREGS_ALL",misc[[#This Row],[CBO]],splitchar,"MC_STATUS*")</f>
        <v>*SOCKET0**CBB3**BASE**I_CCF_ENV3__CBREGS_ALL44__MC_STATUS*</v>
      </c>
      <c r="R118">
        <f>COUNTIFS(cha_mc[TestName],misc[[#This Row],[CBO_MCA_String]],cha_mc[VisualId],MC_Check!$H$2)</f>
        <v>0</v>
      </c>
      <c r="S118" t="str">
        <f>_xlfn.TEXTJOIN("",,"*SOCKET0**CBB",misc[[#This Row],[CBB]],"**COMPUTE",misc[[#This Row],[Compute]],"**MODULE",misc[[#This Row],[Module]],splitchar,"**CORE**IFU*CR*MC0*STATUS**")</f>
        <v>*SOCKET0**CBB3**COMPUTE2**MODULE19__**CORE**IFU*CR*MC0*STATUS**</v>
      </c>
      <c r="T118">
        <f>COUNTIFS(core_mc[TestName],misc[[#This Row],[IFU_MCA_String]],core_mc[VisualId],MC_Check!$H$2)</f>
        <v>0</v>
      </c>
      <c r="U118" t="str">
        <f>_xlfn.TEXTJOIN("",,"*SOCKET0**CBB",misc[[#This Row],[CBB]],"**COMPUTE",misc[[#This Row],[Compute]],"**MODULE",misc[[#This Row],[Module]],splitchar,"**CORE**ROB1*CR*MC*STATUS**")</f>
        <v>*SOCKET0**CBB3**COMPUTE2**MODULE19__**CORE**ROB1*CR*MC*STATUS**</v>
      </c>
      <c r="V118">
        <f>COUNTIFS(core_mc[TestName],misc[[#This Row],[ROB_MCA_String]],core_mc[VisualId],MC_Check!$H$2)</f>
        <v>0</v>
      </c>
      <c r="W118" t="str">
        <f>_xlfn.TEXTJOIN("",,"*SOCKET0**CBB",misc[[#This Row],[CBB]],"**COMPUTE",misc[[#This Row],[Compute]],"**MODULE",misc[[#This Row],[Module]],splitchar,"**CORE**DCU*CR*MC1*STATUS**")</f>
        <v>*SOCKET0**CBB3**COMPUTE2**MODULE19__**CORE**DCU*CR*MC1*STATUS**</v>
      </c>
      <c r="X118">
        <f>COUNTIFS(core_mc[TestName],misc[[#This Row],[DCU_MCA_String]],core_mc[VisualId],MC_Check!$H$2)</f>
        <v>0</v>
      </c>
      <c r="Y118" t="str">
        <f>_xlfn.TEXTJOIN("",,"*SOCKET0**CBB",misc[[#This Row],[CBB]],"**COMPUTE",misc[[#This Row],[Compute]],"**MODULE",misc[[#This Row],[Module]],splitchar,"**CORE**DTLB*CR*MC2*STATUS**")</f>
        <v>*SOCKET0**CBB3**COMPUTE2**MODULE19__**CORE**DTLB*CR*MC2*STATUS**</v>
      </c>
      <c r="Z118">
        <f>COUNTIFS(core_mc[TestName],misc[[#This Row],[CORE_DTLB_String]],core_mc[VisualId],MC_Check!$H$2)</f>
        <v>0</v>
      </c>
      <c r="AA118" t="str">
        <f>_xlfn.TEXTJOIN("",,"*SOCKET0**CBB",misc[[#This Row],[CBB]],"**COMPUTE",misc[[#This Row],[Compute]],"**MODULE",misc[[#This Row],[Module]],splitchar,"**ML2*CR*MC3*STATUS**")</f>
        <v>*SOCKET0**CBB3**COMPUTE2**MODULE19__**ML2*CR*MC3*STATUS**</v>
      </c>
      <c r="AB118">
        <f>COUNTIFS(core_mc[TestName],misc[[#This Row],[Core_ML2_String]],core_mc[VisualId],MC_Check!$H$2)</f>
        <v>0</v>
      </c>
      <c r="AC118" t="str">
        <f>_xlfn.TEXTJOIN("",,"*SOCKET0**CBB",misc[[#This Row],[CBB]],"**COMPUTE",misc[[#This Row],[Compute]],"**MODULE",misc[[#This Row],[Module]],splitchar,"SPARE")</f>
        <v>*SOCKET0**CBB3**COMPUTE2**MODULE19__SPARE</v>
      </c>
      <c r="AD118">
        <f>COUNTIFS(core_mc[TestName],misc[[#This Row],[Core_L2_String - SPARE]],core_mc[VisualId],MC_Check!$H$2)</f>
        <v>0</v>
      </c>
      <c r="AE118">
        <f>misc[[#This Row],[Core_DTLB_Count]]+misc[[#This Row],[Core_DCU_Count]]+misc[[#This Row],[Core_IFU_Count]]+misc[[#This Row],[Core_ROB_Count]]+misc[[#This Row],[Core_L2_Count - SPARE]]+misc[[#This Row],[Core_ML2_Count]]</f>
        <v>0</v>
      </c>
      <c r="AF118" t="str">
        <f>_xlfn.TEXTJOIN(", ",,IF(misc[[#This Row],[Core_IFU_Count]]&gt;0,"IFU",""),IF(misc[[#This Row],[Core_DCU_Count]]&gt;0,"DCU",""),IF(misc[[#This Row],[Core_DTLB_Count]]&gt;0,"DTLB",""),IF(misc[[#This Row],[Core_ROB_Count]]&gt;0,"ROB",""),IF(misc[[#This Row],[Core_ML2_Count]]&gt;0,"ML2",""),IF(misc[[#This Row],[Core_L2_Count - SPARE]]&gt;0,"L2",""))</f>
        <v/>
      </c>
      <c r="AG118" t="str">
        <f>_xlfn.TEXTJOIN("",,"*SOCKET0**CBB",misc[[#This Row],[CBB]],"**BASE**I_CCF**ENV",misc[[#This Row],[ENV]],splitchar,"CBREGS_ALL",misc[[#This Row],[CBO]],splitchar,"SPARE")</f>
        <v>*SOCKET0**CBB3**BASE**I_CCF**ENV3__CBREGS_ALL44__SPARE</v>
      </c>
      <c r="AH118">
        <f>COUNTIFS(cha_mc[TestName],misc[[#This Row],[LLC_MCA_String - Not Used]],cha_mc[VisualId],MC_Check!$H$2)</f>
        <v>0</v>
      </c>
    </row>
    <row r="119" spans="6:34" x14ac:dyDescent="0.3">
      <c r="F119">
        <v>3</v>
      </c>
      <c r="G119">
        <v>20</v>
      </c>
      <c r="H119" s="61">
        <f>IF(MC_Check!$AN$2="PHY",misc[[#This Row],[location]],misc[[#This Row],[Module_log]])</f>
        <v>20</v>
      </c>
      <c r="I119" s="61">
        <f>misc[[#This Row],[Module]]</f>
        <v>20</v>
      </c>
      <c r="J119" s="61">
        <f t="shared" si="6"/>
        <v>2</v>
      </c>
      <c r="K119" s="61">
        <f>K115+1</f>
        <v>5</v>
      </c>
      <c r="L119" s="61">
        <v>0</v>
      </c>
      <c r="M119" s="61" t="str">
        <f>_xlfn.TEXTJOIN("",,misc[[#This Row],[ROW]],misc[[#This Row],[ROW]])</f>
        <v>55</v>
      </c>
      <c r="N119" s="5" t="b">
        <f>misc[[#This Row],[Core_Hitter_Count]]&gt;0</f>
        <v>0</v>
      </c>
      <c r="O119" t="b">
        <f>misc[[#This Row],[LLC_Hitter_Count]]&gt;0</f>
        <v>0</v>
      </c>
      <c r="P119" t="b">
        <f>misc[[#This Row],[CHA_Hitter_Count]]&gt;0</f>
        <v>0</v>
      </c>
      <c r="Q119" t="str">
        <f>_xlfn.TEXTJOIN("",,"*SOCKET0**CBB",misc[[#This Row],[CBB]],"**BASE**I_CCF_ENV",misc[[#This Row],[ENV]],splitchar,"CBREGS_ALL",misc[[#This Row],[CBO]],splitchar,"MC_STATUS*")</f>
        <v>*SOCKET0**CBB3**BASE**I_CCF_ENV0__CBREGS_ALL55__MC_STATUS*</v>
      </c>
      <c r="R119">
        <f>COUNTIFS(cha_mc[TestName],misc[[#This Row],[CBO_MCA_String]],cha_mc[VisualId],MC_Check!$H$2)</f>
        <v>0</v>
      </c>
      <c r="S119" t="str">
        <f>_xlfn.TEXTJOIN("",,"*SOCKET0**CBB",misc[[#This Row],[CBB]],"**COMPUTE",misc[[#This Row],[Compute]],"**MODULE",misc[[#This Row],[Module]],splitchar,"**CORE**IFU*CR*MC0*STATUS**")</f>
        <v>*SOCKET0**CBB3**COMPUTE2**MODULE20__**CORE**IFU*CR*MC0*STATUS**</v>
      </c>
      <c r="T119">
        <f>COUNTIFS(core_mc[TestName],misc[[#This Row],[IFU_MCA_String]],core_mc[VisualId],MC_Check!$H$2)</f>
        <v>0</v>
      </c>
      <c r="U119" t="str">
        <f>_xlfn.TEXTJOIN("",,"*SOCKET0**CBB",misc[[#This Row],[CBB]],"**COMPUTE",misc[[#This Row],[Compute]],"**MODULE",misc[[#This Row],[Module]],splitchar,"**CORE**ROB1*CR*MC*STATUS**")</f>
        <v>*SOCKET0**CBB3**COMPUTE2**MODULE20__**CORE**ROB1*CR*MC*STATUS**</v>
      </c>
      <c r="V119">
        <f>COUNTIFS(core_mc[TestName],misc[[#This Row],[ROB_MCA_String]],core_mc[VisualId],MC_Check!$H$2)</f>
        <v>0</v>
      </c>
      <c r="W119" t="str">
        <f>_xlfn.TEXTJOIN("",,"*SOCKET0**CBB",misc[[#This Row],[CBB]],"**COMPUTE",misc[[#This Row],[Compute]],"**MODULE",misc[[#This Row],[Module]],splitchar,"**CORE**DCU*CR*MC1*STATUS**")</f>
        <v>*SOCKET0**CBB3**COMPUTE2**MODULE20__**CORE**DCU*CR*MC1*STATUS**</v>
      </c>
      <c r="X119">
        <f>COUNTIFS(core_mc[TestName],misc[[#This Row],[DCU_MCA_String]],core_mc[VisualId],MC_Check!$H$2)</f>
        <v>0</v>
      </c>
      <c r="Y119" t="str">
        <f>_xlfn.TEXTJOIN("",,"*SOCKET0**CBB",misc[[#This Row],[CBB]],"**COMPUTE",misc[[#This Row],[Compute]],"**MODULE",misc[[#This Row],[Module]],splitchar,"**CORE**DTLB*CR*MC2*STATUS**")</f>
        <v>*SOCKET0**CBB3**COMPUTE2**MODULE20__**CORE**DTLB*CR*MC2*STATUS**</v>
      </c>
      <c r="Z119">
        <f>COUNTIFS(core_mc[TestName],misc[[#This Row],[CORE_DTLB_String]],core_mc[VisualId],MC_Check!$H$2)</f>
        <v>0</v>
      </c>
      <c r="AA119" t="str">
        <f>_xlfn.TEXTJOIN("",,"*SOCKET0**CBB",misc[[#This Row],[CBB]],"**COMPUTE",misc[[#This Row],[Compute]],"**MODULE",misc[[#This Row],[Module]],splitchar,"**ML2*CR*MC3*STATUS**")</f>
        <v>*SOCKET0**CBB3**COMPUTE2**MODULE20__**ML2*CR*MC3*STATUS**</v>
      </c>
      <c r="AB119">
        <f>COUNTIFS(core_mc[TestName],misc[[#This Row],[Core_ML2_String]],core_mc[VisualId],MC_Check!$H$2)</f>
        <v>0</v>
      </c>
      <c r="AC119" t="str">
        <f>_xlfn.TEXTJOIN("",,"*SOCKET0**CBB",misc[[#This Row],[CBB]],"**COMPUTE",misc[[#This Row],[Compute]],"**MODULE",misc[[#This Row],[Module]],splitchar,"SPARE")</f>
        <v>*SOCKET0**CBB3**COMPUTE2**MODULE20__SPARE</v>
      </c>
      <c r="AD119">
        <f>COUNTIFS(core_mc[TestName],misc[[#This Row],[Core_L2_String - SPARE]],core_mc[VisualId],MC_Check!$H$2)</f>
        <v>0</v>
      </c>
      <c r="AE119">
        <f>misc[[#This Row],[Core_DTLB_Count]]+misc[[#This Row],[Core_DCU_Count]]+misc[[#This Row],[Core_IFU_Count]]+misc[[#This Row],[Core_ROB_Count]]+misc[[#This Row],[Core_L2_Count - SPARE]]+misc[[#This Row],[Core_ML2_Count]]</f>
        <v>0</v>
      </c>
      <c r="AF119" t="str">
        <f>_xlfn.TEXTJOIN(", ",,IF(misc[[#This Row],[Core_IFU_Count]]&gt;0,"IFU",""),IF(misc[[#This Row],[Core_DCU_Count]]&gt;0,"DCU",""),IF(misc[[#This Row],[Core_DTLB_Count]]&gt;0,"DTLB",""),IF(misc[[#This Row],[Core_ROB_Count]]&gt;0,"ROB",""),IF(misc[[#This Row],[Core_ML2_Count]]&gt;0,"ML2",""),IF(misc[[#This Row],[Core_L2_Count - SPARE]]&gt;0,"L2",""))</f>
        <v/>
      </c>
      <c r="AG119" t="str">
        <f>_xlfn.TEXTJOIN("",,"*SOCKET0**CBB",misc[[#This Row],[CBB]],"**BASE**I_CCF**ENV",misc[[#This Row],[ENV]],splitchar,"CBREGS_ALL",misc[[#This Row],[CBO]],splitchar,"SPARE")</f>
        <v>*SOCKET0**CBB3**BASE**I_CCF**ENV0__CBREGS_ALL55__SPARE</v>
      </c>
      <c r="AH119">
        <f>COUNTIFS(cha_mc[TestName],misc[[#This Row],[LLC_MCA_String - Not Used]],cha_mc[VisualId],MC_Check!$H$2)</f>
        <v>0</v>
      </c>
    </row>
    <row r="120" spans="6:34" x14ac:dyDescent="0.3">
      <c r="F120">
        <v>3</v>
      </c>
      <c r="G120">
        <v>21</v>
      </c>
      <c r="H120" s="61">
        <f>IF(MC_Check!$AN$2="PHY",misc[[#This Row],[location]],misc[[#This Row],[Module_log]])</f>
        <v>21</v>
      </c>
      <c r="I120" s="61">
        <f>misc[[#This Row],[Module]]</f>
        <v>21</v>
      </c>
      <c r="J120" s="61">
        <f t="shared" si="6"/>
        <v>2</v>
      </c>
      <c r="K120" s="61">
        <f t="shared" si="5"/>
        <v>5</v>
      </c>
      <c r="L120" s="61">
        <v>1</v>
      </c>
      <c r="M120" s="61" t="str">
        <f>_xlfn.TEXTJOIN("",,misc[[#This Row],[ROW]],misc[[#This Row],[ROW]])</f>
        <v>55</v>
      </c>
      <c r="N120" s="5" t="b">
        <f>misc[[#This Row],[Core_Hitter_Count]]&gt;0</f>
        <v>0</v>
      </c>
      <c r="O120" t="b">
        <f>misc[[#This Row],[LLC_Hitter_Count]]&gt;0</f>
        <v>0</v>
      </c>
      <c r="P120" t="b">
        <f>misc[[#This Row],[CHA_Hitter_Count]]&gt;0</f>
        <v>0</v>
      </c>
      <c r="Q120" t="str">
        <f>_xlfn.TEXTJOIN("",,"*SOCKET0**CBB",misc[[#This Row],[CBB]],"**BASE**I_CCF_ENV",misc[[#This Row],[ENV]],splitchar,"CBREGS_ALL",misc[[#This Row],[CBO]],splitchar,"MC_STATUS*")</f>
        <v>*SOCKET0**CBB3**BASE**I_CCF_ENV1__CBREGS_ALL55__MC_STATUS*</v>
      </c>
      <c r="R120">
        <f>COUNTIFS(cha_mc[TestName],misc[[#This Row],[CBO_MCA_String]],cha_mc[VisualId],MC_Check!$H$2)</f>
        <v>0</v>
      </c>
      <c r="S120" t="str">
        <f>_xlfn.TEXTJOIN("",,"*SOCKET0**CBB",misc[[#This Row],[CBB]],"**COMPUTE",misc[[#This Row],[Compute]],"**MODULE",misc[[#This Row],[Module]],splitchar,"**CORE**IFU*CR*MC0*STATUS**")</f>
        <v>*SOCKET0**CBB3**COMPUTE2**MODULE21__**CORE**IFU*CR*MC0*STATUS**</v>
      </c>
      <c r="T120">
        <f>COUNTIFS(core_mc[TestName],misc[[#This Row],[IFU_MCA_String]],core_mc[VisualId],MC_Check!$H$2)</f>
        <v>0</v>
      </c>
      <c r="U120" t="str">
        <f>_xlfn.TEXTJOIN("",,"*SOCKET0**CBB",misc[[#This Row],[CBB]],"**COMPUTE",misc[[#This Row],[Compute]],"**MODULE",misc[[#This Row],[Module]],splitchar,"**CORE**ROB1*CR*MC*STATUS**")</f>
        <v>*SOCKET0**CBB3**COMPUTE2**MODULE21__**CORE**ROB1*CR*MC*STATUS**</v>
      </c>
      <c r="V120">
        <f>COUNTIFS(core_mc[TestName],misc[[#This Row],[ROB_MCA_String]],core_mc[VisualId],MC_Check!$H$2)</f>
        <v>0</v>
      </c>
      <c r="W120" t="str">
        <f>_xlfn.TEXTJOIN("",,"*SOCKET0**CBB",misc[[#This Row],[CBB]],"**COMPUTE",misc[[#This Row],[Compute]],"**MODULE",misc[[#This Row],[Module]],splitchar,"**CORE**DCU*CR*MC1*STATUS**")</f>
        <v>*SOCKET0**CBB3**COMPUTE2**MODULE21__**CORE**DCU*CR*MC1*STATUS**</v>
      </c>
      <c r="X120">
        <f>COUNTIFS(core_mc[TestName],misc[[#This Row],[DCU_MCA_String]],core_mc[VisualId],MC_Check!$H$2)</f>
        <v>0</v>
      </c>
      <c r="Y120" t="str">
        <f>_xlfn.TEXTJOIN("",,"*SOCKET0**CBB",misc[[#This Row],[CBB]],"**COMPUTE",misc[[#This Row],[Compute]],"**MODULE",misc[[#This Row],[Module]],splitchar,"**CORE**DTLB*CR*MC2*STATUS**")</f>
        <v>*SOCKET0**CBB3**COMPUTE2**MODULE21__**CORE**DTLB*CR*MC2*STATUS**</v>
      </c>
      <c r="Z120">
        <f>COUNTIFS(core_mc[TestName],misc[[#This Row],[CORE_DTLB_String]],core_mc[VisualId],MC_Check!$H$2)</f>
        <v>0</v>
      </c>
      <c r="AA120" t="str">
        <f>_xlfn.TEXTJOIN("",,"*SOCKET0**CBB",misc[[#This Row],[CBB]],"**COMPUTE",misc[[#This Row],[Compute]],"**MODULE",misc[[#This Row],[Module]],splitchar,"**ML2*CR*MC3*STATUS**")</f>
        <v>*SOCKET0**CBB3**COMPUTE2**MODULE21__**ML2*CR*MC3*STATUS**</v>
      </c>
      <c r="AB120">
        <f>COUNTIFS(core_mc[TestName],misc[[#This Row],[Core_ML2_String]],core_mc[VisualId],MC_Check!$H$2)</f>
        <v>0</v>
      </c>
      <c r="AC120" t="str">
        <f>_xlfn.TEXTJOIN("",,"*SOCKET0**CBB",misc[[#This Row],[CBB]],"**COMPUTE",misc[[#This Row],[Compute]],"**MODULE",misc[[#This Row],[Module]],splitchar,"SPARE")</f>
        <v>*SOCKET0**CBB3**COMPUTE2**MODULE21__SPARE</v>
      </c>
      <c r="AD120">
        <f>COUNTIFS(core_mc[TestName],misc[[#This Row],[Core_L2_String - SPARE]],core_mc[VisualId],MC_Check!$H$2)</f>
        <v>0</v>
      </c>
      <c r="AE120">
        <f>misc[[#This Row],[Core_DTLB_Count]]+misc[[#This Row],[Core_DCU_Count]]+misc[[#This Row],[Core_IFU_Count]]+misc[[#This Row],[Core_ROB_Count]]+misc[[#This Row],[Core_L2_Count - SPARE]]+misc[[#This Row],[Core_ML2_Count]]</f>
        <v>0</v>
      </c>
      <c r="AF120" t="str">
        <f>_xlfn.TEXTJOIN(", ",,IF(misc[[#This Row],[Core_IFU_Count]]&gt;0,"IFU",""),IF(misc[[#This Row],[Core_DCU_Count]]&gt;0,"DCU",""),IF(misc[[#This Row],[Core_DTLB_Count]]&gt;0,"DTLB",""),IF(misc[[#This Row],[Core_ROB_Count]]&gt;0,"ROB",""),IF(misc[[#This Row],[Core_ML2_Count]]&gt;0,"ML2",""),IF(misc[[#This Row],[Core_L2_Count - SPARE]]&gt;0,"L2",""))</f>
        <v/>
      </c>
      <c r="AG120" t="str">
        <f>_xlfn.TEXTJOIN("",,"*SOCKET0**CBB",misc[[#This Row],[CBB]],"**BASE**I_CCF**ENV",misc[[#This Row],[ENV]],splitchar,"CBREGS_ALL",misc[[#This Row],[CBO]],splitchar,"SPARE")</f>
        <v>*SOCKET0**CBB3**BASE**I_CCF**ENV1__CBREGS_ALL55__SPARE</v>
      </c>
      <c r="AH120">
        <f>COUNTIFS(cha_mc[TestName],misc[[#This Row],[LLC_MCA_String - Not Used]],cha_mc[VisualId],MC_Check!$H$2)</f>
        <v>0</v>
      </c>
    </row>
    <row r="121" spans="6:34" x14ac:dyDescent="0.3">
      <c r="F121">
        <v>3</v>
      </c>
      <c r="G121">
        <v>22</v>
      </c>
      <c r="H121" s="61">
        <f>IF(MC_Check!$AN$2="PHY",misc[[#This Row],[location]],misc[[#This Row],[Module_log]])</f>
        <v>22</v>
      </c>
      <c r="I121" s="61">
        <f>misc[[#This Row],[Module]]</f>
        <v>22</v>
      </c>
      <c r="J121" s="61">
        <f t="shared" si="6"/>
        <v>2</v>
      </c>
      <c r="K121" s="61">
        <f t="shared" si="5"/>
        <v>5</v>
      </c>
      <c r="L121" s="61">
        <v>2</v>
      </c>
      <c r="M121" s="61" t="str">
        <f>_xlfn.TEXTJOIN("",,misc[[#This Row],[ROW]],misc[[#This Row],[ROW]])</f>
        <v>55</v>
      </c>
      <c r="N121" s="5" t="b">
        <f>misc[[#This Row],[Core_Hitter_Count]]&gt;0</f>
        <v>0</v>
      </c>
      <c r="O121" t="b">
        <f>misc[[#This Row],[LLC_Hitter_Count]]&gt;0</f>
        <v>0</v>
      </c>
      <c r="P121" t="b">
        <f>misc[[#This Row],[CHA_Hitter_Count]]&gt;0</f>
        <v>0</v>
      </c>
      <c r="Q121" t="str">
        <f>_xlfn.TEXTJOIN("",,"*SOCKET0**CBB",misc[[#This Row],[CBB]],"**BASE**I_CCF_ENV",misc[[#This Row],[ENV]],splitchar,"CBREGS_ALL",misc[[#This Row],[CBO]],splitchar,"MC_STATUS*")</f>
        <v>*SOCKET0**CBB3**BASE**I_CCF_ENV2__CBREGS_ALL55__MC_STATUS*</v>
      </c>
      <c r="R121">
        <f>COUNTIFS(cha_mc[TestName],misc[[#This Row],[CBO_MCA_String]],cha_mc[VisualId],MC_Check!$H$2)</f>
        <v>0</v>
      </c>
      <c r="S121" t="str">
        <f>_xlfn.TEXTJOIN("",,"*SOCKET0**CBB",misc[[#This Row],[CBB]],"**COMPUTE",misc[[#This Row],[Compute]],"**MODULE",misc[[#This Row],[Module]],splitchar,"**CORE**IFU*CR*MC0*STATUS**")</f>
        <v>*SOCKET0**CBB3**COMPUTE2**MODULE22__**CORE**IFU*CR*MC0*STATUS**</v>
      </c>
      <c r="T121">
        <f>COUNTIFS(core_mc[TestName],misc[[#This Row],[IFU_MCA_String]],core_mc[VisualId],MC_Check!$H$2)</f>
        <v>0</v>
      </c>
      <c r="U121" t="str">
        <f>_xlfn.TEXTJOIN("",,"*SOCKET0**CBB",misc[[#This Row],[CBB]],"**COMPUTE",misc[[#This Row],[Compute]],"**MODULE",misc[[#This Row],[Module]],splitchar,"**CORE**ROB1*CR*MC*STATUS**")</f>
        <v>*SOCKET0**CBB3**COMPUTE2**MODULE22__**CORE**ROB1*CR*MC*STATUS**</v>
      </c>
      <c r="V121">
        <f>COUNTIFS(core_mc[TestName],misc[[#This Row],[ROB_MCA_String]],core_mc[VisualId],MC_Check!$H$2)</f>
        <v>0</v>
      </c>
      <c r="W121" t="str">
        <f>_xlfn.TEXTJOIN("",,"*SOCKET0**CBB",misc[[#This Row],[CBB]],"**COMPUTE",misc[[#This Row],[Compute]],"**MODULE",misc[[#This Row],[Module]],splitchar,"**CORE**DCU*CR*MC1*STATUS**")</f>
        <v>*SOCKET0**CBB3**COMPUTE2**MODULE22__**CORE**DCU*CR*MC1*STATUS**</v>
      </c>
      <c r="X121">
        <f>COUNTIFS(core_mc[TestName],misc[[#This Row],[DCU_MCA_String]],core_mc[VisualId],MC_Check!$H$2)</f>
        <v>0</v>
      </c>
      <c r="Y121" t="str">
        <f>_xlfn.TEXTJOIN("",,"*SOCKET0**CBB",misc[[#This Row],[CBB]],"**COMPUTE",misc[[#This Row],[Compute]],"**MODULE",misc[[#This Row],[Module]],splitchar,"**CORE**DTLB*CR*MC2*STATUS**")</f>
        <v>*SOCKET0**CBB3**COMPUTE2**MODULE22__**CORE**DTLB*CR*MC2*STATUS**</v>
      </c>
      <c r="Z121">
        <f>COUNTIFS(core_mc[TestName],misc[[#This Row],[CORE_DTLB_String]],core_mc[VisualId],MC_Check!$H$2)</f>
        <v>0</v>
      </c>
      <c r="AA121" t="str">
        <f>_xlfn.TEXTJOIN("",,"*SOCKET0**CBB",misc[[#This Row],[CBB]],"**COMPUTE",misc[[#This Row],[Compute]],"**MODULE",misc[[#This Row],[Module]],splitchar,"**ML2*CR*MC3*STATUS**")</f>
        <v>*SOCKET0**CBB3**COMPUTE2**MODULE22__**ML2*CR*MC3*STATUS**</v>
      </c>
      <c r="AB121">
        <f>COUNTIFS(core_mc[TestName],misc[[#This Row],[Core_ML2_String]],core_mc[VisualId],MC_Check!$H$2)</f>
        <v>0</v>
      </c>
      <c r="AC121" t="str">
        <f>_xlfn.TEXTJOIN("",,"*SOCKET0**CBB",misc[[#This Row],[CBB]],"**COMPUTE",misc[[#This Row],[Compute]],"**MODULE",misc[[#This Row],[Module]],splitchar,"SPARE")</f>
        <v>*SOCKET0**CBB3**COMPUTE2**MODULE22__SPARE</v>
      </c>
      <c r="AD121">
        <f>COUNTIFS(core_mc[TestName],misc[[#This Row],[Core_L2_String - SPARE]],core_mc[VisualId],MC_Check!$H$2)</f>
        <v>0</v>
      </c>
      <c r="AE121">
        <f>misc[[#This Row],[Core_DTLB_Count]]+misc[[#This Row],[Core_DCU_Count]]+misc[[#This Row],[Core_IFU_Count]]+misc[[#This Row],[Core_ROB_Count]]+misc[[#This Row],[Core_L2_Count - SPARE]]+misc[[#This Row],[Core_ML2_Count]]</f>
        <v>0</v>
      </c>
      <c r="AF121" t="str">
        <f>_xlfn.TEXTJOIN(", ",,IF(misc[[#This Row],[Core_IFU_Count]]&gt;0,"IFU",""),IF(misc[[#This Row],[Core_DCU_Count]]&gt;0,"DCU",""),IF(misc[[#This Row],[Core_DTLB_Count]]&gt;0,"DTLB",""),IF(misc[[#This Row],[Core_ROB_Count]]&gt;0,"ROB",""),IF(misc[[#This Row],[Core_ML2_Count]]&gt;0,"ML2",""),IF(misc[[#This Row],[Core_L2_Count - SPARE]]&gt;0,"L2",""))</f>
        <v/>
      </c>
      <c r="AG121" t="str">
        <f>_xlfn.TEXTJOIN("",,"*SOCKET0**CBB",misc[[#This Row],[CBB]],"**BASE**I_CCF**ENV",misc[[#This Row],[ENV]],splitchar,"CBREGS_ALL",misc[[#This Row],[CBO]],splitchar,"SPARE")</f>
        <v>*SOCKET0**CBB3**BASE**I_CCF**ENV2__CBREGS_ALL55__SPARE</v>
      </c>
      <c r="AH121">
        <f>COUNTIFS(cha_mc[TestName],misc[[#This Row],[LLC_MCA_String - Not Used]],cha_mc[VisualId],MC_Check!$H$2)</f>
        <v>0</v>
      </c>
    </row>
    <row r="122" spans="6:34" x14ac:dyDescent="0.3">
      <c r="F122">
        <v>3</v>
      </c>
      <c r="G122">
        <v>23</v>
      </c>
      <c r="H122" s="61">
        <f>IF(MC_Check!$AN$2="PHY",misc[[#This Row],[location]],misc[[#This Row],[Module_log]])</f>
        <v>23</v>
      </c>
      <c r="I122" s="61">
        <f>misc[[#This Row],[Module]]</f>
        <v>23</v>
      </c>
      <c r="J122" s="61">
        <f t="shared" si="6"/>
        <v>2</v>
      </c>
      <c r="K122" s="61">
        <f t="shared" si="5"/>
        <v>5</v>
      </c>
      <c r="L122" s="61">
        <v>3</v>
      </c>
      <c r="M122" s="61" t="str">
        <f>_xlfn.TEXTJOIN("",,misc[[#This Row],[ROW]],misc[[#This Row],[ROW]])</f>
        <v>55</v>
      </c>
      <c r="N122" s="5" t="b">
        <f>misc[[#This Row],[Core_Hitter_Count]]&gt;0</f>
        <v>0</v>
      </c>
      <c r="O122" t="b">
        <f>misc[[#This Row],[LLC_Hitter_Count]]&gt;0</f>
        <v>0</v>
      </c>
      <c r="P122" t="b">
        <f>misc[[#This Row],[CHA_Hitter_Count]]&gt;0</f>
        <v>0</v>
      </c>
      <c r="Q122" t="str">
        <f>_xlfn.TEXTJOIN("",,"*SOCKET0**CBB",misc[[#This Row],[CBB]],"**BASE**I_CCF_ENV",misc[[#This Row],[ENV]],splitchar,"CBREGS_ALL",misc[[#This Row],[CBO]],splitchar,"MC_STATUS*")</f>
        <v>*SOCKET0**CBB3**BASE**I_CCF_ENV3__CBREGS_ALL55__MC_STATUS*</v>
      </c>
      <c r="R122">
        <f>COUNTIFS(cha_mc[TestName],misc[[#This Row],[CBO_MCA_String]],cha_mc[VisualId],MC_Check!$H$2)</f>
        <v>0</v>
      </c>
      <c r="S122" t="str">
        <f>_xlfn.TEXTJOIN("",,"*SOCKET0**CBB",misc[[#This Row],[CBB]],"**COMPUTE",misc[[#This Row],[Compute]],"**MODULE",misc[[#This Row],[Module]],splitchar,"**CORE**IFU*CR*MC0*STATUS**")</f>
        <v>*SOCKET0**CBB3**COMPUTE2**MODULE23__**CORE**IFU*CR*MC0*STATUS**</v>
      </c>
      <c r="T122">
        <f>COUNTIFS(core_mc[TestName],misc[[#This Row],[IFU_MCA_String]],core_mc[VisualId],MC_Check!$H$2)</f>
        <v>0</v>
      </c>
      <c r="U122" t="str">
        <f>_xlfn.TEXTJOIN("",,"*SOCKET0**CBB",misc[[#This Row],[CBB]],"**COMPUTE",misc[[#This Row],[Compute]],"**MODULE",misc[[#This Row],[Module]],splitchar,"**CORE**ROB1*CR*MC*STATUS**")</f>
        <v>*SOCKET0**CBB3**COMPUTE2**MODULE23__**CORE**ROB1*CR*MC*STATUS**</v>
      </c>
      <c r="V122">
        <f>COUNTIFS(core_mc[TestName],misc[[#This Row],[ROB_MCA_String]],core_mc[VisualId],MC_Check!$H$2)</f>
        <v>0</v>
      </c>
      <c r="W122" t="str">
        <f>_xlfn.TEXTJOIN("",,"*SOCKET0**CBB",misc[[#This Row],[CBB]],"**COMPUTE",misc[[#This Row],[Compute]],"**MODULE",misc[[#This Row],[Module]],splitchar,"**CORE**DCU*CR*MC1*STATUS**")</f>
        <v>*SOCKET0**CBB3**COMPUTE2**MODULE23__**CORE**DCU*CR*MC1*STATUS**</v>
      </c>
      <c r="X122">
        <f>COUNTIFS(core_mc[TestName],misc[[#This Row],[DCU_MCA_String]],core_mc[VisualId],MC_Check!$H$2)</f>
        <v>0</v>
      </c>
      <c r="Y122" t="str">
        <f>_xlfn.TEXTJOIN("",,"*SOCKET0**CBB",misc[[#This Row],[CBB]],"**COMPUTE",misc[[#This Row],[Compute]],"**MODULE",misc[[#This Row],[Module]],splitchar,"**CORE**DTLB*CR*MC2*STATUS**")</f>
        <v>*SOCKET0**CBB3**COMPUTE2**MODULE23__**CORE**DTLB*CR*MC2*STATUS**</v>
      </c>
      <c r="Z122">
        <f>COUNTIFS(core_mc[TestName],misc[[#This Row],[CORE_DTLB_String]],core_mc[VisualId],MC_Check!$H$2)</f>
        <v>0</v>
      </c>
      <c r="AA122" t="str">
        <f>_xlfn.TEXTJOIN("",,"*SOCKET0**CBB",misc[[#This Row],[CBB]],"**COMPUTE",misc[[#This Row],[Compute]],"**MODULE",misc[[#This Row],[Module]],splitchar,"**ML2*CR*MC3*STATUS**")</f>
        <v>*SOCKET0**CBB3**COMPUTE2**MODULE23__**ML2*CR*MC3*STATUS**</v>
      </c>
      <c r="AB122">
        <f>COUNTIFS(core_mc[TestName],misc[[#This Row],[Core_ML2_String]],core_mc[VisualId],MC_Check!$H$2)</f>
        <v>0</v>
      </c>
      <c r="AC122" t="str">
        <f>_xlfn.TEXTJOIN("",,"*SOCKET0**CBB",misc[[#This Row],[CBB]],"**COMPUTE",misc[[#This Row],[Compute]],"**MODULE",misc[[#This Row],[Module]],splitchar,"SPARE")</f>
        <v>*SOCKET0**CBB3**COMPUTE2**MODULE23__SPARE</v>
      </c>
      <c r="AD122">
        <f>COUNTIFS(core_mc[TestName],misc[[#This Row],[Core_L2_String - SPARE]],core_mc[VisualId],MC_Check!$H$2)</f>
        <v>0</v>
      </c>
      <c r="AE122">
        <f>misc[[#This Row],[Core_DTLB_Count]]+misc[[#This Row],[Core_DCU_Count]]+misc[[#This Row],[Core_IFU_Count]]+misc[[#This Row],[Core_ROB_Count]]+misc[[#This Row],[Core_L2_Count - SPARE]]+misc[[#This Row],[Core_ML2_Count]]</f>
        <v>0</v>
      </c>
      <c r="AF122" t="str">
        <f>_xlfn.TEXTJOIN(", ",,IF(misc[[#This Row],[Core_IFU_Count]]&gt;0,"IFU",""),IF(misc[[#This Row],[Core_DCU_Count]]&gt;0,"DCU",""),IF(misc[[#This Row],[Core_DTLB_Count]]&gt;0,"DTLB",""),IF(misc[[#This Row],[Core_ROB_Count]]&gt;0,"ROB",""),IF(misc[[#This Row],[Core_ML2_Count]]&gt;0,"ML2",""),IF(misc[[#This Row],[Core_L2_Count - SPARE]]&gt;0,"L2",""))</f>
        <v/>
      </c>
      <c r="AG122" t="str">
        <f>_xlfn.TEXTJOIN("",,"*SOCKET0**CBB",misc[[#This Row],[CBB]],"**BASE**I_CCF**ENV",misc[[#This Row],[ENV]],splitchar,"CBREGS_ALL",misc[[#This Row],[CBO]],splitchar,"SPARE")</f>
        <v>*SOCKET0**CBB3**BASE**I_CCF**ENV3__CBREGS_ALL55__SPARE</v>
      </c>
      <c r="AH122">
        <f>COUNTIFS(cha_mc[TestName],misc[[#This Row],[LLC_MCA_String - Not Used]],cha_mc[VisualId],MC_Check!$H$2)</f>
        <v>0</v>
      </c>
    </row>
    <row r="123" spans="6:34" x14ac:dyDescent="0.3">
      <c r="F123">
        <v>3</v>
      </c>
      <c r="G123">
        <v>24</v>
      </c>
      <c r="H123" s="61">
        <f>IF(MC_Check!$AN$2="PHY",misc[[#This Row],[location]],misc[[#This Row],[Module_log]])</f>
        <v>24</v>
      </c>
      <c r="I123" s="61">
        <f>misc[[#This Row],[Module]]</f>
        <v>24</v>
      </c>
      <c r="J123" s="61">
        <f t="shared" si="6"/>
        <v>3</v>
      </c>
      <c r="K123" s="61">
        <f>K119+1</f>
        <v>6</v>
      </c>
      <c r="L123" s="61">
        <v>0</v>
      </c>
      <c r="M123" s="61" t="str">
        <f>_xlfn.TEXTJOIN("",,misc[[#This Row],[ROW]],misc[[#This Row],[ROW]])</f>
        <v>66</v>
      </c>
      <c r="N123" s="5" t="b">
        <f>misc[[#This Row],[Core_Hitter_Count]]&gt;0</f>
        <v>0</v>
      </c>
      <c r="O123" t="b">
        <f>misc[[#This Row],[LLC_Hitter_Count]]&gt;0</f>
        <v>0</v>
      </c>
      <c r="P123" t="b">
        <f>misc[[#This Row],[CHA_Hitter_Count]]&gt;0</f>
        <v>0</v>
      </c>
      <c r="Q123" t="str">
        <f>_xlfn.TEXTJOIN("",,"*SOCKET0**CBB",misc[[#This Row],[CBB]],"**BASE**I_CCF_ENV",misc[[#This Row],[ENV]],splitchar,"CBREGS_ALL",misc[[#This Row],[CBO]],splitchar,"MC_STATUS*")</f>
        <v>*SOCKET0**CBB3**BASE**I_CCF_ENV0__CBREGS_ALL66__MC_STATUS*</v>
      </c>
      <c r="R123">
        <f>COUNTIFS(cha_mc[TestName],misc[[#This Row],[CBO_MCA_String]],cha_mc[VisualId],MC_Check!$H$2)</f>
        <v>0</v>
      </c>
      <c r="S123" t="str">
        <f>_xlfn.TEXTJOIN("",,"*SOCKET0**CBB",misc[[#This Row],[CBB]],"**COMPUTE",misc[[#This Row],[Compute]],"**MODULE",misc[[#This Row],[Module]],splitchar,"**CORE**IFU*CR*MC0*STATUS**")</f>
        <v>*SOCKET0**CBB3**COMPUTE3**MODULE24__**CORE**IFU*CR*MC0*STATUS**</v>
      </c>
      <c r="T123">
        <f>COUNTIFS(core_mc[TestName],misc[[#This Row],[IFU_MCA_String]],core_mc[VisualId],MC_Check!$H$2)</f>
        <v>0</v>
      </c>
      <c r="U123" t="str">
        <f>_xlfn.TEXTJOIN("",,"*SOCKET0**CBB",misc[[#This Row],[CBB]],"**COMPUTE",misc[[#This Row],[Compute]],"**MODULE",misc[[#This Row],[Module]],splitchar,"**CORE**ROB1*CR*MC*STATUS**")</f>
        <v>*SOCKET0**CBB3**COMPUTE3**MODULE24__**CORE**ROB1*CR*MC*STATUS**</v>
      </c>
      <c r="V123">
        <f>COUNTIFS(core_mc[TestName],misc[[#This Row],[ROB_MCA_String]],core_mc[VisualId],MC_Check!$H$2)</f>
        <v>0</v>
      </c>
      <c r="W123" t="str">
        <f>_xlfn.TEXTJOIN("",,"*SOCKET0**CBB",misc[[#This Row],[CBB]],"**COMPUTE",misc[[#This Row],[Compute]],"**MODULE",misc[[#This Row],[Module]],splitchar,"**CORE**DCU*CR*MC1*STATUS**")</f>
        <v>*SOCKET0**CBB3**COMPUTE3**MODULE24__**CORE**DCU*CR*MC1*STATUS**</v>
      </c>
      <c r="X123">
        <f>COUNTIFS(core_mc[TestName],misc[[#This Row],[DCU_MCA_String]],core_mc[VisualId],MC_Check!$H$2)</f>
        <v>0</v>
      </c>
      <c r="Y123" t="str">
        <f>_xlfn.TEXTJOIN("",,"*SOCKET0**CBB",misc[[#This Row],[CBB]],"**COMPUTE",misc[[#This Row],[Compute]],"**MODULE",misc[[#This Row],[Module]],splitchar,"**CORE**DTLB*CR*MC2*STATUS**")</f>
        <v>*SOCKET0**CBB3**COMPUTE3**MODULE24__**CORE**DTLB*CR*MC2*STATUS**</v>
      </c>
      <c r="Z123">
        <f>COUNTIFS(core_mc[TestName],misc[[#This Row],[CORE_DTLB_String]],core_mc[VisualId],MC_Check!$H$2)</f>
        <v>0</v>
      </c>
      <c r="AA123" t="str">
        <f>_xlfn.TEXTJOIN("",,"*SOCKET0**CBB",misc[[#This Row],[CBB]],"**COMPUTE",misc[[#This Row],[Compute]],"**MODULE",misc[[#This Row],[Module]],splitchar,"**ML2*CR*MC3*STATUS**")</f>
        <v>*SOCKET0**CBB3**COMPUTE3**MODULE24__**ML2*CR*MC3*STATUS**</v>
      </c>
      <c r="AB123">
        <f>COUNTIFS(core_mc[TestName],misc[[#This Row],[Core_ML2_String]],core_mc[VisualId],MC_Check!$H$2)</f>
        <v>0</v>
      </c>
      <c r="AC123" t="str">
        <f>_xlfn.TEXTJOIN("",,"*SOCKET0**CBB",misc[[#This Row],[CBB]],"**COMPUTE",misc[[#This Row],[Compute]],"**MODULE",misc[[#This Row],[Module]],splitchar,"SPARE")</f>
        <v>*SOCKET0**CBB3**COMPUTE3**MODULE24__SPARE</v>
      </c>
      <c r="AD123">
        <f>COUNTIFS(core_mc[TestName],misc[[#This Row],[Core_L2_String - SPARE]],core_mc[VisualId],MC_Check!$H$2)</f>
        <v>0</v>
      </c>
      <c r="AE123">
        <f>misc[[#This Row],[Core_DTLB_Count]]+misc[[#This Row],[Core_DCU_Count]]+misc[[#This Row],[Core_IFU_Count]]+misc[[#This Row],[Core_ROB_Count]]+misc[[#This Row],[Core_L2_Count - SPARE]]+misc[[#This Row],[Core_ML2_Count]]</f>
        <v>0</v>
      </c>
      <c r="AF123" t="str">
        <f>_xlfn.TEXTJOIN(", ",,IF(misc[[#This Row],[Core_IFU_Count]]&gt;0,"IFU",""),IF(misc[[#This Row],[Core_DCU_Count]]&gt;0,"DCU",""),IF(misc[[#This Row],[Core_DTLB_Count]]&gt;0,"DTLB",""),IF(misc[[#This Row],[Core_ROB_Count]]&gt;0,"ROB",""),IF(misc[[#This Row],[Core_ML2_Count]]&gt;0,"ML2",""),IF(misc[[#This Row],[Core_L2_Count - SPARE]]&gt;0,"L2",""))</f>
        <v/>
      </c>
      <c r="AG123" t="str">
        <f>_xlfn.TEXTJOIN("",,"*SOCKET0**CBB",misc[[#This Row],[CBB]],"**BASE**I_CCF**ENV",misc[[#This Row],[ENV]],splitchar,"CBREGS_ALL",misc[[#This Row],[CBO]],splitchar,"SPARE")</f>
        <v>*SOCKET0**CBB3**BASE**I_CCF**ENV0__CBREGS_ALL66__SPARE</v>
      </c>
      <c r="AH123">
        <f>COUNTIFS(cha_mc[TestName],misc[[#This Row],[LLC_MCA_String - Not Used]],cha_mc[VisualId],MC_Check!$H$2)</f>
        <v>0</v>
      </c>
    </row>
    <row r="124" spans="6:34" x14ac:dyDescent="0.3">
      <c r="F124">
        <v>3</v>
      </c>
      <c r="G124">
        <v>25</v>
      </c>
      <c r="H124" s="61">
        <f>IF(MC_Check!$AN$2="PHY",misc[[#This Row],[location]],misc[[#This Row],[Module_log]])</f>
        <v>25</v>
      </c>
      <c r="I124" s="61">
        <f>misc[[#This Row],[Module]]</f>
        <v>25</v>
      </c>
      <c r="J124" s="61">
        <f t="shared" si="6"/>
        <v>3</v>
      </c>
      <c r="K124" s="61">
        <f t="shared" si="5"/>
        <v>6</v>
      </c>
      <c r="L124" s="61">
        <v>1</v>
      </c>
      <c r="M124" s="61" t="str">
        <f>_xlfn.TEXTJOIN("",,misc[[#This Row],[ROW]],misc[[#This Row],[ROW]])</f>
        <v>66</v>
      </c>
      <c r="N124" s="5" t="b">
        <f>misc[[#This Row],[Core_Hitter_Count]]&gt;0</f>
        <v>0</v>
      </c>
      <c r="O124" t="b">
        <f>misc[[#This Row],[LLC_Hitter_Count]]&gt;0</f>
        <v>0</v>
      </c>
      <c r="P124" t="b">
        <f>misc[[#This Row],[CHA_Hitter_Count]]&gt;0</f>
        <v>0</v>
      </c>
      <c r="Q124" t="str">
        <f>_xlfn.TEXTJOIN("",,"*SOCKET0**CBB",misc[[#This Row],[CBB]],"**BASE**I_CCF_ENV",misc[[#This Row],[ENV]],splitchar,"CBREGS_ALL",misc[[#This Row],[CBO]],splitchar,"MC_STATUS*")</f>
        <v>*SOCKET0**CBB3**BASE**I_CCF_ENV1__CBREGS_ALL66__MC_STATUS*</v>
      </c>
      <c r="R124">
        <f>COUNTIFS(cha_mc[TestName],misc[[#This Row],[CBO_MCA_String]],cha_mc[VisualId],MC_Check!$H$2)</f>
        <v>0</v>
      </c>
      <c r="S124" t="str">
        <f>_xlfn.TEXTJOIN("",,"*SOCKET0**CBB",misc[[#This Row],[CBB]],"**COMPUTE",misc[[#This Row],[Compute]],"**MODULE",misc[[#This Row],[Module]],splitchar,"**CORE**IFU*CR*MC0*STATUS**")</f>
        <v>*SOCKET0**CBB3**COMPUTE3**MODULE25__**CORE**IFU*CR*MC0*STATUS**</v>
      </c>
      <c r="T124">
        <f>COUNTIFS(core_mc[TestName],misc[[#This Row],[IFU_MCA_String]],core_mc[VisualId],MC_Check!$H$2)</f>
        <v>0</v>
      </c>
      <c r="U124" t="str">
        <f>_xlfn.TEXTJOIN("",,"*SOCKET0**CBB",misc[[#This Row],[CBB]],"**COMPUTE",misc[[#This Row],[Compute]],"**MODULE",misc[[#This Row],[Module]],splitchar,"**CORE**ROB1*CR*MC*STATUS**")</f>
        <v>*SOCKET0**CBB3**COMPUTE3**MODULE25__**CORE**ROB1*CR*MC*STATUS**</v>
      </c>
      <c r="V124">
        <f>COUNTIFS(core_mc[TestName],misc[[#This Row],[ROB_MCA_String]],core_mc[VisualId],MC_Check!$H$2)</f>
        <v>0</v>
      </c>
      <c r="W124" t="str">
        <f>_xlfn.TEXTJOIN("",,"*SOCKET0**CBB",misc[[#This Row],[CBB]],"**COMPUTE",misc[[#This Row],[Compute]],"**MODULE",misc[[#This Row],[Module]],splitchar,"**CORE**DCU*CR*MC1*STATUS**")</f>
        <v>*SOCKET0**CBB3**COMPUTE3**MODULE25__**CORE**DCU*CR*MC1*STATUS**</v>
      </c>
      <c r="X124">
        <f>COUNTIFS(core_mc[TestName],misc[[#This Row],[DCU_MCA_String]],core_mc[VisualId],MC_Check!$H$2)</f>
        <v>0</v>
      </c>
      <c r="Y124" t="str">
        <f>_xlfn.TEXTJOIN("",,"*SOCKET0**CBB",misc[[#This Row],[CBB]],"**COMPUTE",misc[[#This Row],[Compute]],"**MODULE",misc[[#This Row],[Module]],splitchar,"**CORE**DTLB*CR*MC2*STATUS**")</f>
        <v>*SOCKET0**CBB3**COMPUTE3**MODULE25__**CORE**DTLB*CR*MC2*STATUS**</v>
      </c>
      <c r="Z124">
        <f>COUNTIFS(core_mc[TestName],misc[[#This Row],[CORE_DTLB_String]],core_mc[VisualId],MC_Check!$H$2)</f>
        <v>0</v>
      </c>
      <c r="AA124" t="str">
        <f>_xlfn.TEXTJOIN("",,"*SOCKET0**CBB",misc[[#This Row],[CBB]],"**COMPUTE",misc[[#This Row],[Compute]],"**MODULE",misc[[#This Row],[Module]],splitchar,"**ML2*CR*MC3*STATUS**")</f>
        <v>*SOCKET0**CBB3**COMPUTE3**MODULE25__**ML2*CR*MC3*STATUS**</v>
      </c>
      <c r="AB124">
        <f>COUNTIFS(core_mc[TestName],misc[[#This Row],[Core_ML2_String]],core_mc[VisualId],MC_Check!$H$2)</f>
        <v>0</v>
      </c>
      <c r="AC124" t="str">
        <f>_xlfn.TEXTJOIN("",,"*SOCKET0**CBB",misc[[#This Row],[CBB]],"**COMPUTE",misc[[#This Row],[Compute]],"**MODULE",misc[[#This Row],[Module]],splitchar,"SPARE")</f>
        <v>*SOCKET0**CBB3**COMPUTE3**MODULE25__SPARE</v>
      </c>
      <c r="AD124">
        <f>COUNTIFS(core_mc[TestName],misc[[#This Row],[Core_L2_String - SPARE]],core_mc[VisualId],MC_Check!$H$2)</f>
        <v>0</v>
      </c>
      <c r="AE124">
        <f>misc[[#This Row],[Core_DTLB_Count]]+misc[[#This Row],[Core_DCU_Count]]+misc[[#This Row],[Core_IFU_Count]]+misc[[#This Row],[Core_ROB_Count]]+misc[[#This Row],[Core_L2_Count - SPARE]]+misc[[#This Row],[Core_ML2_Count]]</f>
        <v>0</v>
      </c>
      <c r="AF124" t="str">
        <f>_xlfn.TEXTJOIN(", ",,IF(misc[[#This Row],[Core_IFU_Count]]&gt;0,"IFU",""),IF(misc[[#This Row],[Core_DCU_Count]]&gt;0,"DCU",""),IF(misc[[#This Row],[Core_DTLB_Count]]&gt;0,"DTLB",""),IF(misc[[#This Row],[Core_ROB_Count]]&gt;0,"ROB",""),IF(misc[[#This Row],[Core_ML2_Count]]&gt;0,"ML2",""),IF(misc[[#This Row],[Core_L2_Count - SPARE]]&gt;0,"L2",""))</f>
        <v/>
      </c>
      <c r="AG124" t="str">
        <f>_xlfn.TEXTJOIN("",,"*SOCKET0**CBB",misc[[#This Row],[CBB]],"**BASE**I_CCF**ENV",misc[[#This Row],[ENV]],splitchar,"CBREGS_ALL",misc[[#This Row],[CBO]],splitchar,"SPARE")</f>
        <v>*SOCKET0**CBB3**BASE**I_CCF**ENV1__CBREGS_ALL66__SPARE</v>
      </c>
      <c r="AH124">
        <f>COUNTIFS(cha_mc[TestName],misc[[#This Row],[LLC_MCA_String - Not Used]],cha_mc[VisualId],MC_Check!$H$2)</f>
        <v>0</v>
      </c>
    </row>
    <row r="125" spans="6:34" x14ac:dyDescent="0.3">
      <c r="F125">
        <v>3</v>
      </c>
      <c r="G125">
        <v>26</v>
      </c>
      <c r="H125" s="61">
        <f>IF(MC_Check!$AN$2="PHY",misc[[#This Row],[location]],misc[[#This Row],[Module_log]])</f>
        <v>26</v>
      </c>
      <c r="I125" s="61">
        <f>misc[[#This Row],[Module]]</f>
        <v>26</v>
      </c>
      <c r="J125" s="61">
        <f t="shared" si="6"/>
        <v>3</v>
      </c>
      <c r="K125" s="61">
        <f t="shared" si="5"/>
        <v>6</v>
      </c>
      <c r="L125" s="61">
        <v>2</v>
      </c>
      <c r="M125" s="61" t="str">
        <f>_xlfn.TEXTJOIN("",,misc[[#This Row],[ROW]],misc[[#This Row],[ROW]])</f>
        <v>66</v>
      </c>
      <c r="N125" s="5" t="b">
        <f>misc[[#This Row],[Core_Hitter_Count]]&gt;0</f>
        <v>0</v>
      </c>
      <c r="O125" t="b">
        <f>misc[[#This Row],[LLC_Hitter_Count]]&gt;0</f>
        <v>0</v>
      </c>
      <c r="P125" t="b">
        <f>misc[[#This Row],[CHA_Hitter_Count]]&gt;0</f>
        <v>0</v>
      </c>
      <c r="Q125" t="str">
        <f>_xlfn.TEXTJOIN("",,"*SOCKET0**CBB",misc[[#This Row],[CBB]],"**BASE**I_CCF_ENV",misc[[#This Row],[ENV]],splitchar,"CBREGS_ALL",misc[[#This Row],[CBO]],splitchar,"MC_STATUS*")</f>
        <v>*SOCKET0**CBB3**BASE**I_CCF_ENV2__CBREGS_ALL66__MC_STATUS*</v>
      </c>
      <c r="R125">
        <f>COUNTIFS(cha_mc[TestName],misc[[#This Row],[CBO_MCA_String]],cha_mc[VisualId],MC_Check!$H$2)</f>
        <v>0</v>
      </c>
      <c r="S125" t="str">
        <f>_xlfn.TEXTJOIN("",,"*SOCKET0**CBB",misc[[#This Row],[CBB]],"**COMPUTE",misc[[#This Row],[Compute]],"**MODULE",misc[[#This Row],[Module]],splitchar,"**CORE**IFU*CR*MC0*STATUS**")</f>
        <v>*SOCKET0**CBB3**COMPUTE3**MODULE26__**CORE**IFU*CR*MC0*STATUS**</v>
      </c>
      <c r="T125">
        <f>COUNTIFS(core_mc[TestName],misc[[#This Row],[IFU_MCA_String]],core_mc[VisualId],MC_Check!$H$2)</f>
        <v>0</v>
      </c>
      <c r="U125" t="str">
        <f>_xlfn.TEXTJOIN("",,"*SOCKET0**CBB",misc[[#This Row],[CBB]],"**COMPUTE",misc[[#This Row],[Compute]],"**MODULE",misc[[#This Row],[Module]],splitchar,"**CORE**ROB1*CR*MC*STATUS**")</f>
        <v>*SOCKET0**CBB3**COMPUTE3**MODULE26__**CORE**ROB1*CR*MC*STATUS**</v>
      </c>
      <c r="V125">
        <f>COUNTIFS(core_mc[TestName],misc[[#This Row],[ROB_MCA_String]],core_mc[VisualId],MC_Check!$H$2)</f>
        <v>0</v>
      </c>
      <c r="W125" t="str">
        <f>_xlfn.TEXTJOIN("",,"*SOCKET0**CBB",misc[[#This Row],[CBB]],"**COMPUTE",misc[[#This Row],[Compute]],"**MODULE",misc[[#This Row],[Module]],splitchar,"**CORE**DCU*CR*MC1*STATUS**")</f>
        <v>*SOCKET0**CBB3**COMPUTE3**MODULE26__**CORE**DCU*CR*MC1*STATUS**</v>
      </c>
      <c r="X125">
        <f>COUNTIFS(core_mc[TestName],misc[[#This Row],[DCU_MCA_String]],core_mc[VisualId],MC_Check!$H$2)</f>
        <v>0</v>
      </c>
      <c r="Y125" t="str">
        <f>_xlfn.TEXTJOIN("",,"*SOCKET0**CBB",misc[[#This Row],[CBB]],"**COMPUTE",misc[[#This Row],[Compute]],"**MODULE",misc[[#This Row],[Module]],splitchar,"**CORE**DTLB*CR*MC2*STATUS**")</f>
        <v>*SOCKET0**CBB3**COMPUTE3**MODULE26__**CORE**DTLB*CR*MC2*STATUS**</v>
      </c>
      <c r="Z125">
        <f>COUNTIFS(core_mc[TestName],misc[[#This Row],[CORE_DTLB_String]],core_mc[VisualId],MC_Check!$H$2)</f>
        <v>0</v>
      </c>
      <c r="AA125" t="str">
        <f>_xlfn.TEXTJOIN("",,"*SOCKET0**CBB",misc[[#This Row],[CBB]],"**COMPUTE",misc[[#This Row],[Compute]],"**MODULE",misc[[#This Row],[Module]],splitchar,"**ML2*CR*MC3*STATUS**")</f>
        <v>*SOCKET0**CBB3**COMPUTE3**MODULE26__**ML2*CR*MC3*STATUS**</v>
      </c>
      <c r="AB125">
        <f>COUNTIFS(core_mc[TestName],misc[[#This Row],[Core_ML2_String]],core_mc[VisualId],MC_Check!$H$2)</f>
        <v>0</v>
      </c>
      <c r="AC125" t="str">
        <f>_xlfn.TEXTJOIN("",,"*SOCKET0**CBB",misc[[#This Row],[CBB]],"**COMPUTE",misc[[#This Row],[Compute]],"**MODULE",misc[[#This Row],[Module]],splitchar,"SPARE")</f>
        <v>*SOCKET0**CBB3**COMPUTE3**MODULE26__SPARE</v>
      </c>
      <c r="AD125">
        <f>COUNTIFS(core_mc[TestName],misc[[#This Row],[Core_L2_String - SPARE]],core_mc[VisualId],MC_Check!$H$2)</f>
        <v>0</v>
      </c>
      <c r="AE125">
        <f>misc[[#This Row],[Core_DTLB_Count]]+misc[[#This Row],[Core_DCU_Count]]+misc[[#This Row],[Core_IFU_Count]]+misc[[#This Row],[Core_ROB_Count]]+misc[[#This Row],[Core_L2_Count - SPARE]]+misc[[#This Row],[Core_ML2_Count]]</f>
        <v>0</v>
      </c>
      <c r="AF125" t="str">
        <f>_xlfn.TEXTJOIN(", ",,IF(misc[[#This Row],[Core_IFU_Count]]&gt;0,"IFU",""),IF(misc[[#This Row],[Core_DCU_Count]]&gt;0,"DCU",""),IF(misc[[#This Row],[Core_DTLB_Count]]&gt;0,"DTLB",""),IF(misc[[#This Row],[Core_ROB_Count]]&gt;0,"ROB",""),IF(misc[[#This Row],[Core_ML2_Count]]&gt;0,"ML2",""),IF(misc[[#This Row],[Core_L2_Count - SPARE]]&gt;0,"L2",""))</f>
        <v/>
      </c>
      <c r="AG125" t="str">
        <f>_xlfn.TEXTJOIN("",,"*SOCKET0**CBB",misc[[#This Row],[CBB]],"**BASE**I_CCF**ENV",misc[[#This Row],[ENV]],splitchar,"CBREGS_ALL",misc[[#This Row],[CBO]],splitchar,"SPARE")</f>
        <v>*SOCKET0**CBB3**BASE**I_CCF**ENV2__CBREGS_ALL66__SPARE</v>
      </c>
      <c r="AH125">
        <f>COUNTIFS(cha_mc[TestName],misc[[#This Row],[LLC_MCA_String - Not Used]],cha_mc[VisualId],MC_Check!$H$2)</f>
        <v>0</v>
      </c>
    </row>
    <row r="126" spans="6:34" x14ac:dyDescent="0.3">
      <c r="F126">
        <v>3</v>
      </c>
      <c r="G126">
        <v>27</v>
      </c>
      <c r="H126" s="61">
        <f>IF(MC_Check!$AN$2="PHY",misc[[#This Row],[location]],misc[[#This Row],[Module_log]])</f>
        <v>27</v>
      </c>
      <c r="I126" s="61">
        <f>misc[[#This Row],[Module]]</f>
        <v>27</v>
      </c>
      <c r="J126" s="61">
        <f t="shared" si="6"/>
        <v>3</v>
      </c>
      <c r="K126" s="61">
        <f t="shared" si="5"/>
        <v>6</v>
      </c>
      <c r="L126" s="61">
        <v>3</v>
      </c>
      <c r="M126" s="61" t="str">
        <f>_xlfn.TEXTJOIN("",,misc[[#This Row],[ROW]],misc[[#This Row],[ROW]])</f>
        <v>66</v>
      </c>
      <c r="N126" s="5" t="b">
        <f>misc[[#This Row],[Core_Hitter_Count]]&gt;0</f>
        <v>0</v>
      </c>
      <c r="O126" t="b">
        <f>misc[[#This Row],[LLC_Hitter_Count]]&gt;0</f>
        <v>0</v>
      </c>
      <c r="P126" t="b">
        <f>misc[[#This Row],[CHA_Hitter_Count]]&gt;0</f>
        <v>0</v>
      </c>
      <c r="Q126" t="str">
        <f>_xlfn.TEXTJOIN("",,"*SOCKET0**CBB",misc[[#This Row],[CBB]],"**BASE**I_CCF_ENV",misc[[#This Row],[ENV]],splitchar,"CBREGS_ALL",misc[[#This Row],[CBO]],splitchar,"MC_STATUS*")</f>
        <v>*SOCKET0**CBB3**BASE**I_CCF_ENV3__CBREGS_ALL66__MC_STATUS*</v>
      </c>
      <c r="R126">
        <f>COUNTIFS(cha_mc[TestName],misc[[#This Row],[CBO_MCA_String]],cha_mc[VisualId],MC_Check!$H$2)</f>
        <v>0</v>
      </c>
      <c r="S126" t="str">
        <f>_xlfn.TEXTJOIN("",,"*SOCKET0**CBB",misc[[#This Row],[CBB]],"**COMPUTE",misc[[#This Row],[Compute]],"**MODULE",misc[[#This Row],[Module]],splitchar,"**CORE**IFU*CR*MC0*STATUS**")</f>
        <v>*SOCKET0**CBB3**COMPUTE3**MODULE27__**CORE**IFU*CR*MC0*STATUS**</v>
      </c>
      <c r="T126">
        <f>COUNTIFS(core_mc[TestName],misc[[#This Row],[IFU_MCA_String]],core_mc[VisualId],MC_Check!$H$2)</f>
        <v>0</v>
      </c>
      <c r="U126" t="str">
        <f>_xlfn.TEXTJOIN("",,"*SOCKET0**CBB",misc[[#This Row],[CBB]],"**COMPUTE",misc[[#This Row],[Compute]],"**MODULE",misc[[#This Row],[Module]],splitchar,"**CORE**ROB1*CR*MC*STATUS**")</f>
        <v>*SOCKET0**CBB3**COMPUTE3**MODULE27__**CORE**ROB1*CR*MC*STATUS**</v>
      </c>
      <c r="V126">
        <f>COUNTIFS(core_mc[TestName],misc[[#This Row],[ROB_MCA_String]],core_mc[VisualId],MC_Check!$H$2)</f>
        <v>0</v>
      </c>
      <c r="W126" t="str">
        <f>_xlfn.TEXTJOIN("",,"*SOCKET0**CBB",misc[[#This Row],[CBB]],"**COMPUTE",misc[[#This Row],[Compute]],"**MODULE",misc[[#This Row],[Module]],splitchar,"**CORE**DCU*CR*MC1*STATUS**")</f>
        <v>*SOCKET0**CBB3**COMPUTE3**MODULE27__**CORE**DCU*CR*MC1*STATUS**</v>
      </c>
      <c r="X126">
        <f>COUNTIFS(core_mc[TestName],misc[[#This Row],[DCU_MCA_String]],core_mc[VisualId],MC_Check!$H$2)</f>
        <v>0</v>
      </c>
      <c r="Y126" t="str">
        <f>_xlfn.TEXTJOIN("",,"*SOCKET0**CBB",misc[[#This Row],[CBB]],"**COMPUTE",misc[[#This Row],[Compute]],"**MODULE",misc[[#This Row],[Module]],splitchar,"**CORE**DTLB*CR*MC2*STATUS**")</f>
        <v>*SOCKET0**CBB3**COMPUTE3**MODULE27__**CORE**DTLB*CR*MC2*STATUS**</v>
      </c>
      <c r="Z126">
        <f>COUNTIFS(core_mc[TestName],misc[[#This Row],[CORE_DTLB_String]],core_mc[VisualId],MC_Check!$H$2)</f>
        <v>0</v>
      </c>
      <c r="AA126" t="str">
        <f>_xlfn.TEXTJOIN("",,"*SOCKET0**CBB",misc[[#This Row],[CBB]],"**COMPUTE",misc[[#This Row],[Compute]],"**MODULE",misc[[#This Row],[Module]],splitchar,"**ML2*CR*MC3*STATUS**")</f>
        <v>*SOCKET0**CBB3**COMPUTE3**MODULE27__**ML2*CR*MC3*STATUS**</v>
      </c>
      <c r="AB126">
        <f>COUNTIFS(core_mc[TestName],misc[[#This Row],[Core_ML2_String]],core_mc[VisualId],MC_Check!$H$2)</f>
        <v>0</v>
      </c>
      <c r="AC126" t="str">
        <f>_xlfn.TEXTJOIN("",,"*SOCKET0**CBB",misc[[#This Row],[CBB]],"**COMPUTE",misc[[#This Row],[Compute]],"**MODULE",misc[[#This Row],[Module]],splitchar,"SPARE")</f>
        <v>*SOCKET0**CBB3**COMPUTE3**MODULE27__SPARE</v>
      </c>
      <c r="AD126">
        <f>COUNTIFS(core_mc[TestName],misc[[#This Row],[Core_L2_String - SPARE]],core_mc[VisualId],MC_Check!$H$2)</f>
        <v>0</v>
      </c>
      <c r="AE126">
        <f>misc[[#This Row],[Core_DTLB_Count]]+misc[[#This Row],[Core_DCU_Count]]+misc[[#This Row],[Core_IFU_Count]]+misc[[#This Row],[Core_ROB_Count]]+misc[[#This Row],[Core_L2_Count - SPARE]]+misc[[#This Row],[Core_ML2_Count]]</f>
        <v>0</v>
      </c>
      <c r="AF126" t="str">
        <f>_xlfn.TEXTJOIN(", ",,IF(misc[[#This Row],[Core_IFU_Count]]&gt;0,"IFU",""),IF(misc[[#This Row],[Core_DCU_Count]]&gt;0,"DCU",""),IF(misc[[#This Row],[Core_DTLB_Count]]&gt;0,"DTLB",""),IF(misc[[#This Row],[Core_ROB_Count]]&gt;0,"ROB",""),IF(misc[[#This Row],[Core_ML2_Count]]&gt;0,"ML2",""),IF(misc[[#This Row],[Core_L2_Count - SPARE]]&gt;0,"L2",""))</f>
        <v/>
      </c>
      <c r="AG126" t="str">
        <f>_xlfn.TEXTJOIN("",,"*SOCKET0**CBB",misc[[#This Row],[CBB]],"**BASE**I_CCF**ENV",misc[[#This Row],[ENV]],splitchar,"CBREGS_ALL",misc[[#This Row],[CBO]],splitchar,"SPARE")</f>
        <v>*SOCKET0**CBB3**BASE**I_CCF**ENV3__CBREGS_ALL66__SPARE</v>
      </c>
      <c r="AH126">
        <f>COUNTIFS(cha_mc[TestName],misc[[#This Row],[LLC_MCA_String - Not Used]],cha_mc[VisualId],MC_Check!$H$2)</f>
        <v>0</v>
      </c>
    </row>
    <row r="127" spans="6:34" x14ac:dyDescent="0.3">
      <c r="F127">
        <v>3</v>
      </c>
      <c r="G127">
        <v>28</v>
      </c>
      <c r="H127" s="61">
        <f>IF(MC_Check!$AN$2="PHY",misc[[#This Row],[location]],misc[[#This Row],[Module_log]])</f>
        <v>28</v>
      </c>
      <c r="I127" s="61">
        <f>misc[[#This Row],[Module]]</f>
        <v>28</v>
      </c>
      <c r="J127" s="61">
        <f t="shared" si="6"/>
        <v>3</v>
      </c>
      <c r="K127" s="61">
        <f>K123+1</f>
        <v>7</v>
      </c>
      <c r="L127" s="61">
        <v>0</v>
      </c>
      <c r="M127" s="61" t="str">
        <f>_xlfn.TEXTJOIN("",,misc[[#This Row],[ROW]],misc[[#This Row],[ROW]])</f>
        <v>77</v>
      </c>
      <c r="N127" s="5" t="b">
        <f>misc[[#This Row],[Core_Hitter_Count]]&gt;0</f>
        <v>0</v>
      </c>
      <c r="O127" t="b">
        <f>misc[[#This Row],[LLC_Hitter_Count]]&gt;0</f>
        <v>0</v>
      </c>
      <c r="P127" t="b">
        <f>misc[[#This Row],[CHA_Hitter_Count]]&gt;0</f>
        <v>0</v>
      </c>
      <c r="Q127" t="str">
        <f>_xlfn.TEXTJOIN("",,"*SOCKET0**CBB",misc[[#This Row],[CBB]],"**BASE**I_CCF_ENV",misc[[#This Row],[ENV]],splitchar,"CBREGS_ALL",misc[[#This Row],[CBO]],splitchar,"MC_STATUS*")</f>
        <v>*SOCKET0**CBB3**BASE**I_CCF_ENV0__CBREGS_ALL77__MC_STATUS*</v>
      </c>
      <c r="R127">
        <f>COUNTIFS(cha_mc[TestName],misc[[#This Row],[CBO_MCA_String]],cha_mc[VisualId],MC_Check!$H$2)</f>
        <v>0</v>
      </c>
      <c r="S127" t="str">
        <f>_xlfn.TEXTJOIN("",,"*SOCKET0**CBB",misc[[#This Row],[CBB]],"**COMPUTE",misc[[#This Row],[Compute]],"**MODULE",misc[[#This Row],[Module]],splitchar,"**CORE**IFU*CR*MC0*STATUS**")</f>
        <v>*SOCKET0**CBB3**COMPUTE3**MODULE28__**CORE**IFU*CR*MC0*STATUS**</v>
      </c>
      <c r="T127">
        <f>COUNTIFS(core_mc[TestName],misc[[#This Row],[IFU_MCA_String]],core_mc[VisualId],MC_Check!$H$2)</f>
        <v>0</v>
      </c>
      <c r="U127" t="str">
        <f>_xlfn.TEXTJOIN("",,"*SOCKET0**CBB",misc[[#This Row],[CBB]],"**COMPUTE",misc[[#This Row],[Compute]],"**MODULE",misc[[#This Row],[Module]],splitchar,"**CORE**ROB1*CR*MC*STATUS**")</f>
        <v>*SOCKET0**CBB3**COMPUTE3**MODULE28__**CORE**ROB1*CR*MC*STATUS**</v>
      </c>
      <c r="V127">
        <f>COUNTIFS(core_mc[TestName],misc[[#This Row],[ROB_MCA_String]],core_mc[VisualId],MC_Check!$H$2)</f>
        <v>0</v>
      </c>
      <c r="W127" t="str">
        <f>_xlfn.TEXTJOIN("",,"*SOCKET0**CBB",misc[[#This Row],[CBB]],"**COMPUTE",misc[[#This Row],[Compute]],"**MODULE",misc[[#This Row],[Module]],splitchar,"**CORE**DCU*CR*MC1*STATUS**")</f>
        <v>*SOCKET0**CBB3**COMPUTE3**MODULE28__**CORE**DCU*CR*MC1*STATUS**</v>
      </c>
      <c r="X127">
        <f>COUNTIFS(core_mc[TestName],misc[[#This Row],[DCU_MCA_String]],core_mc[VisualId],MC_Check!$H$2)</f>
        <v>0</v>
      </c>
      <c r="Y127" t="str">
        <f>_xlfn.TEXTJOIN("",,"*SOCKET0**CBB",misc[[#This Row],[CBB]],"**COMPUTE",misc[[#This Row],[Compute]],"**MODULE",misc[[#This Row],[Module]],splitchar,"**CORE**DTLB*CR*MC2*STATUS**")</f>
        <v>*SOCKET0**CBB3**COMPUTE3**MODULE28__**CORE**DTLB*CR*MC2*STATUS**</v>
      </c>
      <c r="Z127">
        <f>COUNTIFS(core_mc[TestName],misc[[#This Row],[CORE_DTLB_String]],core_mc[VisualId],MC_Check!$H$2)</f>
        <v>0</v>
      </c>
      <c r="AA127" t="str">
        <f>_xlfn.TEXTJOIN("",,"*SOCKET0**CBB",misc[[#This Row],[CBB]],"**COMPUTE",misc[[#This Row],[Compute]],"**MODULE",misc[[#This Row],[Module]],splitchar,"**ML2*CR*MC3*STATUS**")</f>
        <v>*SOCKET0**CBB3**COMPUTE3**MODULE28__**ML2*CR*MC3*STATUS**</v>
      </c>
      <c r="AB127">
        <f>COUNTIFS(core_mc[TestName],misc[[#This Row],[Core_ML2_String]],core_mc[VisualId],MC_Check!$H$2)</f>
        <v>0</v>
      </c>
      <c r="AC127" t="str">
        <f>_xlfn.TEXTJOIN("",,"*SOCKET0**CBB",misc[[#This Row],[CBB]],"**COMPUTE",misc[[#This Row],[Compute]],"**MODULE",misc[[#This Row],[Module]],splitchar,"SPARE")</f>
        <v>*SOCKET0**CBB3**COMPUTE3**MODULE28__SPARE</v>
      </c>
      <c r="AD127">
        <f>COUNTIFS(core_mc[TestName],misc[[#This Row],[Core_L2_String - SPARE]],core_mc[VisualId],MC_Check!$H$2)</f>
        <v>0</v>
      </c>
      <c r="AE127">
        <f>misc[[#This Row],[Core_DTLB_Count]]+misc[[#This Row],[Core_DCU_Count]]+misc[[#This Row],[Core_IFU_Count]]+misc[[#This Row],[Core_ROB_Count]]+misc[[#This Row],[Core_L2_Count - SPARE]]+misc[[#This Row],[Core_ML2_Count]]</f>
        <v>0</v>
      </c>
      <c r="AF127" t="str">
        <f>_xlfn.TEXTJOIN(", ",,IF(misc[[#This Row],[Core_IFU_Count]]&gt;0,"IFU",""),IF(misc[[#This Row],[Core_DCU_Count]]&gt;0,"DCU",""),IF(misc[[#This Row],[Core_DTLB_Count]]&gt;0,"DTLB",""),IF(misc[[#This Row],[Core_ROB_Count]]&gt;0,"ROB",""),IF(misc[[#This Row],[Core_ML2_Count]]&gt;0,"ML2",""),IF(misc[[#This Row],[Core_L2_Count - SPARE]]&gt;0,"L2",""))</f>
        <v/>
      </c>
      <c r="AG127" t="str">
        <f>_xlfn.TEXTJOIN("",,"*SOCKET0**CBB",misc[[#This Row],[CBB]],"**BASE**I_CCF**ENV",misc[[#This Row],[ENV]],splitchar,"CBREGS_ALL",misc[[#This Row],[CBO]],splitchar,"SPARE")</f>
        <v>*SOCKET0**CBB3**BASE**I_CCF**ENV0__CBREGS_ALL77__SPARE</v>
      </c>
      <c r="AH127">
        <f>COUNTIFS(cha_mc[TestName],misc[[#This Row],[LLC_MCA_String - Not Used]],cha_mc[VisualId],MC_Check!$H$2)</f>
        <v>0</v>
      </c>
    </row>
    <row r="128" spans="6:34" x14ac:dyDescent="0.3">
      <c r="F128">
        <v>3</v>
      </c>
      <c r="G128">
        <v>29</v>
      </c>
      <c r="H128" s="61">
        <f>IF(MC_Check!$AN$2="PHY",misc[[#This Row],[location]],misc[[#This Row],[Module_log]])</f>
        <v>29</v>
      </c>
      <c r="I128" s="61">
        <f>misc[[#This Row],[Module]]</f>
        <v>29</v>
      </c>
      <c r="J128" s="61">
        <f t="shared" si="6"/>
        <v>3</v>
      </c>
      <c r="K128" s="61">
        <f t="shared" si="5"/>
        <v>7</v>
      </c>
      <c r="L128" s="61">
        <v>1</v>
      </c>
      <c r="M128" s="61" t="str">
        <f>_xlfn.TEXTJOIN("",,misc[[#This Row],[ROW]],misc[[#This Row],[ROW]])</f>
        <v>77</v>
      </c>
      <c r="N128" s="5" t="b">
        <f>misc[[#This Row],[Core_Hitter_Count]]&gt;0</f>
        <v>0</v>
      </c>
      <c r="O128" t="b">
        <f>misc[[#This Row],[LLC_Hitter_Count]]&gt;0</f>
        <v>0</v>
      </c>
      <c r="P128" t="b">
        <f>misc[[#This Row],[CHA_Hitter_Count]]&gt;0</f>
        <v>0</v>
      </c>
      <c r="Q128" t="str">
        <f>_xlfn.TEXTJOIN("",,"*SOCKET0**CBB",misc[[#This Row],[CBB]],"**BASE**I_CCF_ENV",misc[[#This Row],[ENV]],splitchar,"CBREGS_ALL",misc[[#This Row],[CBO]],splitchar,"MC_STATUS*")</f>
        <v>*SOCKET0**CBB3**BASE**I_CCF_ENV1__CBREGS_ALL77__MC_STATUS*</v>
      </c>
      <c r="R128">
        <f>COUNTIFS(cha_mc[TestName],misc[[#This Row],[CBO_MCA_String]],cha_mc[VisualId],MC_Check!$H$2)</f>
        <v>0</v>
      </c>
      <c r="S128" t="str">
        <f>_xlfn.TEXTJOIN("",,"*SOCKET0**CBB",misc[[#This Row],[CBB]],"**COMPUTE",misc[[#This Row],[Compute]],"**MODULE",misc[[#This Row],[Module]],splitchar,"**CORE**IFU*CR*MC0*STATUS**")</f>
        <v>*SOCKET0**CBB3**COMPUTE3**MODULE29__**CORE**IFU*CR*MC0*STATUS**</v>
      </c>
      <c r="T128">
        <f>COUNTIFS(core_mc[TestName],misc[[#This Row],[IFU_MCA_String]],core_mc[VisualId],MC_Check!$H$2)</f>
        <v>0</v>
      </c>
      <c r="U128" t="str">
        <f>_xlfn.TEXTJOIN("",,"*SOCKET0**CBB",misc[[#This Row],[CBB]],"**COMPUTE",misc[[#This Row],[Compute]],"**MODULE",misc[[#This Row],[Module]],splitchar,"**CORE**ROB1*CR*MC*STATUS**")</f>
        <v>*SOCKET0**CBB3**COMPUTE3**MODULE29__**CORE**ROB1*CR*MC*STATUS**</v>
      </c>
      <c r="V128">
        <f>COUNTIFS(core_mc[TestName],misc[[#This Row],[ROB_MCA_String]],core_mc[VisualId],MC_Check!$H$2)</f>
        <v>0</v>
      </c>
      <c r="W128" t="str">
        <f>_xlfn.TEXTJOIN("",,"*SOCKET0**CBB",misc[[#This Row],[CBB]],"**COMPUTE",misc[[#This Row],[Compute]],"**MODULE",misc[[#This Row],[Module]],splitchar,"**CORE**DCU*CR*MC1*STATUS**")</f>
        <v>*SOCKET0**CBB3**COMPUTE3**MODULE29__**CORE**DCU*CR*MC1*STATUS**</v>
      </c>
      <c r="X128">
        <f>COUNTIFS(core_mc[TestName],misc[[#This Row],[DCU_MCA_String]],core_mc[VisualId],MC_Check!$H$2)</f>
        <v>0</v>
      </c>
      <c r="Y128" t="str">
        <f>_xlfn.TEXTJOIN("",,"*SOCKET0**CBB",misc[[#This Row],[CBB]],"**COMPUTE",misc[[#This Row],[Compute]],"**MODULE",misc[[#This Row],[Module]],splitchar,"**CORE**DTLB*CR*MC2*STATUS**")</f>
        <v>*SOCKET0**CBB3**COMPUTE3**MODULE29__**CORE**DTLB*CR*MC2*STATUS**</v>
      </c>
      <c r="Z128">
        <f>COUNTIFS(core_mc[TestName],misc[[#This Row],[CORE_DTLB_String]],core_mc[VisualId],MC_Check!$H$2)</f>
        <v>0</v>
      </c>
      <c r="AA128" t="str">
        <f>_xlfn.TEXTJOIN("",,"*SOCKET0**CBB",misc[[#This Row],[CBB]],"**COMPUTE",misc[[#This Row],[Compute]],"**MODULE",misc[[#This Row],[Module]],splitchar,"**ML2*CR*MC3*STATUS**")</f>
        <v>*SOCKET0**CBB3**COMPUTE3**MODULE29__**ML2*CR*MC3*STATUS**</v>
      </c>
      <c r="AB128">
        <f>COUNTIFS(core_mc[TestName],misc[[#This Row],[Core_ML2_String]],core_mc[VisualId],MC_Check!$H$2)</f>
        <v>0</v>
      </c>
      <c r="AC128" t="str">
        <f>_xlfn.TEXTJOIN("",,"*SOCKET0**CBB",misc[[#This Row],[CBB]],"**COMPUTE",misc[[#This Row],[Compute]],"**MODULE",misc[[#This Row],[Module]],splitchar,"SPARE")</f>
        <v>*SOCKET0**CBB3**COMPUTE3**MODULE29__SPARE</v>
      </c>
      <c r="AD128">
        <f>COUNTIFS(core_mc[TestName],misc[[#This Row],[Core_L2_String - SPARE]],core_mc[VisualId],MC_Check!$H$2)</f>
        <v>0</v>
      </c>
      <c r="AE128">
        <f>misc[[#This Row],[Core_DTLB_Count]]+misc[[#This Row],[Core_DCU_Count]]+misc[[#This Row],[Core_IFU_Count]]+misc[[#This Row],[Core_ROB_Count]]+misc[[#This Row],[Core_L2_Count - SPARE]]+misc[[#This Row],[Core_ML2_Count]]</f>
        <v>0</v>
      </c>
      <c r="AF128" t="str">
        <f>_xlfn.TEXTJOIN(", ",,IF(misc[[#This Row],[Core_IFU_Count]]&gt;0,"IFU",""),IF(misc[[#This Row],[Core_DCU_Count]]&gt;0,"DCU",""),IF(misc[[#This Row],[Core_DTLB_Count]]&gt;0,"DTLB",""),IF(misc[[#This Row],[Core_ROB_Count]]&gt;0,"ROB",""),IF(misc[[#This Row],[Core_ML2_Count]]&gt;0,"ML2",""),IF(misc[[#This Row],[Core_L2_Count - SPARE]]&gt;0,"L2",""))</f>
        <v/>
      </c>
      <c r="AG128" t="str">
        <f>_xlfn.TEXTJOIN("",,"*SOCKET0**CBB",misc[[#This Row],[CBB]],"**BASE**I_CCF**ENV",misc[[#This Row],[ENV]],splitchar,"CBREGS_ALL",misc[[#This Row],[CBO]],splitchar,"SPARE")</f>
        <v>*SOCKET0**CBB3**BASE**I_CCF**ENV1__CBREGS_ALL77__SPARE</v>
      </c>
      <c r="AH128">
        <f>COUNTIFS(cha_mc[TestName],misc[[#This Row],[LLC_MCA_String - Not Used]],cha_mc[VisualId],MC_Check!$H$2)</f>
        <v>0</v>
      </c>
    </row>
    <row r="129" spans="6:34" x14ac:dyDescent="0.3">
      <c r="F129">
        <v>3</v>
      </c>
      <c r="G129">
        <v>30</v>
      </c>
      <c r="H129" s="61">
        <f>IF(MC_Check!$AN$2="PHY",misc[[#This Row],[location]],misc[[#This Row],[Module_log]])</f>
        <v>30</v>
      </c>
      <c r="I129" s="61">
        <f>misc[[#This Row],[Module]]</f>
        <v>30</v>
      </c>
      <c r="J129" s="61">
        <f t="shared" si="6"/>
        <v>3</v>
      </c>
      <c r="K129" s="61">
        <f t="shared" si="5"/>
        <v>7</v>
      </c>
      <c r="L129" s="61">
        <v>2</v>
      </c>
      <c r="M129" s="61" t="str">
        <f>_xlfn.TEXTJOIN("",,misc[[#This Row],[ROW]],misc[[#This Row],[ROW]])</f>
        <v>77</v>
      </c>
      <c r="N129" s="5" t="b">
        <f>misc[[#This Row],[Core_Hitter_Count]]&gt;0</f>
        <v>0</v>
      </c>
      <c r="O129" t="b">
        <f>misc[[#This Row],[LLC_Hitter_Count]]&gt;0</f>
        <v>0</v>
      </c>
      <c r="P129" t="b">
        <f>misc[[#This Row],[CHA_Hitter_Count]]&gt;0</f>
        <v>0</v>
      </c>
      <c r="Q129" t="str">
        <f>_xlfn.TEXTJOIN("",,"*SOCKET0**CBB",misc[[#This Row],[CBB]],"**BASE**I_CCF_ENV",misc[[#This Row],[ENV]],splitchar,"CBREGS_ALL",misc[[#This Row],[CBO]],splitchar,"MC_STATUS*")</f>
        <v>*SOCKET0**CBB3**BASE**I_CCF_ENV2__CBREGS_ALL77__MC_STATUS*</v>
      </c>
      <c r="R129">
        <f>COUNTIFS(cha_mc[TestName],misc[[#This Row],[CBO_MCA_String]],cha_mc[VisualId],MC_Check!$H$2)</f>
        <v>0</v>
      </c>
      <c r="S129" t="str">
        <f>_xlfn.TEXTJOIN("",,"*SOCKET0**CBB",misc[[#This Row],[CBB]],"**COMPUTE",misc[[#This Row],[Compute]],"**MODULE",misc[[#This Row],[Module]],splitchar,"**CORE**IFU*CR*MC0*STATUS**")</f>
        <v>*SOCKET0**CBB3**COMPUTE3**MODULE30__**CORE**IFU*CR*MC0*STATUS**</v>
      </c>
      <c r="T129">
        <f>COUNTIFS(core_mc[TestName],misc[[#This Row],[IFU_MCA_String]],core_mc[VisualId],MC_Check!$H$2)</f>
        <v>0</v>
      </c>
      <c r="U129" t="str">
        <f>_xlfn.TEXTJOIN("",,"*SOCKET0**CBB",misc[[#This Row],[CBB]],"**COMPUTE",misc[[#This Row],[Compute]],"**MODULE",misc[[#This Row],[Module]],splitchar,"**CORE**ROB1*CR*MC*STATUS**")</f>
        <v>*SOCKET0**CBB3**COMPUTE3**MODULE30__**CORE**ROB1*CR*MC*STATUS**</v>
      </c>
      <c r="V129">
        <f>COUNTIFS(core_mc[TestName],misc[[#This Row],[ROB_MCA_String]],core_mc[VisualId],MC_Check!$H$2)</f>
        <v>0</v>
      </c>
      <c r="W129" t="str">
        <f>_xlfn.TEXTJOIN("",,"*SOCKET0**CBB",misc[[#This Row],[CBB]],"**COMPUTE",misc[[#This Row],[Compute]],"**MODULE",misc[[#This Row],[Module]],splitchar,"**CORE**DCU*CR*MC1*STATUS**")</f>
        <v>*SOCKET0**CBB3**COMPUTE3**MODULE30__**CORE**DCU*CR*MC1*STATUS**</v>
      </c>
      <c r="X129">
        <f>COUNTIFS(core_mc[TestName],misc[[#This Row],[DCU_MCA_String]],core_mc[VisualId],MC_Check!$H$2)</f>
        <v>0</v>
      </c>
      <c r="Y129" t="str">
        <f>_xlfn.TEXTJOIN("",,"*SOCKET0**CBB",misc[[#This Row],[CBB]],"**COMPUTE",misc[[#This Row],[Compute]],"**MODULE",misc[[#This Row],[Module]],splitchar,"**CORE**DTLB*CR*MC2*STATUS**")</f>
        <v>*SOCKET0**CBB3**COMPUTE3**MODULE30__**CORE**DTLB*CR*MC2*STATUS**</v>
      </c>
      <c r="Z129">
        <f>COUNTIFS(core_mc[TestName],misc[[#This Row],[CORE_DTLB_String]],core_mc[VisualId],MC_Check!$H$2)</f>
        <v>0</v>
      </c>
      <c r="AA129" t="str">
        <f>_xlfn.TEXTJOIN("",,"*SOCKET0**CBB",misc[[#This Row],[CBB]],"**COMPUTE",misc[[#This Row],[Compute]],"**MODULE",misc[[#This Row],[Module]],splitchar,"**ML2*CR*MC3*STATUS**")</f>
        <v>*SOCKET0**CBB3**COMPUTE3**MODULE30__**ML2*CR*MC3*STATUS**</v>
      </c>
      <c r="AB129">
        <f>COUNTIFS(core_mc[TestName],misc[[#This Row],[Core_ML2_String]],core_mc[VisualId],MC_Check!$H$2)</f>
        <v>0</v>
      </c>
      <c r="AC129" t="str">
        <f>_xlfn.TEXTJOIN("",,"*SOCKET0**CBB",misc[[#This Row],[CBB]],"**COMPUTE",misc[[#This Row],[Compute]],"**MODULE",misc[[#This Row],[Module]],splitchar,"SPARE")</f>
        <v>*SOCKET0**CBB3**COMPUTE3**MODULE30__SPARE</v>
      </c>
      <c r="AD129">
        <f>COUNTIFS(core_mc[TestName],misc[[#This Row],[Core_L2_String - SPARE]],core_mc[VisualId],MC_Check!$H$2)</f>
        <v>0</v>
      </c>
      <c r="AE129">
        <f>misc[[#This Row],[Core_DTLB_Count]]+misc[[#This Row],[Core_DCU_Count]]+misc[[#This Row],[Core_IFU_Count]]+misc[[#This Row],[Core_ROB_Count]]+misc[[#This Row],[Core_L2_Count - SPARE]]+misc[[#This Row],[Core_ML2_Count]]</f>
        <v>0</v>
      </c>
      <c r="AF129" t="str">
        <f>_xlfn.TEXTJOIN(", ",,IF(misc[[#This Row],[Core_IFU_Count]]&gt;0,"IFU",""),IF(misc[[#This Row],[Core_DCU_Count]]&gt;0,"DCU",""),IF(misc[[#This Row],[Core_DTLB_Count]]&gt;0,"DTLB",""),IF(misc[[#This Row],[Core_ROB_Count]]&gt;0,"ROB",""),IF(misc[[#This Row],[Core_ML2_Count]]&gt;0,"ML2",""),IF(misc[[#This Row],[Core_L2_Count - SPARE]]&gt;0,"L2",""))</f>
        <v/>
      </c>
      <c r="AG129" t="str">
        <f>_xlfn.TEXTJOIN("",,"*SOCKET0**CBB",misc[[#This Row],[CBB]],"**BASE**I_CCF**ENV",misc[[#This Row],[ENV]],splitchar,"CBREGS_ALL",misc[[#This Row],[CBO]],splitchar,"SPARE")</f>
        <v>*SOCKET0**CBB3**BASE**I_CCF**ENV2__CBREGS_ALL77__SPARE</v>
      </c>
      <c r="AH129">
        <f>COUNTIFS(cha_mc[TestName],misc[[#This Row],[LLC_MCA_String - Not Used]],cha_mc[VisualId],MC_Check!$H$2)</f>
        <v>0</v>
      </c>
    </row>
    <row r="130" spans="6:34" x14ac:dyDescent="0.3">
      <c r="F130">
        <v>3</v>
      </c>
      <c r="G130">
        <v>31</v>
      </c>
      <c r="H130" s="61">
        <f>IF(MC_Check!$AN$2="PHY",misc[[#This Row],[location]],misc[[#This Row],[Module_log]])</f>
        <v>31</v>
      </c>
      <c r="I130" s="61">
        <f>misc[[#This Row],[Module]]</f>
        <v>31</v>
      </c>
      <c r="J130" s="61">
        <f t="shared" si="6"/>
        <v>3</v>
      </c>
      <c r="K130" s="61">
        <f t="shared" si="5"/>
        <v>7</v>
      </c>
      <c r="L130" s="61">
        <v>3</v>
      </c>
      <c r="M130" s="61" t="str">
        <f>_xlfn.TEXTJOIN("",,misc[[#This Row],[ROW]],misc[[#This Row],[ROW]])</f>
        <v>77</v>
      </c>
      <c r="N130" s="5" t="b">
        <f>misc[[#This Row],[Core_Hitter_Count]]&gt;0</f>
        <v>0</v>
      </c>
      <c r="O130" t="b">
        <f>misc[[#This Row],[LLC_Hitter_Count]]&gt;0</f>
        <v>0</v>
      </c>
      <c r="P130" t="b">
        <f>misc[[#This Row],[CHA_Hitter_Count]]&gt;0</f>
        <v>0</v>
      </c>
      <c r="Q130" t="str">
        <f>_xlfn.TEXTJOIN("",,"*SOCKET0**CBB",misc[[#This Row],[CBB]],"**BASE**I_CCF_ENV",misc[[#This Row],[ENV]],splitchar,"CBREGS_ALL",misc[[#This Row],[CBO]],splitchar,"MC_STATUS*")</f>
        <v>*SOCKET0**CBB3**BASE**I_CCF_ENV3__CBREGS_ALL77__MC_STATUS*</v>
      </c>
      <c r="R130">
        <f>COUNTIFS(cha_mc[TestName],misc[[#This Row],[CBO_MCA_String]],cha_mc[VisualId],MC_Check!$H$2)</f>
        <v>0</v>
      </c>
      <c r="S130" t="str">
        <f>_xlfn.TEXTJOIN("",,"*SOCKET0**CBB",misc[[#This Row],[CBB]],"**COMPUTE",misc[[#This Row],[Compute]],"**MODULE",misc[[#This Row],[Module]],splitchar,"**CORE**IFU*CR*MC0*STATUS**")</f>
        <v>*SOCKET0**CBB3**COMPUTE3**MODULE31__**CORE**IFU*CR*MC0*STATUS**</v>
      </c>
      <c r="T130">
        <f>COUNTIFS(core_mc[TestName],misc[[#This Row],[IFU_MCA_String]],core_mc[VisualId],MC_Check!$H$2)</f>
        <v>0</v>
      </c>
      <c r="U130" t="str">
        <f>_xlfn.TEXTJOIN("",,"*SOCKET0**CBB",misc[[#This Row],[CBB]],"**COMPUTE",misc[[#This Row],[Compute]],"**MODULE",misc[[#This Row],[Module]],splitchar,"**CORE**ROB1*CR*MC*STATUS**")</f>
        <v>*SOCKET0**CBB3**COMPUTE3**MODULE31__**CORE**ROB1*CR*MC*STATUS**</v>
      </c>
      <c r="V130">
        <f>COUNTIFS(core_mc[TestName],misc[[#This Row],[ROB_MCA_String]],core_mc[VisualId],MC_Check!$H$2)</f>
        <v>0</v>
      </c>
      <c r="W130" t="str">
        <f>_xlfn.TEXTJOIN("",,"*SOCKET0**CBB",misc[[#This Row],[CBB]],"**COMPUTE",misc[[#This Row],[Compute]],"**MODULE",misc[[#This Row],[Module]],splitchar,"**CORE**DCU*CR*MC1*STATUS**")</f>
        <v>*SOCKET0**CBB3**COMPUTE3**MODULE31__**CORE**DCU*CR*MC1*STATUS**</v>
      </c>
      <c r="X130">
        <f>COUNTIFS(core_mc[TestName],misc[[#This Row],[DCU_MCA_String]],core_mc[VisualId],MC_Check!$H$2)</f>
        <v>0</v>
      </c>
      <c r="Y130" t="str">
        <f>_xlfn.TEXTJOIN("",,"*SOCKET0**CBB",misc[[#This Row],[CBB]],"**COMPUTE",misc[[#This Row],[Compute]],"**MODULE",misc[[#This Row],[Module]],splitchar,"**CORE**DTLB*CR*MC2*STATUS**")</f>
        <v>*SOCKET0**CBB3**COMPUTE3**MODULE31__**CORE**DTLB*CR*MC2*STATUS**</v>
      </c>
      <c r="Z130">
        <f>COUNTIFS(core_mc[TestName],misc[[#This Row],[CORE_DTLB_String]],core_mc[VisualId],MC_Check!$H$2)</f>
        <v>0</v>
      </c>
      <c r="AA130" t="str">
        <f>_xlfn.TEXTJOIN("",,"*SOCKET0**CBB",misc[[#This Row],[CBB]],"**COMPUTE",misc[[#This Row],[Compute]],"**MODULE",misc[[#This Row],[Module]],splitchar,"**ML2*CR*MC3*STATUS**")</f>
        <v>*SOCKET0**CBB3**COMPUTE3**MODULE31__**ML2*CR*MC3*STATUS**</v>
      </c>
      <c r="AB130">
        <f>COUNTIFS(core_mc[TestName],misc[[#This Row],[Core_ML2_String]],core_mc[VisualId],MC_Check!$H$2)</f>
        <v>0</v>
      </c>
      <c r="AC130" t="str">
        <f>_xlfn.TEXTJOIN("",,"*SOCKET0**CBB",misc[[#This Row],[CBB]],"**COMPUTE",misc[[#This Row],[Compute]],"**MODULE",misc[[#This Row],[Module]],splitchar,"SPARE")</f>
        <v>*SOCKET0**CBB3**COMPUTE3**MODULE31__SPARE</v>
      </c>
      <c r="AD130">
        <f>COUNTIFS(core_mc[TestName],misc[[#This Row],[Core_L2_String - SPARE]],core_mc[VisualId],MC_Check!$H$2)</f>
        <v>0</v>
      </c>
      <c r="AE130">
        <f>misc[[#This Row],[Core_DTLB_Count]]+misc[[#This Row],[Core_DCU_Count]]+misc[[#This Row],[Core_IFU_Count]]+misc[[#This Row],[Core_ROB_Count]]+misc[[#This Row],[Core_L2_Count - SPARE]]+misc[[#This Row],[Core_ML2_Count]]</f>
        <v>0</v>
      </c>
      <c r="AF130" t="str">
        <f>_xlfn.TEXTJOIN(", ",,IF(misc[[#This Row],[Core_IFU_Count]]&gt;0,"IFU",""),IF(misc[[#This Row],[Core_DCU_Count]]&gt;0,"DCU",""),IF(misc[[#This Row],[Core_DTLB_Count]]&gt;0,"DTLB",""),IF(misc[[#This Row],[Core_ROB_Count]]&gt;0,"ROB",""),IF(misc[[#This Row],[Core_ML2_Count]]&gt;0,"ML2",""),IF(misc[[#This Row],[Core_L2_Count - SPARE]]&gt;0,"L2",""))</f>
        <v/>
      </c>
      <c r="AG130" t="str">
        <f>_xlfn.TEXTJOIN("",,"*SOCKET0**CBB",misc[[#This Row],[CBB]],"**BASE**I_CCF**ENV",misc[[#This Row],[ENV]],splitchar,"CBREGS_ALL",misc[[#This Row],[CBO]],splitchar,"SPARE")</f>
        <v>*SOCKET0**CBB3**BASE**I_CCF**ENV3__CBREGS_ALL77__SPARE</v>
      </c>
      <c r="AH130">
        <f>COUNTIFS(cha_mc[TestName],misc[[#This Row],[LLC_MCA_String - Not Used]],cha_mc[VisualId],MC_Check!$H$2)</f>
        <v>0</v>
      </c>
    </row>
    <row r="131" spans="6:34" x14ac:dyDescent="0.3">
      <c r="H131" s="61"/>
      <c r="I131" s="61"/>
      <c r="M131" s="61" t="str">
        <f>_xlfn.TEXTJOIN("",,misc[[#This Row],[ROW]],misc[[#This Row],[ROW]])</f>
        <v/>
      </c>
      <c r="N131" s="5" t="b">
        <f>misc[[#This Row],[Core_Hitter_Count]]&gt;0</f>
        <v>0</v>
      </c>
      <c r="O131" t="b">
        <f>misc[[#This Row],[LLC_Hitter_Count]]&gt;0</f>
        <v>0</v>
      </c>
      <c r="P131" t="b">
        <f>misc[[#This Row],[CHA_Hitter_Count]]&gt;0</f>
        <v>0</v>
      </c>
      <c r="Q131" t="str">
        <f>_xlfn.TEXTJOIN("",,"*SOCKET0**CBB",misc[[#This Row],[CBB]],"**BASE**I_CCF_ENV",misc[[#This Row],[ENV]],splitchar,"CBREGS_ALL",misc[[#This Row],[CBO]],splitchar,"MC_STATUS*")</f>
        <v>*SOCKET0**CBB**BASE**I_CCF_ENV__CBREGS_ALL__MC_STATUS*</v>
      </c>
      <c r="R131">
        <f>COUNTIFS(cha_mc[TestName],misc[[#This Row],[CBO_MCA_String]],cha_mc[VisualId],MC_Check!$H$2)</f>
        <v>0</v>
      </c>
      <c r="S131" t="str">
        <f>_xlfn.TEXTJOIN("",,"*SOCKET0**CBB",misc[[#This Row],[CBB]],"**COMPUTE",misc[[#This Row],[Compute]],"**MODULE",misc[[#This Row],[Module]],splitchar,"**CORE**IFU*CR*MC0*STATUS**")</f>
        <v>*SOCKET0**CBB**COMPUTE**MODULE__**CORE**IFU*CR*MC0*STATUS**</v>
      </c>
      <c r="T131">
        <f>COUNTIFS(core_mc[TestName],misc[[#This Row],[IFU_MCA_String]],core_mc[VisualId],MC_Check!$H$2)</f>
        <v>0</v>
      </c>
      <c r="U131" t="str">
        <f>_xlfn.TEXTJOIN("",,"*SOCKET0**CBB",misc[[#This Row],[CBB]],"**COMPUTE",misc[[#This Row],[Compute]],"**MODULE",misc[[#This Row],[Module]],splitchar,"**CORE**ROB1*CR*MC*STATUS**")</f>
        <v>*SOCKET0**CBB**COMPUTE**MODULE__**CORE**ROB1*CR*MC*STATUS**</v>
      </c>
      <c r="V131">
        <f>COUNTIFS(core_mc[TestName],misc[[#This Row],[ROB_MCA_String]],core_mc[VisualId],MC_Check!$H$2)</f>
        <v>0</v>
      </c>
      <c r="W131" t="str">
        <f>_xlfn.TEXTJOIN("",,"*SOCKET0**CBB",misc[[#This Row],[CBB]],"**COMPUTE",misc[[#This Row],[Compute]],"**MODULE",misc[[#This Row],[Module]],splitchar,"**CORE**DCU*CR*MC1*STATUS**")</f>
        <v>*SOCKET0**CBB**COMPUTE**MODULE__**CORE**DCU*CR*MC1*STATUS**</v>
      </c>
      <c r="X131">
        <f>COUNTIFS(core_mc[TestName],misc[[#This Row],[DCU_MCA_String]],core_mc[VisualId],MC_Check!$H$2)</f>
        <v>0</v>
      </c>
      <c r="Y131" t="str">
        <f>_xlfn.TEXTJOIN("",,"*SOCKET0**CBB",misc[[#This Row],[CBB]],"**COMPUTE",misc[[#This Row],[Compute]],"**MODULE",misc[[#This Row],[Module]],splitchar,"**CORE**DTLB*CR*MC2*STATUS**")</f>
        <v>*SOCKET0**CBB**COMPUTE**MODULE__**CORE**DTLB*CR*MC2*STATUS**</v>
      </c>
      <c r="Z131">
        <f>COUNTIFS(core_mc[TestName],misc[[#This Row],[CORE_DTLB_String]],core_mc[VisualId],MC_Check!$H$2)</f>
        <v>0</v>
      </c>
      <c r="AA131" t="str">
        <f>_xlfn.TEXTJOIN("",,"*SOCKET0**CBB",misc[[#This Row],[CBB]],"**COMPUTE",misc[[#This Row],[Compute]],"**MODULE",misc[[#This Row],[Module]],splitchar,"**ML2*CR*MC3*STATUS**")</f>
        <v>*SOCKET0**CBB**COMPUTE**MODULE__**ML2*CR*MC3*STATUS**</v>
      </c>
      <c r="AB131">
        <f>COUNTIFS(core_mc[TestName],misc[[#This Row],[Core_ML2_String]],core_mc[VisualId],MC_Check!$H$2)</f>
        <v>0</v>
      </c>
      <c r="AC131" t="str">
        <f>_xlfn.TEXTJOIN("",,"*SOCKET0**CBB",misc[[#This Row],[CBB]],"**COMPUTE",misc[[#This Row],[Compute]],"**MODULE",misc[[#This Row],[Module]],splitchar,"SPARE")</f>
        <v>*SOCKET0**CBB**COMPUTE**MODULE__SPARE</v>
      </c>
      <c r="AD131">
        <f>COUNTIFS(core_mc[TestName],misc[[#This Row],[Core_L2_String - SPARE]],core_mc[VisualId],MC_Check!$H$2)</f>
        <v>0</v>
      </c>
      <c r="AE131">
        <f>misc[[#This Row],[Core_DTLB_Count]]+misc[[#This Row],[Core_DCU_Count]]+misc[[#This Row],[Core_IFU_Count]]+misc[[#This Row],[Core_ROB_Count]]+misc[[#This Row],[Core_L2_Count - SPARE]]+misc[[#This Row],[Core_ML2_Count]]</f>
        <v>0</v>
      </c>
      <c r="AF131" t="str">
        <f>_xlfn.TEXTJOIN(", ",,IF(misc[[#This Row],[Core_IFU_Count]]&gt;0,"IFU",""),IF(misc[[#This Row],[Core_DCU_Count]]&gt;0,"DCU",""),IF(misc[[#This Row],[Core_DTLB_Count]]&gt;0,"DTLB",""),IF(misc[[#This Row],[Core_ROB_Count]]&gt;0,"ROB",""),IF(misc[[#This Row],[Core_ML2_Count]]&gt;0,"ML2",""),IF(misc[[#This Row],[Core_L2_Count - SPARE]]&gt;0,"L2",""))</f>
        <v/>
      </c>
      <c r="AG131" t="str">
        <f>_xlfn.TEXTJOIN("",,"*SOCKET0**CBB",misc[[#This Row],[CBB]],"**BASE**I_CCF**ENV",misc[[#This Row],[ENV]],splitchar,"CBREGS_ALL",misc[[#This Row],[CBO]],splitchar,"SPARE")</f>
        <v>*SOCKET0**CBB**BASE**I_CCF**ENV__CBREGS_ALL__SPARE</v>
      </c>
      <c r="AH131">
        <f>COUNTIFS(cha_mc[TestName],misc[[#This Row],[LLC_MCA_String - Not Used]],cha_mc[VisualId],MC_Check!$H$2)</f>
        <v>0</v>
      </c>
    </row>
    <row r="132" spans="6:34" x14ac:dyDescent="0.3">
      <c r="H132" s="61"/>
      <c r="I132" s="61"/>
      <c r="J132" s="61"/>
      <c r="K132" s="61"/>
      <c r="L132" s="61"/>
      <c r="M132" s="61" t="str">
        <f>_xlfn.TEXTJOIN("",,misc[[#This Row],[ROW]],misc[[#This Row],[ROW]])</f>
        <v/>
      </c>
      <c r="N132" s="5" t="b">
        <f>misc[[#This Row],[Core_Hitter_Count]]&gt;0</f>
        <v>0</v>
      </c>
      <c r="O132" t="b">
        <f>misc[[#This Row],[LLC_Hitter_Count]]&gt;0</f>
        <v>0</v>
      </c>
      <c r="P132" t="b">
        <f>misc[[#This Row],[CHA_Hitter_Count]]&gt;0</f>
        <v>0</v>
      </c>
      <c r="Q132" t="str">
        <f>_xlfn.TEXTJOIN("",,"*SOCKET0**CBB",misc[[#This Row],[CBB]],"**BASE**I_CCF_ENV",misc[[#This Row],[ENV]],splitchar,"CBREGS_ALL",misc[[#This Row],[CBO]],splitchar,"MC_STATUS*")</f>
        <v>*SOCKET0**CBB**BASE**I_CCF_ENV__CBREGS_ALL__MC_STATUS*</v>
      </c>
      <c r="R132">
        <f>COUNTIFS(cha_mc[TestName],misc[[#This Row],[CBO_MCA_String]],cha_mc[VisualId],MC_Check!$H$2)</f>
        <v>0</v>
      </c>
      <c r="S132" t="str">
        <f>_xlfn.TEXTJOIN("",,"*SOCKET0**CBB",misc[[#This Row],[CBB]],"**COMPUTE",misc[[#This Row],[Compute]],"**MODULE",misc[[#This Row],[Module]],splitchar,"**CORE**IFU*CR*MC0*STATUS**")</f>
        <v>*SOCKET0**CBB**COMPUTE**MODULE__**CORE**IFU*CR*MC0*STATUS**</v>
      </c>
      <c r="T132">
        <f>COUNTIFS(core_mc[TestName],misc[[#This Row],[IFU_MCA_String]],core_mc[VisualId],MC_Check!$H$2)</f>
        <v>0</v>
      </c>
      <c r="U132" t="str">
        <f>_xlfn.TEXTJOIN("",,"*SOCKET0**CBB",misc[[#This Row],[CBB]],"**COMPUTE",misc[[#This Row],[Compute]],"**MODULE",misc[[#This Row],[Module]],splitchar,"**CORE**ROB1*CR*MC*STATUS**")</f>
        <v>*SOCKET0**CBB**COMPUTE**MODULE__**CORE**ROB1*CR*MC*STATUS**</v>
      </c>
      <c r="V132">
        <f>COUNTIFS(core_mc[TestName],misc[[#This Row],[ROB_MCA_String]],core_mc[VisualId],MC_Check!$H$2)</f>
        <v>0</v>
      </c>
      <c r="W132" t="str">
        <f>_xlfn.TEXTJOIN("",,"*SOCKET0**CBB",misc[[#This Row],[CBB]],"**COMPUTE",misc[[#This Row],[Compute]],"**MODULE",misc[[#This Row],[Module]],splitchar,"**CORE**DCU*CR*MC1*STATUS**")</f>
        <v>*SOCKET0**CBB**COMPUTE**MODULE__**CORE**DCU*CR*MC1*STATUS**</v>
      </c>
      <c r="X132">
        <f>COUNTIFS(core_mc[TestName],misc[[#This Row],[DCU_MCA_String]],core_mc[VisualId],MC_Check!$H$2)</f>
        <v>0</v>
      </c>
      <c r="Y132" t="str">
        <f>_xlfn.TEXTJOIN("",,"*SOCKET0**CBB",misc[[#This Row],[CBB]],"**COMPUTE",misc[[#This Row],[Compute]],"**MODULE",misc[[#This Row],[Module]],splitchar,"**CORE**DTLB*CR*MC2*STATUS**")</f>
        <v>*SOCKET0**CBB**COMPUTE**MODULE__**CORE**DTLB*CR*MC2*STATUS**</v>
      </c>
      <c r="Z132">
        <f>COUNTIFS(core_mc[TestName],misc[[#This Row],[CORE_DTLB_String]],core_mc[VisualId],MC_Check!$H$2)</f>
        <v>0</v>
      </c>
      <c r="AA132" t="str">
        <f>_xlfn.TEXTJOIN("",,"*SOCKET0**CBB",misc[[#This Row],[CBB]],"**COMPUTE",misc[[#This Row],[Compute]],"**MODULE",misc[[#This Row],[Module]],splitchar,"**ML2*CR*MC3*STATUS**")</f>
        <v>*SOCKET0**CBB**COMPUTE**MODULE__**ML2*CR*MC3*STATUS**</v>
      </c>
      <c r="AB132">
        <f>COUNTIFS(core_mc[TestName],misc[[#This Row],[Core_ML2_String]],core_mc[VisualId],MC_Check!$H$2)</f>
        <v>0</v>
      </c>
      <c r="AC132" t="str">
        <f>_xlfn.TEXTJOIN("",,"*SOCKET0**CBB",misc[[#This Row],[CBB]],"**COMPUTE",misc[[#This Row],[Compute]],"**MODULE",misc[[#This Row],[Module]],splitchar,"SPARE")</f>
        <v>*SOCKET0**CBB**COMPUTE**MODULE__SPARE</v>
      </c>
      <c r="AD132">
        <f>COUNTIFS(core_mc[TestName],misc[[#This Row],[Core_L2_String - SPARE]],core_mc[VisualId],MC_Check!$H$2)</f>
        <v>0</v>
      </c>
      <c r="AE132">
        <f>misc[[#This Row],[Core_DTLB_Count]]+misc[[#This Row],[Core_DCU_Count]]+misc[[#This Row],[Core_IFU_Count]]+misc[[#This Row],[Core_ROB_Count]]+misc[[#This Row],[Core_L2_Count - SPARE]]+misc[[#This Row],[Core_ML2_Count]]</f>
        <v>0</v>
      </c>
      <c r="AF132" t="str">
        <f>_xlfn.TEXTJOIN(", ",,IF(misc[[#This Row],[Core_IFU_Count]]&gt;0,"IFU",""),IF(misc[[#This Row],[Core_DCU_Count]]&gt;0,"DCU",""),IF(misc[[#This Row],[Core_DTLB_Count]]&gt;0,"DTLB",""),IF(misc[[#This Row],[Core_ROB_Count]]&gt;0,"ROB",""),IF(misc[[#This Row],[Core_ML2_Count]]&gt;0,"ML2",""),IF(misc[[#This Row],[Core_L2_Count - SPARE]]&gt;0,"L2",""))</f>
        <v/>
      </c>
      <c r="AG132" t="str">
        <f>_xlfn.TEXTJOIN("",,"*SOCKET0**CBB",misc[[#This Row],[CBB]],"**BASE**I_CCF**ENV",misc[[#This Row],[ENV]],splitchar,"CBREGS_ALL",misc[[#This Row],[CBO]],splitchar,"SPARE")</f>
        <v>*SOCKET0**CBB**BASE**I_CCF**ENV__CBREGS_ALL__SPARE</v>
      </c>
      <c r="AH132">
        <f>COUNTIFS(cha_mc[TestName],misc[[#This Row],[LLC_MCA_String - Not Used]],cha_mc[VisualId],MC_Check!$H$2)</f>
        <v>0</v>
      </c>
    </row>
    <row r="133" spans="6:34" x14ac:dyDescent="0.3">
      <c r="H133" s="61"/>
      <c r="I133" s="61"/>
      <c r="J133" s="61"/>
      <c r="K133" s="61"/>
      <c r="L133" s="61"/>
      <c r="M133" s="61" t="str">
        <f>_xlfn.TEXTJOIN("",,misc[[#This Row],[ROW]],misc[[#This Row],[ROW]])</f>
        <v/>
      </c>
      <c r="N133" s="5" t="b">
        <f>misc[[#This Row],[Core_Hitter_Count]]&gt;0</f>
        <v>0</v>
      </c>
      <c r="O133" t="b">
        <f>misc[[#This Row],[LLC_Hitter_Count]]&gt;0</f>
        <v>0</v>
      </c>
      <c r="P133" t="b">
        <f>misc[[#This Row],[CHA_Hitter_Count]]&gt;0</f>
        <v>0</v>
      </c>
      <c r="Q133" t="str">
        <f>_xlfn.TEXTJOIN("",,"*SOCKET0**CBB",misc[[#This Row],[CBB]],"**BASE**I_CCF_ENV",misc[[#This Row],[ENV]],splitchar,"CBREGS_ALL",misc[[#This Row],[CBO]],splitchar,"MC_STATUS*")</f>
        <v>*SOCKET0**CBB**BASE**I_CCF_ENV__CBREGS_ALL__MC_STATUS*</v>
      </c>
      <c r="R133">
        <f>COUNTIFS(cha_mc[TestName],misc[[#This Row],[CBO_MCA_String]],cha_mc[VisualId],MC_Check!$H$2)</f>
        <v>0</v>
      </c>
      <c r="S133" t="str">
        <f>_xlfn.TEXTJOIN("",,"*SOCKET0**CBB",misc[[#This Row],[CBB]],"**COMPUTE",misc[[#This Row],[Compute]],"**MODULE",misc[[#This Row],[Module]],splitchar,"**CORE**IFU*CR*MC0*STATUS**")</f>
        <v>*SOCKET0**CBB**COMPUTE**MODULE__**CORE**IFU*CR*MC0*STATUS**</v>
      </c>
      <c r="T133">
        <f>COUNTIFS(core_mc[TestName],misc[[#This Row],[IFU_MCA_String]],core_mc[VisualId],MC_Check!$H$2)</f>
        <v>0</v>
      </c>
      <c r="U133" t="str">
        <f>_xlfn.TEXTJOIN("",,"*SOCKET0**CBB",misc[[#This Row],[CBB]],"**COMPUTE",misc[[#This Row],[Compute]],"**MODULE",misc[[#This Row],[Module]],splitchar,"**CORE**ROB1*CR*MC*STATUS**")</f>
        <v>*SOCKET0**CBB**COMPUTE**MODULE__**CORE**ROB1*CR*MC*STATUS**</v>
      </c>
      <c r="V133">
        <f>COUNTIFS(core_mc[TestName],misc[[#This Row],[ROB_MCA_String]],core_mc[VisualId],MC_Check!$H$2)</f>
        <v>0</v>
      </c>
      <c r="W133" t="str">
        <f>_xlfn.TEXTJOIN("",,"*SOCKET0**CBB",misc[[#This Row],[CBB]],"**COMPUTE",misc[[#This Row],[Compute]],"**MODULE",misc[[#This Row],[Module]],splitchar,"**CORE**DCU*CR*MC1*STATUS**")</f>
        <v>*SOCKET0**CBB**COMPUTE**MODULE__**CORE**DCU*CR*MC1*STATUS**</v>
      </c>
      <c r="X133">
        <f>COUNTIFS(core_mc[TestName],misc[[#This Row],[DCU_MCA_String]],core_mc[VisualId],MC_Check!$H$2)</f>
        <v>0</v>
      </c>
      <c r="Y133" t="str">
        <f>_xlfn.TEXTJOIN("",,"*SOCKET0**CBB",misc[[#This Row],[CBB]],"**COMPUTE",misc[[#This Row],[Compute]],"**MODULE",misc[[#This Row],[Module]],splitchar,"**CORE**DTLB*CR*MC2*STATUS**")</f>
        <v>*SOCKET0**CBB**COMPUTE**MODULE__**CORE**DTLB*CR*MC2*STATUS**</v>
      </c>
      <c r="Z133">
        <f>COUNTIFS(core_mc[TestName],misc[[#This Row],[CORE_DTLB_String]],core_mc[VisualId],MC_Check!$H$2)</f>
        <v>0</v>
      </c>
      <c r="AA133" t="str">
        <f>_xlfn.TEXTJOIN("",,"*SOCKET0**CBB",misc[[#This Row],[CBB]],"**COMPUTE",misc[[#This Row],[Compute]],"**MODULE",misc[[#This Row],[Module]],splitchar,"**ML2*CR*MC3*STATUS**")</f>
        <v>*SOCKET0**CBB**COMPUTE**MODULE__**ML2*CR*MC3*STATUS**</v>
      </c>
      <c r="AB133">
        <f>COUNTIFS(core_mc[TestName],misc[[#This Row],[Core_ML2_String]],core_mc[VisualId],MC_Check!$H$2)</f>
        <v>0</v>
      </c>
      <c r="AC133" t="str">
        <f>_xlfn.TEXTJOIN("",,"*SOCKET0**CBB",misc[[#This Row],[CBB]],"**COMPUTE",misc[[#This Row],[Compute]],"**MODULE",misc[[#This Row],[Module]],splitchar,"SPARE")</f>
        <v>*SOCKET0**CBB**COMPUTE**MODULE__SPARE</v>
      </c>
      <c r="AD133">
        <f>COUNTIFS(core_mc[TestName],misc[[#This Row],[Core_L2_String - SPARE]],core_mc[VisualId],MC_Check!$H$2)</f>
        <v>0</v>
      </c>
      <c r="AE133">
        <f>misc[[#This Row],[Core_DTLB_Count]]+misc[[#This Row],[Core_DCU_Count]]+misc[[#This Row],[Core_IFU_Count]]+misc[[#This Row],[Core_ROB_Count]]+misc[[#This Row],[Core_L2_Count - SPARE]]+misc[[#This Row],[Core_ML2_Count]]</f>
        <v>0</v>
      </c>
      <c r="AF133" t="str">
        <f>_xlfn.TEXTJOIN(", ",,IF(misc[[#This Row],[Core_IFU_Count]]&gt;0,"IFU",""),IF(misc[[#This Row],[Core_DCU_Count]]&gt;0,"DCU",""),IF(misc[[#This Row],[Core_DTLB_Count]]&gt;0,"DTLB",""),IF(misc[[#This Row],[Core_ROB_Count]]&gt;0,"ROB",""),IF(misc[[#This Row],[Core_ML2_Count]]&gt;0,"ML2",""),IF(misc[[#This Row],[Core_L2_Count - SPARE]]&gt;0,"L2",""))</f>
        <v/>
      </c>
      <c r="AG133" t="str">
        <f>_xlfn.TEXTJOIN("",,"*SOCKET0**CBB",misc[[#This Row],[CBB]],"**BASE**I_CCF**ENV",misc[[#This Row],[ENV]],splitchar,"CBREGS_ALL",misc[[#This Row],[CBO]],splitchar,"SPARE")</f>
        <v>*SOCKET0**CBB**BASE**I_CCF**ENV__CBREGS_ALL__SPARE</v>
      </c>
      <c r="AH133">
        <f>COUNTIFS(cha_mc[TestName],misc[[#This Row],[LLC_MCA_String - Not Used]],cha_mc[VisualId],MC_Check!$H$2)</f>
        <v>0</v>
      </c>
    </row>
    <row r="134" spans="6:34" x14ac:dyDescent="0.3">
      <c r="H134" s="61"/>
      <c r="I134" s="61"/>
      <c r="J134" s="61"/>
      <c r="K134" s="61"/>
      <c r="L134" s="61"/>
      <c r="M134" s="61" t="str">
        <f>_xlfn.TEXTJOIN("",,misc[[#This Row],[ROW]],misc[[#This Row],[ROW]])</f>
        <v/>
      </c>
      <c r="N134" s="5" t="b">
        <f>misc[[#This Row],[Core_Hitter_Count]]&gt;0</f>
        <v>0</v>
      </c>
      <c r="O134" t="b">
        <f>misc[[#This Row],[LLC_Hitter_Count]]&gt;0</f>
        <v>0</v>
      </c>
      <c r="P134" t="b">
        <f>misc[[#This Row],[CHA_Hitter_Count]]&gt;0</f>
        <v>0</v>
      </c>
      <c r="Q134" t="str">
        <f>_xlfn.TEXTJOIN("",,"*SOCKET0**CBB",misc[[#This Row],[CBB]],"**BASE**I_CCF_ENV",misc[[#This Row],[ENV]],splitchar,"CBREGS_ALL",misc[[#This Row],[CBO]],splitchar,"MC_STATUS*")</f>
        <v>*SOCKET0**CBB**BASE**I_CCF_ENV__CBREGS_ALL__MC_STATUS*</v>
      </c>
      <c r="R134">
        <f>COUNTIFS(cha_mc[TestName],misc[[#This Row],[CBO_MCA_String]],cha_mc[VisualId],MC_Check!$H$2)</f>
        <v>0</v>
      </c>
      <c r="S134" t="str">
        <f>_xlfn.TEXTJOIN("",,"*SOCKET0**CBB",misc[[#This Row],[CBB]],"**COMPUTE",misc[[#This Row],[Compute]],"**MODULE",misc[[#This Row],[Module]],splitchar,"**CORE**IFU*CR*MC0*STATUS**")</f>
        <v>*SOCKET0**CBB**COMPUTE**MODULE__**CORE**IFU*CR*MC0*STATUS**</v>
      </c>
      <c r="T134">
        <f>COUNTIFS(core_mc[TestName],misc[[#This Row],[IFU_MCA_String]],core_mc[VisualId],MC_Check!$H$2)</f>
        <v>0</v>
      </c>
      <c r="U134" t="str">
        <f>_xlfn.TEXTJOIN("",,"*SOCKET0**CBB",misc[[#This Row],[CBB]],"**COMPUTE",misc[[#This Row],[Compute]],"**MODULE",misc[[#This Row],[Module]],splitchar,"**CORE**ROB1*CR*MC*STATUS**")</f>
        <v>*SOCKET0**CBB**COMPUTE**MODULE__**CORE**ROB1*CR*MC*STATUS**</v>
      </c>
      <c r="V134">
        <f>COUNTIFS(core_mc[TestName],misc[[#This Row],[ROB_MCA_String]],core_mc[VisualId],MC_Check!$H$2)</f>
        <v>0</v>
      </c>
      <c r="W134" t="str">
        <f>_xlfn.TEXTJOIN("",,"*SOCKET0**CBB",misc[[#This Row],[CBB]],"**COMPUTE",misc[[#This Row],[Compute]],"**MODULE",misc[[#This Row],[Module]],splitchar,"**CORE**DCU*CR*MC1*STATUS**")</f>
        <v>*SOCKET0**CBB**COMPUTE**MODULE__**CORE**DCU*CR*MC1*STATUS**</v>
      </c>
      <c r="X134">
        <f>COUNTIFS(core_mc[TestName],misc[[#This Row],[DCU_MCA_String]],core_mc[VisualId],MC_Check!$H$2)</f>
        <v>0</v>
      </c>
      <c r="Y134" t="str">
        <f>_xlfn.TEXTJOIN("",,"*SOCKET0**CBB",misc[[#This Row],[CBB]],"**COMPUTE",misc[[#This Row],[Compute]],"**MODULE",misc[[#This Row],[Module]],splitchar,"**CORE**DTLB*CR*MC2*STATUS**")</f>
        <v>*SOCKET0**CBB**COMPUTE**MODULE__**CORE**DTLB*CR*MC2*STATUS**</v>
      </c>
      <c r="Z134">
        <f>COUNTIFS(core_mc[TestName],misc[[#This Row],[CORE_DTLB_String]],core_mc[VisualId],MC_Check!$H$2)</f>
        <v>0</v>
      </c>
      <c r="AA134" t="str">
        <f>_xlfn.TEXTJOIN("",,"*SOCKET0**CBB",misc[[#This Row],[CBB]],"**COMPUTE",misc[[#This Row],[Compute]],"**MODULE",misc[[#This Row],[Module]],splitchar,"**ML2*CR*MC3*STATUS**")</f>
        <v>*SOCKET0**CBB**COMPUTE**MODULE__**ML2*CR*MC3*STATUS**</v>
      </c>
      <c r="AB134">
        <f>COUNTIFS(core_mc[TestName],misc[[#This Row],[Core_ML2_String]],core_mc[VisualId],MC_Check!$H$2)</f>
        <v>0</v>
      </c>
      <c r="AC134" t="str">
        <f>_xlfn.TEXTJOIN("",,"*SOCKET0**CBB",misc[[#This Row],[CBB]],"**COMPUTE",misc[[#This Row],[Compute]],"**MODULE",misc[[#This Row],[Module]],splitchar,"SPARE")</f>
        <v>*SOCKET0**CBB**COMPUTE**MODULE__SPARE</v>
      </c>
      <c r="AD134">
        <f>COUNTIFS(core_mc[TestName],misc[[#This Row],[Core_L2_String - SPARE]],core_mc[VisualId],MC_Check!$H$2)</f>
        <v>0</v>
      </c>
      <c r="AE134">
        <f>misc[[#This Row],[Core_DTLB_Count]]+misc[[#This Row],[Core_DCU_Count]]+misc[[#This Row],[Core_IFU_Count]]+misc[[#This Row],[Core_ROB_Count]]+misc[[#This Row],[Core_L2_Count - SPARE]]+misc[[#This Row],[Core_ML2_Count]]</f>
        <v>0</v>
      </c>
      <c r="AF134" t="str">
        <f>_xlfn.TEXTJOIN(", ",,IF(misc[[#This Row],[Core_IFU_Count]]&gt;0,"IFU",""),IF(misc[[#This Row],[Core_DCU_Count]]&gt;0,"DCU",""),IF(misc[[#This Row],[Core_DTLB_Count]]&gt;0,"DTLB",""),IF(misc[[#This Row],[Core_ROB_Count]]&gt;0,"ROB",""),IF(misc[[#This Row],[Core_ML2_Count]]&gt;0,"ML2",""),IF(misc[[#This Row],[Core_L2_Count - SPARE]]&gt;0,"L2",""))</f>
        <v/>
      </c>
      <c r="AG134" t="str">
        <f>_xlfn.TEXTJOIN("",,"*SOCKET0**CBB",misc[[#This Row],[CBB]],"**BASE**I_CCF**ENV",misc[[#This Row],[ENV]],splitchar,"CBREGS_ALL",misc[[#This Row],[CBO]],splitchar,"SPARE")</f>
        <v>*SOCKET0**CBB**BASE**I_CCF**ENV__CBREGS_ALL__SPARE</v>
      </c>
      <c r="AH134">
        <f>COUNTIFS(cha_mc[TestName],misc[[#This Row],[LLC_MCA_String - Not Used]],cha_mc[VisualId],MC_Check!$H$2)</f>
        <v>0</v>
      </c>
    </row>
    <row r="135" spans="6:34" x14ac:dyDescent="0.3">
      <c r="H135" s="61"/>
      <c r="I135" s="61"/>
      <c r="J135" s="61"/>
      <c r="K135" s="61"/>
      <c r="L135" s="61"/>
      <c r="M135" s="61" t="str">
        <f>_xlfn.TEXTJOIN("",,misc[[#This Row],[ROW]],misc[[#This Row],[ROW]])</f>
        <v/>
      </c>
      <c r="N135" s="5" t="b">
        <f>misc[[#This Row],[Core_Hitter_Count]]&gt;0</f>
        <v>0</v>
      </c>
      <c r="O135" t="b">
        <f>misc[[#This Row],[LLC_Hitter_Count]]&gt;0</f>
        <v>0</v>
      </c>
      <c r="P135" t="b">
        <f>misc[[#This Row],[CHA_Hitter_Count]]&gt;0</f>
        <v>0</v>
      </c>
      <c r="Q135" t="str">
        <f>_xlfn.TEXTJOIN("",,"*SOCKET0**CBB",misc[[#This Row],[CBB]],"**BASE**I_CCF_ENV",misc[[#This Row],[ENV]],splitchar,"CBREGS_ALL",misc[[#This Row],[CBO]],splitchar,"MC_STATUS*")</f>
        <v>*SOCKET0**CBB**BASE**I_CCF_ENV__CBREGS_ALL__MC_STATUS*</v>
      </c>
      <c r="R135">
        <f>COUNTIFS(cha_mc[TestName],misc[[#This Row],[CBO_MCA_String]],cha_mc[VisualId],MC_Check!$H$2)</f>
        <v>0</v>
      </c>
      <c r="S135" t="str">
        <f>_xlfn.TEXTJOIN("",,"*SOCKET0**CBB",misc[[#This Row],[CBB]],"**COMPUTE",misc[[#This Row],[Compute]],"**MODULE",misc[[#This Row],[Module]],splitchar,"**CORE**IFU*CR*MC0*STATUS**")</f>
        <v>*SOCKET0**CBB**COMPUTE**MODULE__**CORE**IFU*CR*MC0*STATUS**</v>
      </c>
      <c r="T135">
        <f>COUNTIFS(core_mc[TestName],misc[[#This Row],[IFU_MCA_String]],core_mc[VisualId],MC_Check!$H$2)</f>
        <v>0</v>
      </c>
      <c r="U135" t="str">
        <f>_xlfn.TEXTJOIN("",,"*SOCKET0**CBB",misc[[#This Row],[CBB]],"**COMPUTE",misc[[#This Row],[Compute]],"**MODULE",misc[[#This Row],[Module]],splitchar,"**CORE**ROB1*CR*MC*STATUS**")</f>
        <v>*SOCKET0**CBB**COMPUTE**MODULE__**CORE**ROB1*CR*MC*STATUS**</v>
      </c>
      <c r="V135">
        <f>COUNTIFS(core_mc[TestName],misc[[#This Row],[ROB_MCA_String]],core_mc[VisualId],MC_Check!$H$2)</f>
        <v>0</v>
      </c>
      <c r="W135" t="str">
        <f>_xlfn.TEXTJOIN("",,"*SOCKET0**CBB",misc[[#This Row],[CBB]],"**COMPUTE",misc[[#This Row],[Compute]],"**MODULE",misc[[#This Row],[Module]],splitchar,"**CORE**DCU*CR*MC1*STATUS**")</f>
        <v>*SOCKET0**CBB**COMPUTE**MODULE__**CORE**DCU*CR*MC1*STATUS**</v>
      </c>
      <c r="X135">
        <f>COUNTIFS(core_mc[TestName],misc[[#This Row],[DCU_MCA_String]],core_mc[VisualId],MC_Check!$H$2)</f>
        <v>0</v>
      </c>
      <c r="Y135" t="str">
        <f>_xlfn.TEXTJOIN("",,"*SOCKET0**CBB",misc[[#This Row],[CBB]],"**COMPUTE",misc[[#This Row],[Compute]],"**MODULE",misc[[#This Row],[Module]],splitchar,"**CORE**DTLB*CR*MC2*STATUS**")</f>
        <v>*SOCKET0**CBB**COMPUTE**MODULE__**CORE**DTLB*CR*MC2*STATUS**</v>
      </c>
      <c r="Z135">
        <f>COUNTIFS(core_mc[TestName],misc[[#This Row],[CORE_DTLB_String]],core_mc[VisualId],MC_Check!$H$2)</f>
        <v>0</v>
      </c>
      <c r="AA135" t="str">
        <f>_xlfn.TEXTJOIN("",,"*SOCKET0**CBB",misc[[#This Row],[CBB]],"**COMPUTE",misc[[#This Row],[Compute]],"**MODULE",misc[[#This Row],[Module]],splitchar,"**ML2*CR*MC3*STATUS**")</f>
        <v>*SOCKET0**CBB**COMPUTE**MODULE__**ML2*CR*MC3*STATUS**</v>
      </c>
      <c r="AB135">
        <f>COUNTIFS(core_mc[TestName],misc[[#This Row],[Core_ML2_String]],core_mc[VisualId],MC_Check!$H$2)</f>
        <v>0</v>
      </c>
      <c r="AC135" t="str">
        <f>_xlfn.TEXTJOIN("",,"*SOCKET0**CBB",misc[[#This Row],[CBB]],"**COMPUTE",misc[[#This Row],[Compute]],"**MODULE",misc[[#This Row],[Module]],splitchar,"SPARE")</f>
        <v>*SOCKET0**CBB**COMPUTE**MODULE__SPARE</v>
      </c>
      <c r="AD135">
        <f>COUNTIFS(core_mc[TestName],misc[[#This Row],[Core_L2_String - SPARE]],core_mc[VisualId],MC_Check!$H$2)</f>
        <v>0</v>
      </c>
      <c r="AE135">
        <f>misc[[#This Row],[Core_DTLB_Count]]+misc[[#This Row],[Core_DCU_Count]]+misc[[#This Row],[Core_IFU_Count]]+misc[[#This Row],[Core_ROB_Count]]+misc[[#This Row],[Core_L2_Count - SPARE]]+misc[[#This Row],[Core_ML2_Count]]</f>
        <v>0</v>
      </c>
      <c r="AF135" t="str">
        <f>_xlfn.TEXTJOIN(", ",,IF(misc[[#This Row],[Core_IFU_Count]]&gt;0,"IFU",""),IF(misc[[#This Row],[Core_DCU_Count]]&gt;0,"DCU",""),IF(misc[[#This Row],[Core_DTLB_Count]]&gt;0,"DTLB",""),IF(misc[[#This Row],[Core_ROB_Count]]&gt;0,"ROB",""),IF(misc[[#This Row],[Core_ML2_Count]]&gt;0,"ML2",""),IF(misc[[#This Row],[Core_L2_Count - SPARE]]&gt;0,"L2",""))</f>
        <v/>
      </c>
      <c r="AG135" t="str">
        <f>_xlfn.TEXTJOIN("",,"*SOCKET0**CBB",misc[[#This Row],[CBB]],"**BASE**I_CCF**ENV",misc[[#This Row],[ENV]],splitchar,"CBREGS_ALL",misc[[#This Row],[CBO]],splitchar,"SPARE")</f>
        <v>*SOCKET0**CBB**BASE**I_CCF**ENV__CBREGS_ALL__SPARE</v>
      </c>
      <c r="AH135">
        <f>COUNTIFS(cha_mc[TestName],misc[[#This Row],[LLC_MCA_String - Not Used]],cha_mc[VisualId],MC_Check!$H$2)</f>
        <v>0</v>
      </c>
    </row>
    <row r="136" spans="6:34" x14ac:dyDescent="0.3">
      <c r="H136" s="61"/>
      <c r="I136" s="61"/>
      <c r="M136" s="61" t="str">
        <f>_xlfn.TEXTJOIN("",,misc[[#This Row],[ROW]],misc[[#This Row],[ROW]])</f>
        <v/>
      </c>
      <c r="N136" s="5" t="b">
        <f>misc[[#This Row],[Core_Hitter_Count]]&gt;0</f>
        <v>0</v>
      </c>
      <c r="O136" t="b">
        <f>misc[[#This Row],[LLC_Hitter_Count]]&gt;0</f>
        <v>0</v>
      </c>
      <c r="P136" t="b">
        <f>misc[[#This Row],[CHA_Hitter_Count]]&gt;0</f>
        <v>0</v>
      </c>
      <c r="Q136" t="str">
        <f>_xlfn.TEXTJOIN("",,"*SOCKET0**CBB",misc[[#This Row],[CBB]],"**BASE**I_CCF_ENV",misc[[#This Row],[ENV]],splitchar,"CBREGS_ALL",misc[[#This Row],[CBO]],splitchar,"MC_STATUS*")</f>
        <v>*SOCKET0**CBB**BASE**I_CCF_ENV__CBREGS_ALL__MC_STATUS*</v>
      </c>
      <c r="R136">
        <f>COUNTIFS(cha_mc[TestName],misc[[#This Row],[CBO_MCA_String]],cha_mc[VisualId],MC_Check!$H$2)</f>
        <v>0</v>
      </c>
      <c r="S136" t="str">
        <f>_xlfn.TEXTJOIN("",,"*SOCKET0**CBB",misc[[#This Row],[CBB]],"**COMPUTE",misc[[#This Row],[Compute]],"**MODULE",misc[[#This Row],[Module]],splitchar,"**CORE**IFU*CR*MC0*STATUS**")</f>
        <v>*SOCKET0**CBB**COMPUTE**MODULE__**CORE**IFU*CR*MC0*STATUS**</v>
      </c>
      <c r="T136">
        <f>COUNTIFS(core_mc[TestName],misc[[#This Row],[IFU_MCA_String]],core_mc[VisualId],MC_Check!$H$2)</f>
        <v>0</v>
      </c>
      <c r="U136" t="str">
        <f>_xlfn.TEXTJOIN("",,"*SOCKET0**CBB",misc[[#This Row],[CBB]],"**COMPUTE",misc[[#This Row],[Compute]],"**MODULE",misc[[#This Row],[Module]],splitchar,"**CORE**ROB1*CR*MC*STATUS**")</f>
        <v>*SOCKET0**CBB**COMPUTE**MODULE__**CORE**ROB1*CR*MC*STATUS**</v>
      </c>
      <c r="V136">
        <f>COUNTIFS(core_mc[TestName],misc[[#This Row],[ROB_MCA_String]],core_mc[VisualId],MC_Check!$H$2)</f>
        <v>0</v>
      </c>
      <c r="W136" t="str">
        <f>_xlfn.TEXTJOIN("",,"*SOCKET0**CBB",misc[[#This Row],[CBB]],"**COMPUTE",misc[[#This Row],[Compute]],"**MODULE",misc[[#This Row],[Module]],splitchar,"**CORE**DCU*CR*MC1*STATUS**")</f>
        <v>*SOCKET0**CBB**COMPUTE**MODULE__**CORE**DCU*CR*MC1*STATUS**</v>
      </c>
      <c r="X136">
        <f>COUNTIFS(core_mc[TestName],misc[[#This Row],[DCU_MCA_String]],core_mc[VisualId],MC_Check!$H$2)</f>
        <v>0</v>
      </c>
      <c r="Y136" t="str">
        <f>_xlfn.TEXTJOIN("",,"*SOCKET0**CBB",misc[[#This Row],[CBB]],"**COMPUTE",misc[[#This Row],[Compute]],"**MODULE",misc[[#This Row],[Module]],splitchar,"**CORE**DTLB*CR*MC2*STATUS**")</f>
        <v>*SOCKET0**CBB**COMPUTE**MODULE__**CORE**DTLB*CR*MC2*STATUS**</v>
      </c>
      <c r="Z136">
        <f>COUNTIFS(core_mc[TestName],misc[[#This Row],[CORE_DTLB_String]],core_mc[VisualId],MC_Check!$H$2)</f>
        <v>0</v>
      </c>
      <c r="AA136" t="str">
        <f>_xlfn.TEXTJOIN("",,"*SOCKET0**CBB",misc[[#This Row],[CBB]],"**COMPUTE",misc[[#This Row],[Compute]],"**MODULE",misc[[#This Row],[Module]],splitchar,"**ML2*CR*MC3*STATUS**")</f>
        <v>*SOCKET0**CBB**COMPUTE**MODULE__**ML2*CR*MC3*STATUS**</v>
      </c>
      <c r="AB136">
        <f>COUNTIFS(core_mc[TestName],misc[[#This Row],[Core_ML2_String]],core_mc[VisualId],MC_Check!$H$2)</f>
        <v>0</v>
      </c>
      <c r="AC136" t="str">
        <f>_xlfn.TEXTJOIN("",,"*SOCKET0**CBB",misc[[#This Row],[CBB]],"**COMPUTE",misc[[#This Row],[Compute]],"**MODULE",misc[[#This Row],[Module]],splitchar,"SPARE")</f>
        <v>*SOCKET0**CBB**COMPUTE**MODULE__SPARE</v>
      </c>
      <c r="AD136">
        <f>COUNTIFS(core_mc[TestName],misc[[#This Row],[Core_L2_String - SPARE]],core_mc[VisualId],MC_Check!$H$2)</f>
        <v>0</v>
      </c>
      <c r="AE136">
        <f>misc[[#This Row],[Core_DTLB_Count]]+misc[[#This Row],[Core_DCU_Count]]+misc[[#This Row],[Core_IFU_Count]]+misc[[#This Row],[Core_ROB_Count]]+misc[[#This Row],[Core_L2_Count - SPARE]]+misc[[#This Row],[Core_ML2_Count]]</f>
        <v>0</v>
      </c>
      <c r="AF136" t="str">
        <f>_xlfn.TEXTJOIN(", ",,IF(misc[[#This Row],[Core_IFU_Count]]&gt;0,"IFU",""),IF(misc[[#This Row],[Core_DCU_Count]]&gt;0,"DCU",""),IF(misc[[#This Row],[Core_DTLB_Count]]&gt;0,"DTLB",""),IF(misc[[#This Row],[Core_ROB_Count]]&gt;0,"ROB",""),IF(misc[[#This Row],[Core_ML2_Count]]&gt;0,"ML2",""),IF(misc[[#This Row],[Core_L2_Count - SPARE]]&gt;0,"L2",""))</f>
        <v/>
      </c>
      <c r="AG136" t="str">
        <f>_xlfn.TEXTJOIN("",,"*SOCKET0**CBB",misc[[#This Row],[CBB]],"**BASE**I_CCF**ENV",misc[[#This Row],[ENV]],splitchar,"CBREGS_ALL",misc[[#This Row],[CBO]],splitchar,"SPARE")</f>
        <v>*SOCKET0**CBB**BASE**I_CCF**ENV__CBREGS_ALL__SPARE</v>
      </c>
      <c r="AH136">
        <f>COUNTIFS(cha_mc[TestName],misc[[#This Row],[LLC_MCA_String - Not Used]],cha_mc[VisualId],MC_Check!$H$2)</f>
        <v>0</v>
      </c>
    </row>
    <row r="137" spans="6:34" x14ac:dyDescent="0.3">
      <c r="H137" s="61"/>
      <c r="I137" s="61"/>
      <c r="M137" s="61" t="str">
        <f>_xlfn.TEXTJOIN("",,misc[[#This Row],[ROW]],misc[[#This Row],[ROW]])</f>
        <v/>
      </c>
      <c r="N137" s="5" t="b">
        <f>misc[[#This Row],[Core_Hitter_Count]]&gt;0</f>
        <v>0</v>
      </c>
      <c r="O137" t="b">
        <f>misc[[#This Row],[LLC_Hitter_Count]]&gt;0</f>
        <v>0</v>
      </c>
      <c r="P137" t="b">
        <f>misc[[#This Row],[CHA_Hitter_Count]]&gt;0</f>
        <v>0</v>
      </c>
      <c r="Q137" t="str">
        <f>_xlfn.TEXTJOIN("",,"*SOCKET0**CBB",misc[[#This Row],[CBB]],"**BASE**I_CCF_ENV",misc[[#This Row],[ENV]],splitchar,"CBREGS_ALL",misc[[#This Row],[CBO]],splitchar,"MC_STATUS*")</f>
        <v>*SOCKET0**CBB**BASE**I_CCF_ENV__CBREGS_ALL__MC_STATUS*</v>
      </c>
      <c r="R137">
        <f>COUNTIFS(cha_mc[TestName],misc[[#This Row],[CBO_MCA_String]],cha_mc[VisualId],MC_Check!$H$2)</f>
        <v>0</v>
      </c>
      <c r="S137" t="str">
        <f>_xlfn.TEXTJOIN("",,"*SOCKET0**CBB",misc[[#This Row],[CBB]],"**COMPUTE",misc[[#This Row],[Compute]],"**MODULE",misc[[#This Row],[Module]],splitchar,"**CORE**IFU*CR*MC0*STATUS**")</f>
        <v>*SOCKET0**CBB**COMPUTE**MODULE__**CORE**IFU*CR*MC0*STATUS**</v>
      </c>
      <c r="T137">
        <f>COUNTIFS(core_mc[TestName],misc[[#This Row],[IFU_MCA_String]],core_mc[VisualId],MC_Check!$H$2)</f>
        <v>0</v>
      </c>
      <c r="U137" t="str">
        <f>_xlfn.TEXTJOIN("",,"*SOCKET0**CBB",misc[[#This Row],[CBB]],"**COMPUTE",misc[[#This Row],[Compute]],"**MODULE",misc[[#This Row],[Module]],splitchar,"**CORE**ROB1*CR*MC*STATUS**")</f>
        <v>*SOCKET0**CBB**COMPUTE**MODULE__**CORE**ROB1*CR*MC*STATUS**</v>
      </c>
      <c r="V137">
        <f>COUNTIFS(core_mc[TestName],misc[[#This Row],[ROB_MCA_String]],core_mc[VisualId],MC_Check!$H$2)</f>
        <v>0</v>
      </c>
      <c r="W137" t="str">
        <f>_xlfn.TEXTJOIN("",,"*SOCKET0**CBB",misc[[#This Row],[CBB]],"**COMPUTE",misc[[#This Row],[Compute]],"**MODULE",misc[[#This Row],[Module]],splitchar,"**CORE**DCU*CR*MC1*STATUS**")</f>
        <v>*SOCKET0**CBB**COMPUTE**MODULE__**CORE**DCU*CR*MC1*STATUS**</v>
      </c>
      <c r="X137">
        <f>COUNTIFS(core_mc[TestName],misc[[#This Row],[DCU_MCA_String]],core_mc[VisualId],MC_Check!$H$2)</f>
        <v>0</v>
      </c>
      <c r="Y137" t="str">
        <f>_xlfn.TEXTJOIN("",,"*SOCKET0**CBB",misc[[#This Row],[CBB]],"**COMPUTE",misc[[#This Row],[Compute]],"**MODULE",misc[[#This Row],[Module]],splitchar,"**CORE**DTLB*CR*MC2*STATUS**")</f>
        <v>*SOCKET0**CBB**COMPUTE**MODULE__**CORE**DTLB*CR*MC2*STATUS**</v>
      </c>
      <c r="Z137">
        <f>COUNTIFS(core_mc[TestName],misc[[#This Row],[CORE_DTLB_String]],core_mc[VisualId],MC_Check!$H$2)</f>
        <v>0</v>
      </c>
      <c r="AA137" t="str">
        <f>_xlfn.TEXTJOIN("",,"*SOCKET0**CBB",misc[[#This Row],[CBB]],"**COMPUTE",misc[[#This Row],[Compute]],"**MODULE",misc[[#This Row],[Module]],splitchar,"**ML2*CR*MC3*STATUS**")</f>
        <v>*SOCKET0**CBB**COMPUTE**MODULE__**ML2*CR*MC3*STATUS**</v>
      </c>
      <c r="AB137">
        <f>COUNTIFS(core_mc[TestName],misc[[#This Row],[Core_ML2_String]],core_mc[VisualId],MC_Check!$H$2)</f>
        <v>0</v>
      </c>
      <c r="AC137" t="str">
        <f>_xlfn.TEXTJOIN("",,"*SOCKET0**CBB",misc[[#This Row],[CBB]],"**COMPUTE",misc[[#This Row],[Compute]],"**MODULE",misc[[#This Row],[Module]],splitchar,"SPARE")</f>
        <v>*SOCKET0**CBB**COMPUTE**MODULE__SPARE</v>
      </c>
      <c r="AD137">
        <f>COUNTIFS(core_mc[TestName],misc[[#This Row],[Core_L2_String - SPARE]],core_mc[VisualId],MC_Check!$H$2)</f>
        <v>0</v>
      </c>
      <c r="AE137">
        <f>misc[[#This Row],[Core_DTLB_Count]]+misc[[#This Row],[Core_DCU_Count]]+misc[[#This Row],[Core_IFU_Count]]+misc[[#This Row],[Core_ROB_Count]]+misc[[#This Row],[Core_L2_Count - SPARE]]+misc[[#This Row],[Core_ML2_Count]]</f>
        <v>0</v>
      </c>
      <c r="AF137" t="str">
        <f>_xlfn.TEXTJOIN(", ",,IF(misc[[#This Row],[Core_IFU_Count]]&gt;0,"IFU",""),IF(misc[[#This Row],[Core_DCU_Count]]&gt;0,"DCU",""),IF(misc[[#This Row],[Core_DTLB_Count]]&gt;0,"DTLB",""),IF(misc[[#This Row],[Core_ROB_Count]]&gt;0,"ROB",""),IF(misc[[#This Row],[Core_ML2_Count]]&gt;0,"ML2",""),IF(misc[[#This Row],[Core_L2_Count - SPARE]]&gt;0,"L2",""))</f>
        <v/>
      </c>
      <c r="AG137" t="str">
        <f>_xlfn.TEXTJOIN("",,"*SOCKET0**CBB",misc[[#This Row],[CBB]],"**BASE**I_CCF**ENV",misc[[#This Row],[ENV]],splitchar,"CBREGS_ALL",misc[[#This Row],[CBO]],splitchar,"SPARE")</f>
        <v>*SOCKET0**CBB**BASE**I_CCF**ENV__CBREGS_ALL__SPARE</v>
      </c>
      <c r="AH137">
        <f>COUNTIFS(cha_mc[TestName],misc[[#This Row],[LLC_MCA_String - Not Used]],cha_mc[VisualId],MC_Check!$H$2)</f>
        <v>0</v>
      </c>
    </row>
    <row r="138" spans="6:34" x14ac:dyDescent="0.3">
      <c r="H138" s="61"/>
      <c r="I138" s="61"/>
      <c r="M138" s="61" t="str">
        <f>_xlfn.TEXTJOIN("",,misc[[#This Row],[ROW]],misc[[#This Row],[ROW]])</f>
        <v/>
      </c>
      <c r="N138" s="5" t="b">
        <f>misc[[#This Row],[Core_Hitter_Count]]&gt;0</f>
        <v>0</v>
      </c>
      <c r="O138" t="b">
        <f>misc[[#This Row],[LLC_Hitter_Count]]&gt;0</f>
        <v>0</v>
      </c>
      <c r="P138" t="b">
        <f>misc[[#This Row],[CHA_Hitter_Count]]&gt;0</f>
        <v>0</v>
      </c>
      <c r="Q138" t="str">
        <f>_xlfn.TEXTJOIN("",,"*SOCKET0**CBB",misc[[#This Row],[CBB]],"**BASE**I_CCF_ENV",misc[[#This Row],[ENV]],splitchar,"CBREGS_ALL",misc[[#This Row],[CBO]],splitchar,"MC_STATUS*")</f>
        <v>*SOCKET0**CBB**BASE**I_CCF_ENV__CBREGS_ALL__MC_STATUS*</v>
      </c>
      <c r="R138">
        <f>COUNTIFS(cha_mc[TestName],misc[[#This Row],[CBO_MCA_String]],cha_mc[VisualId],MC_Check!$H$2)</f>
        <v>0</v>
      </c>
      <c r="S138" t="str">
        <f>_xlfn.TEXTJOIN("",,"*SOCKET0**CBB",misc[[#This Row],[CBB]],"**COMPUTE",misc[[#This Row],[Compute]],"**MODULE",misc[[#This Row],[Module]],splitchar,"**CORE**IFU*CR*MC0*STATUS**")</f>
        <v>*SOCKET0**CBB**COMPUTE**MODULE__**CORE**IFU*CR*MC0*STATUS**</v>
      </c>
      <c r="T138">
        <f>COUNTIFS(core_mc[TestName],misc[[#This Row],[IFU_MCA_String]],core_mc[VisualId],MC_Check!$H$2)</f>
        <v>0</v>
      </c>
      <c r="U138" t="str">
        <f>_xlfn.TEXTJOIN("",,"*SOCKET0**CBB",misc[[#This Row],[CBB]],"**COMPUTE",misc[[#This Row],[Compute]],"**MODULE",misc[[#This Row],[Module]],splitchar,"**CORE**ROB1*CR*MC*STATUS**")</f>
        <v>*SOCKET0**CBB**COMPUTE**MODULE__**CORE**ROB1*CR*MC*STATUS**</v>
      </c>
      <c r="V138">
        <f>COUNTIFS(core_mc[TestName],misc[[#This Row],[ROB_MCA_String]],core_mc[VisualId],MC_Check!$H$2)</f>
        <v>0</v>
      </c>
      <c r="W138" t="str">
        <f>_xlfn.TEXTJOIN("",,"*SOCKET0**CBB",misc[[#This Row],[CBB]],"**COMPUTE",misc[[#This Row],[Compute]],"**MODULE",misc[[#This Row],[Module]],splitchar,"**CORE**DCU*CR*MC1*STATUS**")</f>
        <v>*SOCKET0**CBB**COMPUTE**MODULE__**CORE**DCU*CR*MC1*STATUS**</v>
      </c>
      <c r="X138">
        <f>COUNTIFS(core_mc[TestName],misc[[#This Row],[DCU_MCA_String]],core_mc[VisualId],MC_Check!$H$2)</f>
        <v>0</v>
      </c>
      <c r="Y138" t="str">
        <f>_xlfn.TEXTJOIN("",,"*SOCKET0**CBB",misc[[#This Row],[CBB]],"**COMPUTE",misc[[#This Row],[Compute]],"**MODULE",misc[[#This Row],[Module]],splitchar,"**CORE**DTLB*CR*MC2*STATUS**")</f>
        <v>*SOCKET0**CBB**COMPUTE**MODULE__**CORE**DTLB*CR*MC2*STATUS**</v>
      </c>
      <c r="Z138">
        <f>COUNTIFS(core_mc[TestName],misc[[#This Row],[CORE_DTLB_String]],core_mc[VisualId],MC_Check!$H$2)</f>
        <v>0</v>
      </c>
      <c r="AA138" t="str">
        <f>_xlfn.TEXTJOIN("",,"*SOCKET0**CBB",misc[[#This Row],[CBB]],"**COMPUTE",misc[[#This Row],[Compute]],"**MODULE",misc[[#This Row],[Module]],splitchar,"**ML2*CR*MC3*STATUS**")</f>
        <v>*SOCKET0**CBB**COMPUTE**MODULE__**ML2*CR*MC3*STATUS**</v>
      </c>
      <c r="AB138">
        <f>COUNTIFS(core_mc[TestName],misc[[#This Row],[Core_ML2_String]],core_mc[VisualId],MC_Check!$H$2)</f>
        <v>0</v>
      </c>
      <c r="AC138" t="str">
        <f>_xlfn.TEXTJOIN("",,"*SOCKET0**CBB",misc[[#This Row],[CBB]],"**COMPUTE",misc[[#This Row],[Compute]],"**MODULE",misc[[#This Row],[Module]],splitchar,"SPARE")</f>
        <v>*SOCKET0**CBB**COMPUTE**MODULE__SPARE</v>
      </c>
      <c r="AD138">
        <f>COUNTIFS(core_mc[TestName],misc[[#This Row],[Core_L2_String - SPARE]],core_mc[VisualId],MC_Check!$H$2)</f>
        <v>0</v>
      </c>
      <c r="AE138">
        <f>misc[[#This Row],[Core_DTLB_Count]]+misc[[#This Row],[Core_DCU_Count]]+misc[[#This Row],[Core_IFU_Count]]+misc[[#This Row],[Core_ROB_Count]]+misc[[#This Row],[Core_L2_Count - SPARE]]+misc[[#This Row],[Core_ML2_Count]]</f>
        <v>0</v>
      </c>
      <c r="AF138" t="str">
        <f>_xlfn.TEXTJOIN(", ",,IF(misc[[#This Row],[Core_IFU_Count]]&gt;0,"IFU",""),IF(misc[[#This Row],[Core_DCU_Count]]&gt;0,"DCU",""),IF(misc[[#This Row],[Core_DTLB_Count]]&gt;0,"DTLB",""),IF(misc[[#This Row],[Core_ROB_Count]]&gt;0,"ROB",""),IF(misc[[#This Row],[Core_ML2_Count]]&gt;0,"ML2",""),IF(misc[[#This Row],[Core_L2_Count - SPARE]]&gt;0,"L2",""))</f>
        <v/>
      </c>
      <c r="AG138" t="str">
        <f>_xlfn.TEXTJOIN("",,"*SOCKET0**CBB",misc[[#This Row],[CBB]],"**BASE**I_CCF**ENV",misc[[#This Row],[ENV]],splitchar,"CBREGS_ALL",misc[[#This Row],[CBO]],splitchar,"SPARE")</f>
        <v>*SOCKET0**CBB**BASE**I_CCF**ENV__CBREGS_ALL__SPARE</v>
      </c>
      <c r="AH138">
        <f>COUNTIFS(cha_mc[TestName],misc[[#This Row],[LLC_MCA_String - Not Used]],cha_mc[VisualId],MC_Check!$H$2)</f>
        <v>0</v>
      </c>
    </row>
    <row r="139" spans="6:34" x14ac:dyDescent="0.3">
      <c r="H139" s="61"/>
      <c r="I139" s="61"/>
      <c r="J139" s="61"/>
      <c r="K139" s="61"/>
      <c r="L139" s="61"/>
      <c r="M139" s="61" t="str">
        <f>_xlfn.TEXTJOIN("",,misc[[#This Row],[ROW]],misc[[#This Row],[ROW]])</f>
        <v/>
      </c>
      <c r="N139" s="5" t="b">
        <f>misc[[#This Row],[Core_Hitter_Count]]&gt;0</f>
        <v>0</v>
      </c>
      <c r="O139" t="b">
        <f>misc[[#This Row],[LLC_Hitter_Count]]&gt;0</f>
        <v>0</v>
      </c>
      <c r="P139" t="b">
        <f>misc[[#This Row],[CHA_Hitter_Count]]&gt;0</f>
        <v>0</v>
      </c>
      <c r="Q139" t="str">
        <f>_xlfn.TEXTJOIN("",,"*SOCKET0**CBB",misc[[#This Row],[CBB]],"**BASE**I_CCF_ENV",misc[[#This Row],[ENV]],splitchar,"CBREGS_ALL",misc[[#This Row],[CBO]],splitchar,"MC_STATUS*")</f>
        <v>*SOCKET0**CBB**BASE**I_CCF_ENV__CBREGS_ALL__MC_STATUS*</v>
      </c>
      <c r="R139">
        <f>COUNTIFS(cha_mc[TestName],misc[[#This Row],[CBO_MCA_String]],cha_mc[VisualId],MC_Check!$H$2)</f>
        <v>0</v>
      </c>
      <c r="S139" t="str">
        <f>_xlfn.TEXTJOIN("",,"*SOCKET0**CBB",misc[[#This Row],[CBB]],"**COMPUTE",misc[[#This Row],[Compute]],"**MODULE",misc[[#This Row],[Module]],splitchar,"**CORE**IFU*CR*MC0*STATUS**")</f>
        <v>*SOCKET0**CBB**COMPUTE**MODULE__**CORE**IFU*CR*MC0*STATUS**</v>
      </c>
      <c r="T139">
        <f>COUNTIFS(core_mc[TestName],misc[[#This Row],[IFU_MCA_String]],core_mc[VisualId],MC_Check!$H$2)</f>
        <v>0</v>
      </c>
      <c r="U139" t="str">
        <f>_xlfn.TEXTJOIN("",,"*SOCKET0**CBB",misc[[#This Row],[CBB]],"**COMPUTE",misc[[#This Row],[Compute]],"**MODULE",misc[[#This Row],[Module]],splitchar,"**CORE**ROB1*CR*MC*STATUS**")</f>
        <v>*SOCKET0**CBB**COMPUTE**MODULE__**CORE**ROB1*CR*MC*STATUS**</v>
      </c>
      <c r="V139">
        <f>COUNTIFS(core_mc[TestName],misc[[#This Row],[ROB_MCA_String]],core_mc[VisualId],MC_Check!$H$2)</f>
        <v>0</v>
      </c>
      <c r="W139" t="str">
        <f>_xlfn.TEXTJOIN("",,"*SOCKET0**CBB",misc[[#This Row],[CBB]],"**COMPUTE",misc[[#This Row],[Compute]],"**MODULE",misc[[#This Row],[Module]],splitchar,"**CORE**DCU*CR*MC1*STATUS**")</f>
        <v>*SOCKET0**CBB**COMPUTE**MODULE__**CORE**DCU*CR*MC1*STATUS**</v>
      </c>
      <c r="X139">
        <f>COUNTIFS(core_mc[TestName],misc[[#This Row],[DCU_MCA_String]],core_mc[VisualId],MC_Check!$H$2)</f>
        <v>0</v>
      </c>
      <c r="Y139" t="str">
        <f>_xlfn.TEXTJOIN("",,"*SOCKET0**CBB",misc[[#This Row],[CBB]],"**COMPUTE",misc[[#This Row],[Compute]],"**MODULE",misc[[#This Row],[Module]],splitchar,"**CORE**DTLB*CR*MC2*STATUS**")</f>
        <v>*SOCKET0**CBB**COMPUTE**MODULE__**CORE**DTLB*CR*MC2*STATUS**</v>
      </c>
      <c r="Z139">
        <f>COUNTIFS(core_mc[TestName],misc[[#This Row],[CORE_DTLB_String]],core_mc[VisualId],MC_Check!$H$2)</f>
        <v>0</v>
      </c>
      <c r="AA139" t="str">
        <f>_xlfn.TEXTJOIN("",,"*SOCKET0**CBB",misc[[#This Row],[CBB]],"**COMPUTE",misc[[#This Row],[Compute]],"**MODULE",misc[[#This Row],[Module]],splitchar,"**ML2*CR*MC3*STATUS**")</f>
        <v>*SOCKET0**CBB**COMPUTE**MODULE__**ML2*CR*MC3*STATUS**</v>
      </c>
      <c r="AB139">
        <f>COUNTIFS(core_mc[TestName],misc[[#This Row],[Core_ML2_String]],core_mc[VisualId],MC_Check!$H$2)</f>
        <v>0</v>
      </c>
      <c r="AC139" t="str">
        <f>_xlfn.TEXTJOIN("",,"*SOCKET0**CBB",misc[[#This Row],[CBB]],"**COMPUTE",misc[[#This Row],[Compute]],"**MODULE",misc[[#This Row],[Module]],splitchar,"SPARE")</f>
        <v>*SOCKET0**CBB**COMPUTE**MODULE__SPARE</v>
      </c>
      <c r="AD139">
        <f>COUNTIFS(core_mc[TestName],misc[[#This Row],[Core_L2_String - SPARE]],core_mc[VisualId],MC_Check!$H$2)</f>
        <v>0</v>
      </c>
      <c r="AE139">
        <f>misc[[#This Row],[Core_DTLB_Count]]+misc[[#This Row],[Core_DCU_Count]]+misc[[#This Row],[Core_IFU_Count]]+misc[[#This Row],[Core_ROB_Count]]+misc[[#This Row],[Core_L2_Count - SPARE]]+misc[[#This Row],[Core_ML2_Count]]</f>
        <v>0</v>
      </c>
      <c r="AF139" t="str">
        <f>_xlfn.TEXTJOIN(", ",,IF(misc[[#This Row],[Core_IFU_Count]]&gt;0,"IFU",""),IF(misc[[#This Row],[Core_DCU_Count]]&gt;0,"DCU",""),IF(misc[[#This Row],[Core_DTLB_Count]]&gt;0,"DTLB",""),IF(misc[[#This Row],[Core_ROB_Count]]&gt;0,"ROB",""),IF(misc[[#This Row],[Core_ML2_Count]]&gt;0,"ML2",""),IF(misc[[#This Row],[Core_L2_Count - SPARE]]&gt;0,"L2",""))</f>
        <v/>
      </c>
      <c r="AG139" t="str">
        <f>_xlfn.TEXTJOIN("",,"*SOCKET0**CBB",misc[[#This Row],[CBB]],"**BASE**I_CCF**ENV",misc[[#This Row],[ENV]],splitchar,"CBREGS_ALL",misc[[#This Row],[CBO]],splitchar,"SPARE")</f>
        <v>*SOCKET0**CBB**BASE**I_CCF**ENV__CBREGS_ALL__SPARE</v>
      </c>
      <c r="AH139">
        <f>COUNTIFS(cha_mc[TestName],misc[[#This Row],[LLC_MCA_String - Not Used]],cha_mc[VisualId],MC_Check!$H$2)</f>
        <v>0</v>
      </c>
    </row>
    <row r="140" spans="6:34" x14ac:dyDescent="0.3">
      <c r="H140" s="61"/>
      <c r="I140" s="61"/>
      <c r="J140" s="61"/>
      <c r="K140" s="61"/>
      <c r="L140" s="61"/>
      <c r="M140" s="61" t="str">
        <f>_xlfn.TEXTJOIN("",,misc[[#This Row],[ROW]],misc[[#This Row],[ROW]])</f>
        <v/>
      </c>
      <c r="N140" s="5" t="b">
        <f>misc[[#This Row],[Core_Hitter_Count]]&gt;0</f>
        <v>0</v>
      </c>
      <c r="O140" t="b">
        <f>misc[[#This Row],[LLC_Hitter_Count]]&gt;0</f>
        <v>0</v>
      </c>
      <c r="P140" t="b">
        <f>misc[[#This Row],[CHA_Hitter_Count]]&gt;0</f>
        <v>0</v>
      </c>
      <c r="Q140" t="str">
        <f>_xlfn.TEXTJOIN("",,"*SOCKET0**CBB",misc[[#This Row],[CBB]],"**BASE**I_CCF_ENV",misc[[#This Row],[ENV]],splitchar,"CBREGS_ALL",misc[[#This Row],[CBO]],splitchar,"MC_STATUS*")</f>
        <v>*SOCKET0**CBB**BASE**I_CCF_ENV__CBREGS_ALL__MC_STATUS*</v>
      </c>
      <c r="R140">
        <f>COUNTIFS(cha_mc[TestName],misc[[#This Row],[CBO_MCA_String]],cha_mc[VisualId],MC_Check!$H$2)</f>
        <v>0</v>
      </c>
      <c r="S140" t="str">
        <f>_xlfn.TEXTJOIN("",,"*SOCKET0**CBB",misc[[#This Row],[CBB]],"**COMPUTE",misc[[#This Row],[Compute]],"**MODULE",misc[[#This Row],[Module]],splitchar,"**CORE**IFU*CR*MC0*STATUS**")</f>
        <v>*SOCKET0**CBB**COMPUTE**MODULE__**CORE**IFU*CR*MC0*STATUS**</v>
      </c>
      <c r="T140">
        <f>COUNTIFS(core_mc[TestName],misc[[#This Row],[IFU_MCA_String]],core_mc[VisualId],MC_Check!$H$2)</f>
        <v>0</v>
      </c>
      <c r="U140" t="str">
        <f>_xlfn.TEXTJOIN("",,"*SOCKET0**CBB",misc[[#This Row],[CBB]],"**COMPUTE",misc[[#This Row],[Compute]],"**MODULE",misc[[#This Row],[Module]],splitchar,"**CORE**ROB1*CR*MC*STATUS**")</f>
        <v>*SOCKET0**CBB**COMPUTE**MODULE__**CORE**ROB1*CR*MC*STATUS**</v>
      </c>
      <c r="V140">
        <f>COUNTIFS(core_mc[TestName],misc[[#This Row],[ROB_MCA_String]],core_mc[VisualId],MC_Check!$H$2)</f>
        <v>0</v>
      </c>
      <c r="W140" t="str">
        <f>_xlfn.TEXTJOIN("",,"*SOCKET0**CBB",misc[[#This Row],[CBB]],"**COMPUTE",misc[[#This Row],[Compute]],"**MODULE",misc[[#This Row],[Module]],splitchar,"**CORE**DCU*CR*MC1*STATUS**")</f>
        <v>*SOCKET0**CBB**COMPUTE**MODULE__**CORE**DCU*CR*MC1*STATUS**</v>
      </c>
      <c r="X140">
        <f>COUNTIFS(core_mc[TestName],misc[[#This Row],[DCU_MCA_String]],core_mc[VisualId],MC_Check!$H$2)</f>
        <v>0</v>
      </c>
      <c r="Y140" t="str">
        <f>_xlfn.TEXTJOIN("",,"*SOCKET0**CBB",misc[[#This Row],[CBB]],"**COMPUTE",misc[[#This Row],[Compute]],"**MODULE",misc[[#This Row],[Module]],splitchar,"**CORE**DTLB*CR*MC2*STATUS**")</f>
        <v>*SOCKET0**CBB**COMPUTE**MODULE__**CORE**DTLB*CR*MC2*STATUS**</v>
      </c>
      <c r="Z140">
        <f>COUNTIFS(core_mc[TestName],misc[[#This Row],[CORE_DTLB_String]],core_mc[VisualId],MC_Check!$H$2)</f>
        <v>0</v>
      </c>
      <c r="AA140" t="str">
        <f>_xlfn.TEXTJOIN("",,"*SOCKET0**CBB",misc[[#This Row],[CBB]],"**COMPUTE",misc[[#This Row],[Compute]],"**MODULE",misc[[#This Row],[Module]],splitchar,"**ML2*CR*MC3*STATUS**")</f>
        <v>*SOCKET0**CBB**COMPUTE**MODULE__**ML2*CR*MC3*STATUS**</v>
      </c>
      <c r="AB140">
        <f>COUNTIFS(core_mc[TestName],misc[[#This Row],[Core_ML2_String]],core_mc[VisualId],MC_Check!$H$2)</f>
        <v>0</v>
      </c>
      <c r="AC140" t="str">
        <f>_xlfn.TEXTJOIN("",,"*SOCKET0**CBB",misc[[#This Row],[CBB]],"**COMPUTE",misc[[#This Row],[Compute]],"**MODULE",misc[[#This Row],[Module]],splitchar,"SPARE")</f>
        <v>*SOCKET0**CBB**COMPUTE**MODULE__SPARE</v>
      </c>
      <c r="AD140">
        <f>COUNTIFS(core_mc[TestName],misc[[#This Row],[Core_L2_String - SPARE]],core_mc[VisualId],MC_Check!$H$2)</f>
        <v>0</v>
      </c>
      <c r="AE140">
        <f>misc[[#This Row],[Core_DTLB_Count]]+misc[[#This Row],[Core_DCU_Count]]+misc[[#This Row],[Core_IFU_Count]]+misc[[#This Row],[Core_ROB_Count]]+misc[[#This Row],[Core_L2_Count - SPARE]]+misc[[#This Row],[Core_ML2_Count]]</f>
        <v>0</v>
      </c>
      <c r="AF140" t="str">
        <f>_xlfn.TEXTJOIN(", ",,IF(misc[[#This Row],[Core_IFU_Count]]&gt;0,"IFU",""),IF(misc[[#This Row],[Core_DCU_Count]]&gt;0,"DCU",""),IF(misc[[#This Row],[Core_DTLB_Count]]&gt;0,"DTLB",""),IF(misc[[#This Row],[Core_ROB_Count]]&gt;0,"ROB",""),IF(misc[[#This Row],[Core_ML2_Count]]&gt;0,"ML2",""),IF(misc[[#This Row],[Core_L2_Count - SPARE]]&gt;0,"L2",""))</f>
        <v/>
      </c>
      <c r="AG140" t="str">
        <f>_xlfn.TEXTJOIN("",,"*SOCKET0**CBB",misc[[#This Row],[CBB]],"**BASE**I_CCF**ENV",misc[[#This Row],[ENV]],splitchar,"CBREGS_ALL",misc[[#This Row],[CBO]],splitchar,"SPARE")</f>
        <v>*SOCKET0**CBB**BASE**I_CCF**ENV__CBREGS_ALL__SPARE</v>
      </c>
      <c r="AH140">
        <f>COUNTIFS(cha_mc[TestName],misc[[#This Row],[LLC_MCA_String - Not Used]],cha_mc[VisualId],MC_Check!$H$2)</f>
        <v>0</v>
      </c>
    </row>
    <row r="141" spans="6:34" x14ac:dyDescent="0.3">
      <c r="H141" s="61"/>
      <c r="I141" s="61"/>
      <c r="J141" s="61"/>
      <c r="K141" s="61"/>
      <c r="L141" s="61"/>
      <c r="M141" s="61" t="str">
        <f>_xlfn.TEXTJOIN("",,misc[[#This Row],[ROW]],misc[[#This Row],[ROW]])</f>
        <v/>
      </c>
      <c r="N141" s="5" t="b">
        <f>misc[[#This Row],[Core_Hitter_Count]]&gt;0</f>
        <v>0</v>
      </c>
      <c r="O141" t="b">
        <f>misc[[#This Row],[LLC_Hitter_Count]]&gt;0</f>
        <v>0</v>
      </c>
      <c r="P141" t="b">
        <f>misc[[#This Row],[CHA_Hitter_Count]]&gt;0</f>
        <v>0</v>
      </c>
      <c r="Q141" t="str">
        <f>_xlfn.TEXTJOIN("",,"*SOCKET0**CBB",misc[[#This Row],[CBB]],"**BASE**I_CCF_ENV",misc[[#This Row],[ENV]],splitchar,"CBREGS_ALL",misc[[#This Row],[CBO]],splitchar,"MC_STATUS*")</f>
        <v>*SOCKET0**CBB**BASE**I_CCF_ENV__CBREGS_ALL__MC_STATUS*</v>
      </c>
      <c r="R141">
        <f>COUNTIFS(cha_mc[TestName],misc[[#This Row],[CBO_MCA_String]],cha_mc[VisualId],MC_Check!$H$2)</f>
        <v>0</v>
      </c>
      <c r="S141" t="str">
        <f>_xlfn.TEXTJOIN("",,"*SOCKET0**CBB",misc[[#This Row],[CBB]],"**COMPUTE",misc[[#This Row],[Compute]],"**MODULE",misc[[#This Row],[Module]],splitchar,"**CORE**IFU*CR*MC0*STATUS**")</f>
        <v>*SOCKET0**CBB**COMPUTE**MODULE__**CORE**IFU*CR*MC0*STATUS**</v>
      </c>
      <c r="T141">
        <f>COUNTIFS(core_mc[TestName],misc[[#This Row],[IFU_MCA_String]],core_mc[VisualId],MC_Check!$H$2)</f>
        <v>0</v>
      </c>
      <c r="U141" t="str">
        <f>_xlfn.TEXTJOIN("",,"*SOCKET0**CBB",misc[[#This Row],[CBB]],"**COMPUTE",misc[[#This Row],[Compute]],"**MODULE",misc[[#This Row],[Module]],splitchar,"**CORE**ROB1*CR*MC*STATUS**")</f>
        <v>*SOCKET0**CBB**COMPUTE**MODULE__**CORE**ROB1*CR*MC*STATUS**</v>
      </c>
      <c r="V141">
        <f>COUNTIFS(core_mc[TestName],misc[[#This Row],[ROB_MCA_String]],core_mc[VisualId],MC_Check!$H$2)</f>
        <v>0</v>
      </c>
      <c r="W141" t="str">
        <f>_xlfn.TEXTJOIN("",,"*SOCKET0**CBB",misc[[#This Row],[CBB]],"**COMPUTE",misc[[#This Row],[Compute]],"**MODULE",misc[[#This Row],[Module]],splitchar,"**CORE**DCU*CR*MC1*STATUS**")</f>
        <v>*SOCKET0**CBB**COMPUTE**MODULE__**CORE**DCU*CR*MC1*STATUS**</v>
      </c>
      <c r="X141">
        <f>COUNTIFS(core_mc[TestName],misc[[#This Row],[DCU_MCA_String]],core_mc[VisualId],MC_Check!$H$2)</f>
        <v>0</v>
      </c>
      <c r="Y141" t="str">
        <f>_xlfn.TEXTJOIN("",,"*SOCKET0**CBB",misc[[#This Row],[CBB]],"**COMPUTE",misc[[#This Row],[Compute]],"**MODULE",misc[[#This Row],[Module]],splitchar,"**CORE**DTLB*CR*MC2*STATUS**")</f>
        <v>*SOCKET0**CBB**COMPUTE**MODULE__**CORE**DTLB*CR*MC2*STATUS**</v>
      </c>
      <c r="Z141">
        <f>COUNTIFS(core_mc[TestName],misc[[#This Row],[CORE_DTLB_String]],core_mc[VisualId],MC_Check!$H$2)</f>
        <v>0</v>
      </c>
      <c r="AA141" t="str">
        <f>_xlfn.TEXTJOIN("",,"*SOCKET0**CBB",misc[[#This Row],[CBB]],"**COMPUTE",misc[[#This Row],[Compute]],"**MODULE",misc[[#This Row],[Module]],splitchar,"**ML2*CR*MC3*STATUS**")</f>
        <v>*SOCKET0**CBB**COMPUTE**MODULE__**ML2*CR*MC3*STATUS**</v>
      </c>
      <c r="AB141">
        <f>COUNTIFS(core_mc[TestName],misc[[#This Row],[Core_ML2_String]],core_mc[VisualId],MC_Check!$H$2)</f>
        <v>0</v>
      </c>
      <c r="AC141" t="str">
        <f>_xlfn.TEXTJOIN("",,"*SOCKET0**CBB",misc[[#This Row],[CBB]],"**COMPUTE",misc[[#This Row],[Compute]],"**MODULE",misc[[#This Row],[Module]],splitchar,"SPARE")</f>
        <v>*SOCKET0**CBB**COMPUTE**MODULE__SPARE</v>
      </c>
      <c r="AD141">
        <f>COUNTIFS(core_mc[TestName],misc[[#This Row],[Core_L2_String - SPARE]],core_mc[VisualId],MC_Check!$H$2)</f>
        <v>0</v>
      </c>
      <c r="AE141">
        <f>misc[[#This Row],[Core_DTLB_Count]]+misc[[#This Row],[Core_DCU_Count]]+misc[[#This Row],[Core_IFU_Count]]+misc[[#This Row],[Core_ROB_Count]]+misc[[#This Row],[Core_L2_Count - SPARE]]+misc[[#This Row],[Core_ML2_Count]]</f>
        <v>0</v>
      </c>
      <c r="AF141" t="str">
        <f>_xlfn.TEXTJOIN(", ",,IF(misc[[#This Row],[Core_IFU_Count]]&gt;0,"IFU",""),IF(misc[[#This Row],[Core_DCU_Count]]&gt;0,"DCU",""),IF(misc[[#This Row],[Core_DTLB_Count]]&gt;0,"DTLB",""),IF(misc[[#This Row],[Core_ROB_Count]]&gt;0,"ROB",""),IF(misc[[#This Row],[Core_ML2_Count]]&gt;0,"ML2",""),IF(misc[[#This Row],[Core_L2_Count - SPARE]]&gt;0,"L2",""))</f>
        <v/>
      </c>
      <c r="AG141" t="str">
        <f>_xlfn.TEXTJOIN("",,"*SOCKET0**CBB",misc[[#This Row],[CBB]],"**BASE**I_CCF**ENV",misc[[#This Row],[ENV]],splitchar,"CBREGS_ALL",misc[[#This Row],[CBO]],splitchar,"SPARE")</f>
        <v>*SOCKET0**CBB**BASE**I_CCF**ENV__CBREGS_ALL__SPARE</v>
      </c>
      <c r="AH141">
        <f>COUNTIFS(cha_mc[TestName],misc[[#This Row],[LLC_MCA_String - Not Used]],cha_mc[VisualId],MC_Check!$H$2)</f>
        <v>0</v>
      </c>
    </row>
    <row r="142" spans="6:34" x14ac:dyDescent="0.3">
      <c r="H142" s="61"/>
      <c r="I142" s="61"/>
      <c r="J142" s="61"/>
      <c r="K142" s="61"/>
      <c r="L142" s="61"/>
      <c r="M142" s="61" t="str">
        <f>_xlfn.TEXTJOIN("",,misc[[#This Row],[ROW]],misc[[#This Row],[ROW]])</f>
        <v/>
      </c>
      <c r="N142" s="5" t="b">
        <f>misc[[#This Row],[Core_Hitter_Count]]&gt;0</f>
        <v>0</v>
      </c>
      <c r="O142" t="b">
        <f>misc[[#This Row],[LLC_Hitter_Count]]&gt;0</f>
        <v>0</v>
      </c>
      <c r="P142" t="b">
        <f>misc[[#This Row],[CHA_Hitter_Count]]&gt;0</f>
        <v>0</v>
      </c>
      <c r="Q142" t="str">
        <f>_xlfn.TEXTJOIN("",,"*SOCKET0**CBB",misc[[#This Row],[CBB]],"**BASE**I_CCF_ENV",misc[[#This Row],[ENV]],splitchar,"CBREGS_ALL",misc[[#This Row],[CBO]],splitchar,"MC_STATUS*")</f>
        <v>*SOCKET0**CBB**BASE**I_CCF_ENV__CBREGS_ALL__MC_STATUS*</v>
      </c>
      <c r="R142">
        <f>COUNTIFS(cha_mc[TestName],misc[[#This Row],[CBO_MCA_String]],cha_mc[VisualId],MC_Check!$H$2)</f>
        <v>0</v>
      </c>
      <c r="S142" t="str">
        <f>_xlfn.TEXTJOIN("",,"*SOCKET0**CBB",misc[[#This Row],[CBB]],"**COMPUTE",misc[[#This Row],[Compute]],"**MODULE",misc[[#This Row],[Module]],splitchar,"**CORE**IFU*CR*MC0*STATUS**")</f>
        <v>*SOCKET0**CBB**COMPUTE**MODULE__**CORE**IFU*CR*MC0*STATUS**</v>
      </c>
      <c r="T142">
        <f>COUNTIFS(core_mc[TestName],misc[[#This Row],[IFU_MCA_String]],core_mc[VisualId],MC_Check!$H$2)</f>
        <v>0</v>
      </c>
      <c r="U142" t="str">
        <f>_xlfn.TEXTJOIN("",,"*SOCKET0**CBB",misc[[#This Row],[CBB]],"**COMPUTE",misc[[#This Row],[Compute]],"**MODULE",misc[[#This Row],[Module]],splitchar,"**CORE**ROB1*CR*MC*STATUS**")</f>
        <v>*SOCKET0**CBB**COMPUTE**MODULE__**CORE**ROB1*CR*MC*STATUS**</v>
      </c>
      <c r="V142">
        <f>COUNTIFS(core_mc[TestName],misc[[#This Row],[ROB_MCA_String]],core_mc[VisualId],MC_Check!$H$2)</f>
        <v>0</v>
      </c>
      <c r="W142" t="str">
        <f>_xlfn.TEXTJOIN("",,"*SOCKET0**CBB",misc[[#This Row],[CBB]],"**COMPUTE",misc[[#This Row],[Compute]],"**MODULE",misc[[#This Row],[Module]],splitchar,"**CORE**DCU*CR*MC1*STATUS**")</f>
        <v>*SOCKET0**CBB**COMPUTE**MODULE__**CORE**DCU*CR*MC1*STATUS**</v>
      </c>
      <c r="X142">
        <f>COUNTIFS(core_mc[TestName],misc[[#This Row],[DCU_MCA_String]],core_mc[VisualId],MC_Check!$H$2)</f>
        <v>0</v>
      </c>
      <c r="Y142" t="str">
        <f>_xlfn.TEXTJOIN("",,"*SOCKET0**CBB",misc[[#This Row],[CBB]],"**COMPUTE",misc[[#This Row],[Compute]],"**MODULE",misc[[#This Row],[Module]],splitchar,"**CORE**DTLB*CR*MC2*STATUS**")</f>
        <v>*SOCKET0**CBB**COMPUTE**MODULE__**CORE**DTLB*CR*MC2*STATUS**</v>
      </c>
      <c r="Z142">
        <f>COUNTIFS(core_mc[TestName],misc[[#This Row],[CORE_DTLB_String]],core_mc[VisualId],MC_Check!$H$2)</f>
        <v>0</v>
      </c>
      <c r="AA142" t="str">
        <f>_xlfn.TEXTJOIN("",,"*SOCKET0**CBB",misc[[#This Row],[CBB]],"**COMPUTE",misc[[#This Row],[Compute]],"**MODULE",misc[[#This Row],[Module]],splitchar,"**ML2*CR*MC3*STATUS**")</f>
        <v>*SOCKET0**CBB**COMPUTE**MODULE__**ML2*CR*MC3*STATUS**</v>
      </c>
      <c r="AB142">
        <f>COUNTIFS(core_mc[TestName],misc[[#This Row],[Core_ML2_String]],core_mc[VisualId],MC_Check!$H$2)</f>
        <v>0</v>
      </c>
      <c r="AC142" t="str">
        <f>_xlfn.TEXTJOIN("",,"*SOCKET0**CBB",misc[[#This Row],[CBB]],"**COMPUTE",misc[[#This Row],[Compute]],"**MODULE",misc[[#This Row],[Module]],splitchar,"SPARE")</f>
        <v>*SOCKET0**CBB**COMPUTE**MODULE__SPARE</v>
      </c>
      <c r="AD142">
        <f>COUNTIFS(core_mc[TestName],misc[[#This Row],[Core_L2_String - SPARE]],core_mc[VisualId],MC_Check!$H$2)</f>
        <v>0</v>
      </c>
      <c r="AE142">
        <f>misc[[#This Row],[Core_DTLB_Count]]+misc[[#This Row],[Core_DCU_Count]]+misc[[#This Row],[Core_IFU_Count]]+misc[[#This Row],[Core_ROB_Count]]+misc[[#This Row],[Core_L2_Count - SPARE]]+misc[[#This Row],[Core_ML2_Count]]</f>
        <v>0</v>
      </c>
      <c r="AF142" t="str">
        <f>_xlfn.TEXTJOIN(", ",,IF(misc[[#This Row],[Core_IFU_Count]]&gt;0,"IFU",""),IF(misc[[#This Row],[Core_DCU_Count]]&gt;0,"DCU",""),IF(misc[[#This Row],[Core_DTLB_Count]]&gt;0,"DTLB",""),IF(misc[[#This Row],[Core_ROB_Count]]&gt;0,"ROB",""),IF(misc[[#This Row],[Core_ML2_Count]]&gt;0,"ML2",""),IF(misc[[#This Row],[Core_L2_Count - SPARE]]&gt;0,"L2",""))</f>
        <v/>
      </c>
      <c r="AG142" t="str">
        <f>_xlfn.TEXTJOIN("",,"*SOCKET0**CBB",misc[[#This Row],[CBB]],"**BASE**I_CCF**ENV",misc[[#This Row],[ENV]],splitchar,"CBREGS_ALL",misc[[#This Row],[CBO]],splitchar,"SPARE")</f>
        <v>*SOCKET0**CBB**BASE**I_CCF**ENV__CBREGS_ALL__SPARE</v>
      </c>
      <c r="AH142">
        <f>COUNTIFS(cha_mc[TestName],misc[[#This Row],[LLC_MCA_String - Not Used]],cha_mc[VisualId],MC_Check!$H$2)</f>
        <v>0</v>
      </c>
    </row>
    <row r="143" spans="6:34" x14ac:dyDescent="0.3">
      <c r="H143" s="61"/>
      <c r="I143" s="61"/>
      <c r="M143" s="61" t="str">
        <f>_xlfn.TEXTJOIN("",,misc[[#This Row],[ROW]],misc[[#This Row],[ROW]])</f>
        <v/>
      </c>
      <c r="N143" s="5" t="b">
        <f>misc[[#This Row],[Core_Hitter_Count]]&gt;0</f>
        <v>0</v>
      </c>
      <c r="O143" t="b">
        <f>misc[[#This Row],[LLC_Hitter_Count]]&gt;0</f>
        <v>0</v>
      </c>
      <c r="P143" t="b">
        <f>misc[[#This Row],[CHA_Hitter_Count]]&gt;0</f>
        <v>0</v>
      </c>
      <c r="Q143" t="str">
        <f>_xlfn.TEXTJOIN("",,"*SOCKET0**CBB",misc[[#This Row],[CBB]],"**BASE**I_CCF_ENV",misc[[#This Row],[ENV]],splitchar,"CBREGS_ALL",misc[[#This Row],[CBO]],splitchar,"MC_STATUS*")</f>
        <v>*SOCKET0**CBB**BASE**I_CCF_ENV__CBREGS_ALL__MC_STATUS*</v>
      </c>
      <c r="R143">
        <f>COUNTIFS(cha_mc[TestName],misc[[#This Row],[CBO_MCA_String]],cha_mc[VisualId],MC_Check!$H$2)</f>
        <v>0</v>
      </c>
      <c r="S143" t="str">
        <f>_xlfn.TEXTJOIN("",,"*SOCKET0**CBB",misc[[#This Row],[CBB]],"**COMPUTE",misc[[#This Row],[Compute]],"**MODULE",misc[[#This Row],[Module]],splitchar,"**CORE**IFU*CR*MC0*STATUS**")</f>
        <v>*SOCKET0**CBB**COMPUTE**MODULE__**CORE**IFU*CR*MC0*STATUS**</v>
      </c>
      <c r="T143">
        <f>COUNTIFS(core_mc[TestName],misc[[#This Row],[IFU_MCA_String]],core_mc[VisualId],MC_Check!$H$2)</f>
        <v>0</v>
      </c>
      <c r="U143" t="str">
        <f>_xlfn.TEXTJOIN("",,"*SOCKET0**CBB",misc[[#This Row],[CBB]],"**COMPUTE",misc[[#This Row],[Compute]],"**MODULE",misc[[#This Row],[Module]],splitchar,"**CORE**ROB1*CR*MC*STATUS**")</f>
        <v>*SOCKET0**CBB**COMPUTE**MODULE__**CORE**ROB1*CR*MC*STATUS**</v>
      </c>
      <c r="V143">
        <f>COUNTIFS(core_mc[TestName],misc[[#This Row],[ROB_MCA_String]],core_mc[VisualId],MC_Check!$H$2)</f>
        <v>0</v>
      </c>
      <c r="W143" t="str">
        <f>_xlfn.TEXTJOIN("",,"*SOCKET0**CBB",misc[[#This Row],[CBB]],"**COMPUTE",misc[[#This Row],[Compute]],"**MODULE",misc[[#This Row],[Module]],splitchar,"**CORE**DCU*CR*MC1*STATUS**")</f>
        <v>*SOCKET0**CBB**COMPUTE**MODULE__**CORE**DCU*CR*MC1*STATUS**</v>
      </c>
      <c r="X143">
        <f>COUNTIFS(core_mc[TestName],misc[[#This Row],[DCU_MCA_String]],core_mc[VisualId],MC_Check!$H$2)</f>
        <v>0</v>
      </c>
      <c r="Y143" t="str">
        <f>_xlfn.TEXTJOIN("",,"*SOCKET0**CBB",misc[[#This Row],[CBB]],"**COMPUTE",misc[[#This Row],[Compute]],"**MODULE",misc[[#This Row],[Module]],splitchar,"**CORE**DTLB*CR*MC2*STATUS**")</f>
        <v>*SOCKET0**CBB**COMPUTE**MODULE__**CORE**DTLB*CR*MC2*STATUS**</v>
      </c>
      <c r="Z143">
        <f>COUNTIFS(core_mc[TestName],misc[[#This Row],[CORE_DTLB_String]],core_mc[VisualId],MC_Check!$H$2)</f>
        <v>0</v>
      </c>
      <c r="AA143" t="str">
        <f>_xlfn.TEXTJOIN("",,"*SOCKET0**CBB",misc[[#This Row],[CBB]],"**COMPUTE",misc[[#This Row],[Compute]],"**MODULE",misc[[#This Row],[Module]],splitchar,"**ML2*CR*MC3*STATUS**")</f>
        <v>*SOCKET0**CBB**COMPUTE**MODULE__**ML2*CR*MC3*STATUS**</v>
      </c>
      <c r="AB143">
        <f>COUNTIFS(core_mc[TestName],misc[[#This Row],[Core_ML2_String]],core_mc[VisualId],MC_Check!$H$2)</f>
        <v>0</v>
      </c>
      <c r="AC143" t="str">
        <f>_xlfn.TEXTJOIN("",,"*SOCKET0**CBB",misc[[#This Row],[CBB]],"**COMPUTE",misc[[#This Row],[Compute]],"**MODULE",misc[[#This Row],[Module]],splitchar,"SPARE")</f>
        <v>*SOCKET0**CBB**COMPUTE**MODULE__SPARE</v>
      </c>
      <c r="AD143">
        <f>COUNTIFS(core_mc[TestName],misc[[#This Row],[Core_L2_String - SPARE]],core_mc[VisualId],MC_Check!$H$2)</f>
        <v>0</v>
      </c>
      <c r="AE143">
        <f>misc[[#This Row],[Core_DTLB_Count]]+misc[[#This Row],[Core_DCU_Count]]+misc[[#This Row],[Core_IFU_Count]]+misc[[#This Row],[Core_ROB_Count]]+misc[[#This Row],[Core_L2_Count - SPARE]]+misc[[#This Row],[Core_ML2_Count]]</f>
        <v>0</v>
      </c>
      <c r="AF143" t="str">
        <f>_xlfn.TEXTJOIN(", ",,IF(misc[[#This Row],[Core_IFU_Count]]&gt;0,"IFU",""),IF(misc[[#This Row],[Core_DCU_Count]]&gt;0,"DCU",""),IF(misc[[#This Row],[Core_DTLB_Count]]&gt;0,"DTLB",""),IF(misc[[#This Row],[Core_ROB_Count]]&gt;0,"ROB",""),IF(misc[[#This Row],[Core_ML2_Count]]&gt;0,"ML2",""),IF(misc[[#This Row],[Core_L2_Count - SPARE]]&gt;0,"L2",""))</f>
        <v/>
      </c>
      <c r="AG143" t="str">
        <f>_xlfn.TEXTJOIN("",,"*SOCKET0**CBB",misc[[#This Row],[CBB]],"**BASE**I_CCF**ENV",misc[[#This Row],[ENV]],splitchar,"CBREGS_ALL",misc[[#This Row],[CBO]],splitchar,"SPARE")</f>
        <v>*SOCKET0**CBB**BASE**I_CCF**ENV__CBREGS_ALL__SPARE</v>
      </c>
      <c r="AH143">
        <f>COUNTIFS(cha_mc[TestName],misc[[#This Row],[LLC_MCA_String - Not Used]],cha_mc[VisualId],MC_Check!$H$2)</f>
        <v>0</v>
      </c>
    </row>
    <row r="144" spans="6:34" x14ac:dyDescent="0.3">
      <c r="H144" s="61"/>
      <c r="I144" s="61"/>
      <c r="M144" s="61" t="str">
        <f>_xlfn.TEXTJOIN("",,misc[[#This Row],[ROW]],misc[[#This Row],[ROW]])</f>
        <v/>
      </c>
      <c r="N144" s="5" t="b">
        <f>misc[[#This Row],[Core_Hitter_Count]]&gt;0</f>
        <v>0</v>
      </c>
      <c r="O144" t="b">
        <f>misc[[#This Row],[LLC_Hitter_Count]]&gt;0</f>
        <v>0</v>
      </c>
      <c r="P144" t="b">
        <f>misc[[#This Row],[CHA_Hitter_Count]]&gt;0</f>
        <v>0</v>
      </c>
      <c r="Q144" t="str">
        <f>_xlfn.TEXTJOIN("",,"*SOCKET0**CBB",misc[[#This Row],[CBB]],"**BASE**I_CCF_ENV",misc[[#This Row],[ENV]],splitchar,"CBREGS_ALL",misc[[#This Row],[CBO]],splitchar,"MC_STATUS*")</f>
        <v>*SOCKET0**CBB**BASE**I_CCF_ENV__CBREGS_ALL__MC_STATUS*</v>
      </c>
      <c r="R144">
        <f>COUNTIFS(cha_mc[TestName],misc[[#This Row],[CBO_MCA_String]],cha_mc[VisualId],MC_Check!$H$2)</f>
        <v>0</v>
      </c>
      <c r="S144" t="str">
        <f>_xlfn.TEXTJOIN("",,"*SOCKET0**CBB",misc[[#This Row],[CBB]],"**COMPUTE",misc[[#This Row],[Compute]],"**MODULE",misc[[#This Row],[Module]],splitchar,"**CORE**IFU*CR*MC0*STATUS**")</f>
        <v>*SOCKET0**CBB**COMPUTE**MODULE__**CORE**IFU*CR*MC0*STATUS**</v>
      </c>
      <c r="T144">
        <f>COUNTIFS(core_mc[TestName],misc[[#This Row],[IFU_MCA_String]],core_mc[VisualId],MC_Check!$H$2)</f>
        <v>0</v>
      </c>
      <c r="U144" t="str">
        <f>_xlfn.TEXTJOIN("",,"*SOCKET0**CBB",misc[[#This Row],[CBB]],"**COMPUTE",misc[[#This Row],[Compute]],"**MODULE",misc[[#This Row],[Module]],splitchar,"**CORE**ROB1*CR*MC*STATUS**")</f>
        <v>*SOCKET0**CBB**COMPUTE**MODULE__**CORE**ROB1*CR*MC*STATUS**</v>
      </c>
      <c r="V144">
        <f>COUNTIFS(core_mc[TestName],misc[[#This Row],[ROB_MCA_String]],core_mc[VisualId],MC_Check!$H$2)</f>
        <v>0</v>
      </c>
      <c r="W144" t="str">
        <f>_xlfn.TEXTJOIN("",,"*SOCKET0**CBB",misc[[#This Row],[CBB]],"**COMPUTE",misc[[#This Row],[Compute]],"**MODULE",misc[[#This Row],[Module]],splitchar,"**CORE**DCU*CR*MC1*STATUS**")</f>
        <v>*SOCKET0**CBB**COMPUTE**MODULE__**CORE**DCU*CR*MC1*STATUS**</v>
      </c>
      <c r="X144">
        <f>COUNTIFS(core_mc[TestName],misc[[#This Row],[DCU_MCA_String]],core_mc[VisualId],MC_Check!$H$2)</f>
        <v>0</v>
      </c>
      <c r="Y144" t="str">
        <f>_xlfn.TEXTJOIN("",,"*SOCKET0**CBB",misc[[#This Row],[CBB]],"**COMPUTE",misc[[#This Row],[Compute]],"**MODULE",misc[[#This Row],[Module]],splitchar,"**CORE**DTLB*CR*MC2*STATUS**")</f>
        <v>*SOCKET0**CBB**COMPUTE**MODULE__**CORE**DTLB*CR*MC2*STATUS**</v>
      </c>
      <c r="Z144">
        <f>COUNTIFS(core_mc[TestName],misc[[#This Row],[CORE_DTLB_String]],core_mc[VisualId],MC_Check!$H$2)</f>
        <v>0</v>
      </c>
      <c r="AA144" t="str">
        <f>_xlfn.TEXTJOIN("",,"*SOCKET0**CBB",misc[[#This Row],[CBB]],"**COMPUTE",misc[[#This Row],[Compute]],"**MODULE",misc[[#This Row],[Module]],splitchar,"**ML2*CR*MC3*STATUS**")</f>
        <v>*SOCKET0**CBB**COMPUTE**MODULE__**ML2*CR*MC3*STATUS**</v>
      </c>
      <c r="AB144">
        <f>COUNTIFS(core_mc[TestName],misc[[#This Row],[Core_ML2_String]],core_mc[VisualId],MC_Check!$H$2)</f>
        <v>0</v>
      </c>
      <c r="AC144" t="str">
        <f>_xlfn.TEXTJOIN("",,"*SOCKET0**CBB",misc[[#This Row],[CBB]],"**COMPUTE",misc[[#This Row],[Compute]],"**MODULE",misc[[#This Row],[Module]],splitchar,"SPARE")</f>
        <v>*SOCKET0**CBB**COMPUTE**MODULE__SPARE</v>
      </c>
      <c r="AD144">
        <f>COUNTIFS(core_mc[TestName],misc[[#This Row],[Core_L2_String - SPARE]],core_mc[VisualId],MC_Check!$H$2)</f>
        <v>0</v>
      </c>
      <c r="AE144">
        <f>misc[[#This Row],[Core_DTLB_Count]]+misc[[#This Row],[Core_DCU_Count]]+misc[[#This Row],[Core_IFU_Count]]+misc[[#This Row],[Core_ROB_Count]]+misc[[#This Row],[Core_L2_Count - SPARE]]+misc[[#This Row],[Core_ML2_Count]]</f>
        <v>0</v>
      </c>
      <c r="AF144" t="str">
        <f>_xlfn.TEXTJOIN(", ",,IF(misc[[#This Row],[Core_IFU_Count]]&gt;0,"IFU",""),IF(misc[[#This Row],[Core_DCU_Count]]&gt;0,"DCU",""),IF(misc[[#This Row],[Core_DTLB_Count]]&gt;0,"DTLB",""),IF(misc[[#This Row],[Core_ROB_Count]]&gt;0,"ROB",""),IF(misc[[#This Row],[Core_ML2_Count]]&gt;0,"ML2",""),IF(misc[[#This Row],[Core_L2_Count - SPARE]]&gt;0,"L2",""))</f>
        <v/>
      </c>
      <c r="AG144" t="str">
        <f>_xlfn.TEXTJOIN("",,"*SOCKET0**CBB",misc[[#This Row],[CBB]],"**BASE**I_CCF**ENV",misc[[#This Row],[ENV]],splitchar,"CBREGS_ALL",misc[[#This Row],[CBO]],splitchar,"SPARE")</f>
        <v>*SOCKET0**CBB**BASE**I_CCF**ENV__CBREGS_ALL__SPARE</v>
      </c>
      <c r="AH144">
        <f>COUNTIFS(cha_mc[TestName],misc[[#This Row],[LLC_MCA_String - Not Used]],cha_mc[VisualId],MC_Check!$H$2)</f>
        <v>0</v>
      </c>
    </row>
    <row r="145" spans="8:34" x14ac:dyDescent="0.3">
      <c r="H145" s="61"/>
      <c r="I145" s="61"/>
      <c r="M145" s="61" t="str">
        <f>_xlfn.TEXTJOIN("",,misc[[#This Row],[ROW]],misc[[#This Row],[ROW]])</f>
        <v/>
      </c>
      <c r="N145" s="5" t="b">
        <f>misc[[#This Row],[Core_Hitter_Count]]&gt;0</f>
        <v>0</v>
      </c>
      <c r="O145" t="b">
        <f>misc[[#This Row],[LLC_Hitter_Count]]&gt;0</f>
        <v>0</v>
      </c>
      <c r="P145" t="b">
        <f>misc[[#This Row],[CHA_Hitter_Count]]&gt;0</f>
        <v>0</v>
      </c>
      <c r="Q145" t="str">
        <f>_xlfn.TEXTJOIN("",,"*SOCKET0**CBB",misc[[#This Row],[CBB]],"**BASE**I_CCF_ENV",misc[[#This Row],[ENV]],splitchar,"CBREGS_ALL",misc[[#This Row],[CBO]],splitchar,"MC_STATUS*")</f>
        <v>*SOCKET0**CBB**BASE**I_CCF_ENV__CBREGS_ALL__MC_STATUS*</v>
      </c>
      <c r="R145">
        <f>COUNTIFS(cha_mc[TestName],misc[[#This Row],[CBO_MCA_String]],cha_mc[VisualId],MC_Check!$H$2)</f>
        <v>0</v>
      </c>
      <c r="S145" t="str">
        <f>_xlfn.TEXTJOIN("",,"*SOCKET0**CBB",misc[[#This Row],[CBB]],"**COMPUTE",misc[[#This Row],[Compute]],"**MODULE",misc[[#This Row],[Module]],splitchar,"**CORE**IFU*CR*MC0*STATUS**")</f>
        <v>*SOCKET0**CBB**COMPUTE**MODULE__**CORE**IFU*CR*MC0*STATUS**</v>
      </c>
      <c r="T145">
        <f>COUNTIFS(core_mc[TestName],misc[[#This Row],[IFU_MCA_String]],core_mc[VisualId],MC_Check!$H$2)</f>
        <v>0</v>
      </c>
      <c r="U145" t="str">
        <f>_xlfn.TEXTJOIN("",,"*SOCKET0**CBB",misc[[#This Row],[CBB]],"**COMPUTE",misc[[#This Row],[Compute]],"**MODULE",misc[[#This Row],[Module]],splitchar,"**CORE**ROB1*CR*MC*STATUS**")</f>
        <v>*SOCKET0**CBB**COMPUTE**MODULE__**CORE**ROB1*CR*MC*STATUS**</v>
      </c>
      <c r="V145">
        <f>COUNTIFS(core_mc[TestName],misc[[#This Row],[ROB_MCA_String]],core_mc[VisualId],MC_Check!$H$2)</f>
        <v>0</v>
      </c>
      <c r="W145" t="str">
        <f>_xlfn.TEXTJOIN("",,"*SOCKET0**CBB",misc[[#This Row],[CBB]],"**COMPUTE",misc[[#This Row],[Compute]],"**MODULE",misc[[#This Row],[Module]],splitchar,"**CORE**DCU*CR*MC1*STATUS**")</f>
        <v>*SOCKET0**CBB**COMPUTE**MODULE__**CORE**DCU*CR*MC1*STATUS**</v>
      </c>
      <c r="X145">
        <f>COUNTIFS(core_mc[TestName],misc[[#This Row],[DCU_MCA_String]],core_mc[VisualId],MC_Check!$H$2)</f>
        <v>0</v>
      </c>
      <c r="Y145" t="str">
        <f>_xlfn.TEXTJOIN("",,"*SOCKET0**CBB",misc[[#This Row],[CBB]],"**COMPUTE",misc[[#This Row],[Compute]],"**MODULE",misc[[#This Row],[Module]],splitchar,"**CORE**DTLB*CR*MC2*STATUS**")</f>
        <v>*SOCKET0**CBB**COMPUTE**MODULE__**CORE**DTLB*CR*MC2*STATUS**</v>
      </c>
      <c r="Z145">
        <f>COUNTIFS(core_mc[TestName],misc[[#This Row],[CORE_DTLB_String]],core_mc[VisualId],MC_Check!$H$2)</f>
        <v>0</v>
      </c>
      <c r="AA145" t="str">
        <f>_xlfn.TEXTJOIN("",,"*SOCKET0**CBB",misc[[#This Row],[CBB]],"**COMPUTE",misc[[#This Row],[Compute]],"**MODULE",misc[[#This Row],[Module]],splitchar,"**ML2*CR*MC3*STATUS**")</f>
        <v>*SOCKET0**CBB**COMPUTE**MODULE__**ML2*CR*MC3*STATUS**</v>
      </c>
      <c r="AB145">
        <f>COUNTIFS(core_mc[TestName],misc[[#This Row],[Core_ML2_String]],core_mc[VisualId],MC_Check!$H$2)</f>
        <v>0</v>
      </c>
      <c r="AC145" t="str">
        <f>_xlfn.TEXTJOIN("",,"*SOCKET0**CBB",misc[[#This Row],[CBB]],"**COMPUTE",misc[[#This Row],[Compute]],"**MODULE",misc[[#This Row],[Module]],splitchar,"SPARE")</f>
        <v>*SOCKET0**CBB**COMPUTE**MODULE__SPARE</v>
      </c>
      <c r="AD145">
        <f>COUNTIFS(core_mc[TestName],misc[[#This Row],[Core_L2_String - SPARE]],core_mc[VisualId],MC_Check!$H$2)</f>
        <v>0</v>
      </c>
      <c r="AE145">
        <f>misc[[#This Row],[Core_DTLB_Count]]+misc[[#This Row],[Core_DCU_Count]]+misc[[#This Row],[Core_IFU_Count]]+misc[[#This Row],[Core_ROB_Count]]+misc[[#This Row],[Core_L2_Count - SPARE]]+misc[[#This Row],[Core_ML2_Count]]</f>
        <v>0</v>
      </c>
      <c r="AF145" t="str">
        <f>_xlfn.TEXTJOIN(", ",,IF(misc[[#This Row],[Core_IFU_Count]]&gt;0,"IFU",""),IF(misc[[#This Row],[Core_DCU_Count]]&gt;0,"DCU",""),IF(misc[[#This Row],[Core_DTLB_Count]]&gt;0,"DTLB",""),IF(misc[[#This Row],[Core_ROB_Count]]&gt;0,"ROB",""),IF(misc[[#This Row],[Core_ML2_Count]]&gt;0,"ML2",""),IF(misc[[#This Row],[Core_L2_Count - SPARE]]&gt;0,"L2",""))</f>
        <v/>
      </c>
      <c r="AG145" t="str">
        <f>_xlfn.TEXTJOIN("",,"*SOCKET0**CBB",misc[[#This Row],[CBB]],"**BASE**I_CCF**ENV",misc[[#This Row],[ENV]],splitchar,"CBREGS_ALL",misc[[#This Row],[CBO]],splitchar,"SPARE")</f>
        <v>*SOCKET0**CBB**BASE**I_CCF**ENV__CBREGS_ALL__SPARE</v>
      </c>
      <c r="AH145">
        <f>COUNTIFS(cha_mc[TestName],misc[[#This Row],[LLC_MCA_String - Not Used]],cha_mc[VisualId],MC_Check!$H$2)</f>
        <v>0</v>
      </c>
    </row>
    <row r="146" spans="8:34" x14ac:dyDescent="0.3">
      <c r="H146" s="61"/>
      <c r="I146" s="61"/>
      <c r="J146" s="61"/>
      <c r="K146" s="61"/>
      <c r="L146" s="61"/>
      <c r="M146" s="61" t="str">
        <f>_xlfn.TEXTJOIN("",,misc[[#This Row],[ROW]],misc[[#This Row],[ROW]])</f>
        <v/>
      </c>
      <c r="N146" s="5" t="b">
        <f>misc[[#This Row],[Core_Hitter_Count]]&gt;0</f>
        <v>0</v>
      </c>
      <c r="O146" t="b">
        <f>misc[[#This Row],[LLC_Hitter_Count]]&gt;0</f>
        <v>0</v>
      </c>
      <c r="P146" t="b">
        <f>misc[[#This Row],[CHA_Hitter_Count]]&gt;0</f>
        <v>0</v>
      </c>
      <c r="Q146" t="str">
        <f>_xlfn.TEXTJOIN("",,"*SOCKET0**CBB",misc[[#This Row],[CBB]],"**BASE**I_CCF_ENV",misc[[#This Row],[ENV]],splitchar,"CBREGS_ALL",misc[[#This Row],[CBO]],splitchar,"MC_STATUS*")</f>
        <v>*SOCKET0**CBB**BASE**I_CCF_ENV__CBREGS_ALL__MC_STATUS*</v>
      </c>
      <c r="R146">
        <f>COUNTIFS(cha_mc[TestName],misc[[#This Row],[CBO_MCA_String]],cha_mc[VisualId],MC_Check!$H$2)</f>
        <v>0</v>
      </c>
      <c r="S146" t="str">
        <f>_xlfn.TEXTJOIN("",,"*SOCKET0**CBB",misc[[#This Row],[CBB]],"**COMPUTE",misc[[#This Row],[Compute]],"**MODULE",misc[[#This Row],[Module]],splitchar,"**CORE**IFU*CR*MC0*STATUS**")</f>
        <v>*SOCKET0**CBB**COMPUTE**MODULE__**CORE**IFU*CR*MC0*STATUS**</v>
      </c>
      <c r="T146">
        <f>COUNTIFS(core_mc[TestName],misc[[#This Row],[IFU_MCA_String]],core_mc[VisualId],MC_Check!$H$2)</f>
        <v>0</v>
      </c>
      <c r="U146" t="str">
        <f>_xlfn.TEXTJOIN("",,"*SOCKET0**CBB",misc[[#This Row],[CBB]],"**COMPUTE",misc[[#This Row],[Compute]],"**MODULE",misc[[#This Row],[Module]],splitchar,"**CORE**ROB1*CR*MC*STATUS**")</f>
        <v>*SOCKET0**CBB**COMPUTE**MODULE__**CORE**ROB1*CR*MC*STATUS**</v>
      </c>
      <c r="V146">
        <f>COUNTIFS(core_mc[TestName],misc[[#This Row],[ROB_MCA_String]],core_mc[VisualId],MC_Check!$H$2)</f>
        <v>0</v>
      </c>
      <c r="W146" t="str">
        <f>_xlfn.TEXTJOIN("",,"*SOCKET0**CBB",misc[[#This Row],[CBB]],"**COMPUTE",misc[[#This Row],[Compute]],"**MODULE",misc[[#This Row],[Module]],splitchar,"**CORE**DCU*CR*MC1*STATUS**")</f>
        <v>*SOCKET0**CBB**COMPUTE**MODULE__**CORE**DCU*CR*MC1*STATUS**</v>
      </c>
      <c r="X146">
        <f>COUNTIFS(core_mc[TestName],misc[[#This Row],[DCU_MCA_String]],core_mc[VisualId],MC_Check!$H$2)</f>
        <v>0</v>
      </c>
      <c r="Y146" t="str">
        <f>_xlfn.TEXTJOIN("",,"*SOCKET0**CBB",misc[[#This Row],[CBB]],"**COMPUTE",misc[[#This Row],[Compute]],"**MODULE",misc[[#This Row],[Module]],splitchar,"**CORE**DTLB*CR*MC2*STATUS**")</f>
        <v>*SOCKET0**CBB**COMPUTE**MODULE__**CORE**DTLB*CR*MC2*STATUS**</v>
      </c>
      <c r="Z146">
        <f>COUNTIFS(core_mc[TestName],misc[[#This Row],[CORE_DTLB_String]],core_mc[VisualId],MC_Check!$H$2)</f>
        <v>0</v>
      </c>
      <c r="AA146" t="str">
        <f>_xlfn.TEXTJOIN("",,"*SOCKET0**CBB",misc[[#This Row],[CBB]],"**COMPUTE",misc[[#This Row],[Compute]],"**MODULE",misc[[#This Row],[Module]],splitchar,"**ML2*CR*MC3*STATUS**")</f>
        <v>*SOCKET0**CBB**COMPUTE**MODULE__**ML2*CR*MC3*STATUS**</v>
      </c>
      <c r="AB146">
        <f>COUNTIFS(core_mc[TestName],misc[[#This Row],[Core_ML2_String]],core_mc[VisualId],MC_Check!$H$2)</f>
        <v>0</v>
      </c>
      <c r="AC146" t="str">
        <f>_xlfn.TEXTJOIN("",,"*SOCKET0**CBB",misc[[#This Row],[CBB]],"**COMPUTE",misc[[#This Row],[Compute]],"**MODULE",misc[[#This Row],[Module]],splitchar,"SPARE")</f>
        <v>*SOCKET0**CBB**COMPUTE**MODULE__SPARE</v>
      </c>
      <c r="AD146">
        <f>COUNTIFS(core_mc[TestName],misc[[#This Row],[Core_L2_String - SPARE]],core_mc[VisualId],MC_Check!$H$2)</f>
        <v>0</v>
      </c>
      <c r="AE146">
        <f>misc[[#This Row],[Core_DTLB_Count]]+misc[[#This Row],[Core_DCU_Count]]+misc[[#This Row],[Core_IFU_Count]]+misc[[#This Row],[Core_ROB_Count]]+misc[[#This Row],[Core_L2_Count - SPARE]]+misc[[#This Row],[Core_ML2_Count]]</f>
        <v>0</v>
      </c>
      <c r="AF146" t="str">
        <f>_xlfn.TEXTJOIN(", ",,IF(misc[[#This Row],[Core_IFU_Count]]&gt;0,"IFU",""),IF(misc[[#This Row],[Core_DCU_Count]]&gt;0,"DCU",""),IF(misc[[#This Row],[Core_DTLB_Count]]&gt;0,"DTLB",""),IF(misc[[#This Row],[Core_ROB_Count]]&gt;0,"ROB",""),IF(misc[[#This Row],[Core_ML2_Count]]&gt;0,"ML2",""),IF(misc[[#This Row],[Core_L2_Count - SPARE]]&gt;0,"L2",""))</f>
        <v/>
      </c>
      <c r="AG146" t="str">
        <f>_xlfn.TEXTJOIN("",,"*SOCKET0**CBB",misc[[#This Row],[CBB]],"**BASE**I_CCF**ENV",misc[[#This Row],[ENV]],splitchar,"CBREGS_ALL",misc[[#This Row],[CBO]],splitchar,"SPARE")</f>
        <v>*SOCKET0**CBB**BASE**I_CCF**ENV__CBREGS_ALL__SPARE</v>
      </c>
      <c r="AH146">
        <f>COUNTIFS(cha_mc[TestName],misc[[#This Row],[LLC_MCA_String - Not Used]],cha_mc[VisualId],MC_Check!$H$2)</f>
        <v>0</v>
      </c>
    </row>
    <row r="147" spans="8:34" x14ac:dyDescent="0.3">
      <c r="H147" s="61"/>
      <c r="I147" s="61"/>
      <c r="J147" s="61"/>
      <c r="K147" s="61"/>
      <c r="L147" s="61"/>
      <c r="M147" s="61" t="str">
        <f>_xlfn.TEXTJOIN("",,misc[[#This Row],[ROW]],misc[[#This Row],[ROW]])</f>
        <v/>
      </c>
      <c r="N147" s="5" t="b">
        <f>misc[[#This Row],[Core_Hitter_Count]]&gt;0</f>
        <v>0</v>
      </c>
      <c r="O147" t="b">
        <f>misc[[#This Row],[LLC_Hitter_Count]]&gt;0</f>
        <v>0</v>
      </c>
      <c r="P147" t="b">
        <f>misc[[#This Row],[CHA_Hitter_Count]]&gt;0</f>
        <v>0</v>
      </c>
      <c r="Q147" t="str">
        <f>_xlfn.TEXTJOIN("",,"*SOCKET0**CBB",misc[[#This Row],[CBB]],"**BASE**I_CCF_ENV",misc[[#This Row],[ENV]],splitchar,"CBREGS_ALL",misc[[#This Row],[CBO]],splitchar,"MC_STATUS*")</f>
        <v>*SOCKET0**CBB**BASE**I_CCF_ENV__CBREGS_ALL__MC_STATUS*</v>
      </c>
      <c r="R147">
        <f>COUNTIFS(cha_mc[TestName],misc[[#This Row],[CBO_MCA_String]],cha_mc[VisualId],MC_Check!$H$2)</f>
        <v>0</v>
      </c>
      <c r="S147" t="str">
        <f>_xlfn.TEXTJOIN("",,"*SOCKET0**CBB",misc[[#This Row],[CBB]],"**COMPUTE",misc[[#This Row],[Compute]],"**MODULE",misc[[#This Row],[Module]],splitchar,"**CORE**IFU*CR*MC0*STATUS**")</f>
        <v>*SOCKET0**CBB**COMPUTE**MODULE__**CORE**IFU*CR*MC0*STATUS**</v>
      </c>
      <c r="T147">
        <f>COUNTIFS(core_mc[TestName],misc[[#This Row],[IFU_MCA_String]],core_mc[VisualId],MC_Check!$H$2)</f>
        <v>0</v>
      </c>
      <c r="U147" t="str">
        <f>_xlfn.TEXTJOIN("",,"*SOCKET0**CBB",misc[[#This Row],[CBB]],"**COMPUTE",misc[[#This Row],[Compute]],"**MODULE",misc[[#This Row],[Module]],splitchar,"**CORE**ROB1*CR*MC*STATUS**")</f>
        <v>*SOCKET0**CBB**COMPUTE**MODULE__**CORE**ROB1*CR*MC*STATUS**</v>
      </c>
      <c r="V147">
        <f>COUNTIFS(core_mc[TestName],misc[[#This Row],[ROB_MCA_String]],core_mc[VisualId],MC_Check!$H$2)</f>
        <v>0</v>
      </c>
      <c r="W147" t="str">
        <f>_xlfn.TEXTJOIN("",,"*SOCKET0**CBB",misc[[#This Row],[CBB]],"**COMPUTE",misc[[#This Row],[Compute]],"**MODULE",misc[[#This Row],[Module]],splitchar,"**CORE**DCU*CR*MC1*STATUS**")</f>
        <v>*SOCKET0**CBB**COMPUTE**MODULE__**CORE**DCU*CR*MC1*STATUS**</v>
      </c>
      <c r="X147">
        <f>COUNTIFS(core_mc[TestName],misc[[#This Row],[DCU_MCA_String]],core_mc[VisualId],MC_Check!$H$2)</f>
        <v>0</v>
      </c>
      <c r="Y147" t="str">
        <f>_xlfn.TEXTJOIN("",,"*SOCKET0**CBB",misc[[#This Row],[CBB]],"**COMPUTE",misc[[#This Row],[Compute]],"**MODULE",misc[[#This Row],[Module]],splitchar,"**CORE**DTLB*CR*MC2*STATUS**")</f>
        <v>*SOCKET0**CBB**COMPUTE**MODULE__**CORE**DTLB*CR*MC2*STATUS**</v>
      </c>
      <c r="Z147">
        <f>COUNTIFS(core_mc[TestName],misc[[#This Row],[CORE_DTLB_String]],core_mc[VisualId],MC_Check!$H$2)</f>
        <v>0</v>
      </c>
      <c r="AA147" t="str">
        <f>_xlfn.TEXTJOIN("",,"*SOCKET0**CBB",misc[[#This Row],[CBB]],"**COMPUTE",misc[[#This Row],[Compute]],"**MODULE",misc[[#This Row],[Module]],splitchar,"**ML2*CR*MC3*STATUS**")</f>
        <v>*SOCKET0**CBB**COMPUTE**MODULE__**ML2*CR*MC3*STATUS**</v>
      </c>
      <c r="AB147">
        <f>COUNTIFS(core_mc[TestName],misc[[#This Row],[Core_ML2_String]],core_mc[VisualId],MC_Check!$H$2)</f>
        <v>0</v>
      </c>
      <c r="AC147" t="str">
        <f>_xlfn.TEXTJOIN("",,"*SOCKET0**CBB",misc[[#This Row],[CBB]],"**COMPUTE",misc[[#This Row],[Compute]],"**MODULE",misc[[#This Row],[Module]],splitchar,"SPARE")</f>
        <v>*SOCKET0**CBB**COMPUTE**MODULE__SPARE</v>
      </c>
      <c r="AD147">
        <f>COUNTIFS(core_mc[TestName],misc[[#This Row],[Core_L2_String - SPARE]],core_mc[VisualId],MC_Check!$H$2)</f>
        <v>0</v>
      </c>
      <c r="AE147">
        <f>misc[[#This Row],[Core_DTLB_Count]]+misc[[#This Row],[Core_DCU_Count]]+misc[[#This Row],[Core_IFU_Count]]+misc[[#This Row],[Core_ROB_Count]]+misc[[#This Row],[Core_L2_Count - SPARE]]+misc[[#This Row],[Core_ML2_Count]]</f>
        <v>0</v>
      </c>
      <c r="AF147" t="str">
        <f>_xlfn.TEXTJOIN(", ",,IF(misc[[#This Row],[Core_IFU_Count]]&gt;0,"IFU",""),IF(misc[[#This Row],[Core_DCU_Count]]&gt;0,"DCU",""),IF(misc[[#This Row],[Core_DTLB_Count]]&gt;0,"DTLB",""),IF(misc[[#This Row],[Core_ROB_Count]]&gt;0,"ROB",""),IF(misc[[#This Row],[Core_ML2_Count]]&gt;0,"ML2",""),IF(misc[[#This Row],[Core_L2_Count - SPARE]]&gt;0,"L2",""))</f>
        <v/>
      </c>
      <c r="AG147" t="str">
        <f>_xlfn.TEXTJOIN("",,"*SOCKET0**CBB",misc[[#This Row],[CBB]],"**BASE**I_CCF**ENV",misc[[#This Row],[ENV]],splitchar,"CBREGS_ALL",misc[[#This Row],[CBO]],splitchar,"SPARE")</f>
        <v>*SOCKET0**CBB**BASE**I_CCF**ENV__CBREGS_ALL__SPARE</v>
      </c>
      <c r="AH147">
        <f>COUNTIFS(cha_mc[TestName],misc[[#This Row],[LLC_MCA_String - Not Used]],cha_mc[VisualId],MC_Check!$H$2)</f>
        <v>0</v>
      </c>
    </row>
    <row r="148" spans="8:34" x14ac:dyDescent="0.3">
      <c r="H148" s="61"/>
      <c r="I148" s="61"/>
      <c r="J148" s="61"/>
      <c r="K148" s="61"/>
      <c r="L148" s="61"/>
      <c r="M148" s="61" t="str">
        <f>_xlfn.TEXTJOIN("",,misc[[#This Row],[ROW]],misc[[#This Row],[ROW]])</f>
        <v/>
      </c>
      <c r="N148" s="5" t="b">
        <f>misc[[#This Row],[Core_Hitter_Count]]&gt;0</f>
        <v>0</v>
      </c>
      <c r="O148" t="b">
        <f>misc[[#This Row],[LLC_Hitter_Count]]&gt;0</f>
        <v>0</v>
      </c>
      <c r="P148" t="b">
        <f>misc[[#This Row],[CHA_Hitter_Count]]&gt;0</f>
        <v>0</v>
      </c>
      <c r="Q148" t="str">
        <f>_xlfn.TEXTJOIN("",,"*SOCKET0**CBB",misc[[#This Row],[CBB]],"**BASE**I_CCF_ENV",misc[[#This Row],[ENV]],splitchar,"CBREGS_ALL",misc[[#This Row],[CBO]],splitchar,"MC_STATUS*")</f>
        <v>*SOCKET0**CBB**BASE**I_CCF_ENV__CBREGS_ALL__MC_STATUS*</v>
      </c>
      <c r="R148">
        <f>COUNTIFS(cha_mc[TestName],misc[[#This Row],[CBO_MCA_String]],cha_mc[VisualId],MC_Check!$H$2)</f>
        <v>0</v>
      </c>
      <c r="S148" t="str">
        <f>_xlfn.TEXTJOIN("",,"*SOCKET0**CBB",misc[[#This Row],[CBB]],"**COMPUTE",misc[[#This Row],[Compute]],"**MODULE",misc[[#This Row],[Module]],splitchar,"**CORE**IFU*CR*MC0*STATUS**")</f>
        <v>*SOCKET0**CBB**COMPUTE**MODULE__**CORE**IFU*CR*MC0*STATUS**</v>
      </c>
      <c r="T148">
        <f>COUNTIFS(core_mc[TestName],misc[[#This Row],[IFU_MCA_String]],core_mc[VisualId],MC_Check!$H$2)</f>
        <v>0</v>
      </c>
      <c r="U148" t="str">
        <f>_xlfn.TEXTJOIN("",,"*SOCKET0**CBB",misc[[#This Row],[CBB]],"**COMPUTE",misc[[#This Row],[Compute]],"**MODULE",misc[[#This Row],[Module]],splitchar,"**CORE**ROB1*CR*MC*STATUS**")</f>
        <v>*SOCKET0**CBB**COMPUTE**MODULE__**CORE**ROB1*CR*MC*STATUS**</v>
      </c>
      <c r="V148">
        <f>COUNTIFS(core_mc[TestName],misc[[#This Row],[ROB_MCA_String]],core_mc[VisualId],MC_Check!$H$2)</f>
        <v>0</v>
      </c>
      <c r="W148" t="str">
        <f>_xlfn.TEXTJOIN("",,"*SOCKET0**CBB",misc[[#This Row],[CBB]],"**COMPUTE",misc[[#This Row],[Compute]],"**MODULE",misc[[#This Row],[Module]],splitchar,"**CORE**DCU*CR*MC1*STATUS**")</f>
        <v>*SOCKET0**CBB**COMPUTE**MODULE__**CORE**DCU*CR*MC1*STATUS**</v>
      </c>
      <c r="X148">
        <f>COUNTIFS(core_mc[TestName],misc[[#This Row],[DCU_MCA_String]],core_mc[VisualId],MC_Check!$H$2)</f>
        <v>0</v>
      </c>
      <c r="Y148" t="str">
        <f>_xlfn.TEXTJOIN("",,"*SOCKET0**CBB",misc[[#This Row],[CBB]],"**COMPUTE",misc[[#This Row],[Compute]],"**MODULE",misc[[#This Row],[Module]],splitchar,"**CORE**DTLB*CR*MC2*STATUS**")</f>
        <v>*SOCKET0**CBB**COMPUTE**MODULE__**CORE**DTLB*CR*MC2*STATUS**</v>
      </c>
      <c r="Z148">
        <f>COUNTIFS(core_mc[TestName],misc[[#This Row],[CORE_DTLB_String]],core_mc[VisualId],MC_Check!$H$2)</f>
        <v>0</v>
      </c>
      <c r="AA148" t="str">
        <f>_xlfn.TEXTJOIN("",,"*SOCKET0**CBB",misc[[#This Row],[CBB]],"**COMPUTE",misc[[#This Row],[Compute]],"**MODULE",misc[[#This Row],[Module]],splitchar,"**ML2*CR*MC3*STATUS**")</f>
        <v>*SOCKET0**CBB**COMPUTE**MODULE__**ML2*CR*MC3*STATUS**</v>
      </c>
      <c r="AB148">
        <f>COUNTIFS(core_mc[TestName],misc[[#This Row],[Core_ML2_String]],core_mc[VisualId],MC_Check!$H$2)</f>
        <v>0</v>
      </c>
      <c r="AC148" t="str">
        <f>_xlfn.TEXTJOIN("",,"*SOCKET0**CBB",misc[[#This Row],[CBB]],"**COMPUTE",misc[[#This Row],[Compute]],"**MODULE",misc[[#This Row],[Module]],splitchar,"SPARE")</f>
        <v>*SOCKET0**CBB**COMPUTE**MODULE__SPARE</v>
      </c>
      <c r="AD148">
        <f>COUNTIFS(core_mc[TestName],misc[[#This Row],[Core_L2_String - SPARE]],core_mc[VisualId],MC_Check!$H$2)</f>
        <v>0</v>
      </c>
      <c r="AE148">
        <f>misc[[#This Row],[Core_DTLB_Count]]+misc[[#This Row],[Core_DCU_Count]]+misc[[#This Row],[Core_IFU_Count]]+misc[[#This Row],[Core_ROB_Count]]+misc[[#This Row],[Core_L2_Count - SPARE]]+misc[[#This Row],[Core_ML2_Count]]</f>
        <v>0</v>
      </c>
      <c r="AF148" t="str">
        <f>_xlfn.TEXTJOIN(", ",,IF(misc[[#This Row],[Core_IFU_Count]]&gt;0,"IFU",""),IF(misc[[#This Row],[Core_DCU_Count]]&gt;0,"DCU",""),IF(misc[[#This Row],[Core_DTLB_Count]]&gt;0,"DTLB",""),IF(misc[[#This Row],[Core_ROB_Count]]&gt;0,"ROB",""),IF(misc[[#This Row],[Core_ML2_Count]]&gt;0,"ML2",""),IF(misc[[#This Row],[Core_L2_Count - SPARE]]&gt;0,"L2",""))</f>
        <v/>
      </c>
      <c r="AG148" t="str">
        <f>_xlfn.TEXTJOIN("",,"*SOCKET0**CBB",misc[[#This Row],[CBB]],"**BASE**I_CCF**ENV",misc[[#This Row],[ENV]],splitchar,"CBREGS_ALL",misc[[#This Row],[CBO]],splitchar,"SPARE")</f>
        <v>*SOCKET0**CBB**BASE**I_CCF**ENV__CBREGS_ALL__SPARE</v>
      </c>
      <c r="AH148">
        <f>COUNTIFS(cha_mc[TestName],misc[[#This Row],[LLC_MCA_String - Not Used]],cha_mc[VisualId],MC_Check!$H$2)</f>
        <v>0</v>
      </c>
    </row>
    <row r="149" spans="8:34" x14ac:dyDescent="0.3">
      <c r="H149" s="61"/>
      <c r="I149" s="61"/>
      <c r="J149" s="61"/>
      <c r="K149" s="61"/>
      <c r="L149" s="61"/>
      <c r="M149" s="61" t="str">
        <f>_xlfn.TEXTJOIN("",,misc[[#This Row],[ROW]],misc[[#This Row],[ROW]])</f>
        <v/>
      </c>
      <c r="N149" s="5" t="b">
        <f>misc[[#This Row],[Core_Hitter_Count]]&gt;0</f>
        <v>0</v>
      </c>
      <c r="O149" t="b">
        <f>misc[[#This Row],[LLC_Hitter_Count]]&gt;0</f>
        <v>0</v>
      </c>
      <c r="P149" t="b">
        <f>misc[[#This Row],[CHA_Hitter_Count]]&gt;0</f>
        <v>0</v>
      </c>
      <c r="Q149" t="str">
        <f>_xlfn.TEXTJOIN("",,"*SOCKET0**CBB",misc[[#This Row],[CBB]],"**BASE**I_CCF_ENV",misc[[#This Row],[ENV]],splitchar,"CBREGS_ALL",misc[[#This Row],[CBO]],splitchar,"MC_STATUS*")</f>
        <v>*SOCKET0**CBB**BASE**I_CCF_ENV__CBREGS_ALL__MC_STATUS*</v>
      </c>
      <c r="R149">
        <f>COUNTIFS(cha_mc[TestName],misc[[#This Row],[CBO_MCA_String]],cha_mc[VisualId],MC_Check!$H$2)</f>
        <v>0</v>
      </c>
      <c r="S149" t="str">
        <f>_xlfn.TEXTJOIN("",,"*SOCKET0**CBB",misc[[#This Row],[CBB]],"**COMPUTE",misc[[#This Row],[Compute]],"**MODULE",misc[[#This Row],[Module]],splitchar,"**CORE**IFU*CR*MC0*STATUS**")</f>
        <v>*SOCKET0**CBB**COMPUTE**MODULE__**CORE**IFU*CR*MC0*STATUS**</v>
      </c>
      <c r="T149">
        <f>COUNTIFS(core_mc[TestName],misc[[#This Row],[IFU_MCA_String]],core_mc[VisualId],MC_Check!$H$2)</f>
        <v>0</v>
      </c>
      <c r="U149" t="str">
        <f>_xlfn.TEXTJOIN("",,"*SOCKET0**CBB",misc[[#This Row],[CBB]],"**COMPUTE",misc[[#This Row],[Compute]],"**MODULE",misc[[#This Row],[Module]],splitchar,"**CORE**ROB1*CR*MC*STATUS**")</f>
        <v>*SOCKET0**CBB**COMPUTE**MODULE__**CORE**ROB1*CR*MC*STATUS**</v>
      </c>
      <c r="V149">
        <f>COUNTIFS(core_mc[TestName],misc[[#This Row],[ROB_MCA_String]],core_mc[VisualId],MC_Check!$H$2)</f>
        <v>0</v>
      </c>
      <c r="W149" t="str">
        <f>_xlfn.TEXTJOIN("",,"*SOCKET0**CBB",misc[[#This Row],[CBB]],"**COMPUTE",misc[[#This Row],[Compute]],"**MODULE",misc[[#This Row],[Module]],splitchar,"**CORE**DCU*CR*MC1*STATUS**")</f>
        <v>*SOCKET0**CBB**COMPUTE**MODULE__**CORE**DCU*CR*MC1*STATUS**</v>
      </c>
      <c r="X149">
        <f>COUNTIFS(core_mc[TestName],misc[[#This Row],[DCU_MCA_String]],core_mc[VisualId],MC_Check!$H$2)</f>
        <v>0</v>
      </c>
      <c r="Y149" t="str">
        <f>_xlfn.TEXTJOIN("",,"*SOCKET0**CBB",misc[[#This Row],[CBB]],"**COMPUTE",misc[[#This Row],[Compute]],"**MODULE",misc[[#This Row],[Module]],splitchar,"**CORE**DTLB*CR*MC2*STATUS**")</f>
        <v>*SOCKET0**CBB**COMPUTE**MODULE__**CORE**DTLB*CR*MC2*STATUS**</v>
      </c>
      <c r="Z149">
        <f>COUNTIFS(core_mc[TestName],misc[[#This Row],[CORE_DTLB_String]],core_mc[VisualId],MC_Check!$H$2)</f>
        <v>0</v>
      </c>
      <c r="AA149" t="str">
        <f>_xlfn.TEXTJOIN("",,"*SOCKET0**CBB",misc[[#This Row],[CBB]],"**COMPUTE",misc[[#This Row],[Compute]],"**MODULE",misc[[#This Row],[Module]],splitchar,"**ML2*CR*MC3*STATUS**")</f>
        <v>*SOCKET0**CBB**COMPUTE**MODULE__**ML2*CR*MC3*STATUS**</v>
      </c>
      <c r="AB149">
        <f>COUNTIFS(core_mc[TestName],misc[[#This Row],[Core_ML2_String]],core_mc[VisualId],MC_Check!$H$2)</f>
        <v>0</v>
      </c>
      <c r="AC149" t="str">
        <f>_xlfn.TEXTJOIN("",,"*SOCKET0**CBB",misc[[#This Row],[CBB]],"**COMPUTE",misc[[#This Row],[Compute]],"**MODULE",misc[[#This Row],[Module]],splitchar,"SPARE")</f>
        <v>*SOCKET0**CBB**COMPUTE**MODULE__SPARE</v>
      </c>
      <c r="AD149">
        <f>COUNTIFS(core_mc[TestName],misc[[#This Row],[Core_L2_String - SPARE]],core_mc[VisualId],MC_Check!$H$2)</f>
        <v>0</v>
      </c>
      <c r="AE149">
        <f>misc[[#This Row],[Core_DTLB_Count]]+misc[[#This Row],[Core_DCU_Count]]+misc[[#This Row],[Core_IFU_Count]]+misc[[#This Row],[Core_ROB_Count]]+misc[[#This Row],[Core_L2_Count - SPARE]]+misc[[#This Row],[Core_ML2_Count]]</f>
        <v>0</v>
      </c>
      <c r="AF149" t="str">
        <f>_xlfn.TEXTJOIN(", ",,IF(misc[[#This Row],[Core_IFU_Count]]&gt;0,"IFU",""),IF(misc[[#This Row],[Core_DCU_Count]]&gt;0,"DCU",""),IF(misc[[#This Row],[Core_DTLB_Count]]&gt;0,"DTLB",""),IF(misc[[#This Row],[Core_ROB_Count]]&gt;0,"ROB",""),IF(misc[[#This Row],[Core_ML2_Count]]&gt;0,"ML2",""),IF(misc[[#This Row],[Core_L2_Count - SPARE]]&gt;0,"L2",""))</f>
        <v/>
      </c>
      <c r="AG149" t="str">
        <f>_xlfn.TEXTJOIN("",,"*SOCKET0**CBB",misc[[#This Row],[CBB]],"**BASE**I_CCF**ENV",misc[[#This Row],[ENV]],splitchar,"CBREGS_ALL",misc[[#This Row],[CBO]],splitchar,"SPARE")</f>
        <v>*SOCKET0**CBB**BASE**I_CCF**ENV__CBREGS_ALL__SPARE</v>
      </c>
      <c r="AH149">
        <f>COUNTIFS(cha_mc[TestName],misc[[#This Row],[LLC_MCA_String - Not Used]],cha_mc[VisualId],MC_Check!$H$2)</f>
        <v>0</v>
      </c>
    </row>
    <row r="150" spans="8:34" x14ac:dyDescent="0.3">
      <c r="H150" s="61"/>
      <c r="I150" s="61"/>
      <c r="M150" s="61" t="str">
        <f>_xlfn.TEXTJOIN("",,misc[[#This Row],[ROW]],misc[[#This Row],[ROW]])</f>
        <v/>
      </c>
      <c r="N150" s="5" t="b">
        <f>misc[[#This Row],[Core_Hitter_Count]]&gt;0</f>
        <v>0</v>
      </c>
      <c r="O150" t="b">
        <f>misc[[#This Row],[LLC_Hitter_Count]]&gt;0</f>
        <v>0</v>
      </c>
      <c r="P150" t="b">
        <f>misc[[#This Row],[CHA_Hitter_Count]]&gt;0</f>
        <v>0</v>
      </c>
      <c r="Q150" t="str">
        <f>_xlfn.TEXTJOIN("",,"*SOCKET0**CBB",misc[[#This Row],[CBB]],"**BASE**I_CCF_ENV",misc[[#This Row],[ENV]],splitchar,"CBREGS_ALL",misc[[#This Row],[CBO]],splitchar,"MC_STATUS*")</f>
        <v>*SOCKET0**CBB**BASE**I_CCF_ENV__CBREGS_ALL__MC_STATUS*</v>
      </c>
      <c r="R150">
        <f>COUNTIFS(cha_mc[TestName],misc[[#This Row],[CBO_MCA_String]],cha_mc[VisualId],MC_Check!$H$2)</f>
        <v>0</v>
      </c>
      <c r="S150" t="str">
        <f>_xlfn.TEXTJOIN("",,"*SOCKET0**CBB",misc[[#This Row],[CBB]],"**COMPUTE",misc[[#This Row],[Compute]],"**MODULE",misc[[#This Row],[Module]],splitchar,"**CORE**IFU*CR*MC0*STATUS**")</f>
        <v>*SOCKET0**CBB**COMPUTE**MODULE__**CORE**IFU*CR*MC0*STATUS**</v>
      </c>
      <c r="T150">
        <f>COUNTIFS(core_mc[TestName],misc[[#This Row],[IFU_MCA_String]],core_mc[VisualId],MC_Check!$H$2)</f>
        <v>0</v>
      </c>
      <c r="U150" t="str">
        <f>_xlfn.TEXTJOIN("",,"*SOCKET0**CBB",misc[[#This Row],[CBB]],"**COMPUTE",misc[[#This Row],[Compute]],"**MODULE",misc[[#This Row],[Module]],splitchar,"**CORE**ROB1*CR*MC*STATUS**")</f>
        <v>*SOCKET0**CBB**COMPUTE**MODULE__**CORE**ROB1*CR*MC*STATUS**</v>
      </c>
      <c r="V150">
        <f>COUNTIFS(core_mc[TestName],misc[[#This Row],[ROB_MCA_String]],core_mc[VisualId],MC_Check!$H$2)</f>
        <v>0</v>
      </c>
      <c r="W150" t="str">
        <f>_xlfn.TEXTJOIN("",,"*SOCKET0**CBB",misc[[#This Row],[CBB]],"**COMPUTE",misc[[#This Row],[Compute]],"**MODULE",misc[[#This Row],[Module]],splitchar,"**CORE**DCU*CR*MC1*STATUS**")</f>
        <v>*SOCKET0**CBB**COMPUTE**MODULE__**CORE**DCU*CR*MC1*STATUS**</v>
      </c>
      <c r="X150">
        <f>COUNTIFS(core_mc[TestName],misc[[#This Row],[DCU_MCA_String]],core_mc[VisualId],MC_Check!$H$2)</f>
        <v>0</v>
      </c>
      <c r="Y150" t="str">
        <f>_xlfn.TEXTJOIN("",,"*SOCKET0**CBB",misc[[#This Row],[CBB]],"**COMPUTE",misc[[#This Row],[Compute]],"**MODULE",misc[[#This Row],[Module]],splitchar,"**CORE**DTLB*CR*MC2*STATUS**")</f>
        <v>*SOCKET0**CBB**COMPUTE**MODULE__**CORE**DTLB*CR*MC2*STATUS**</v>
      </c>
      <c r="Z150">
        <f>COUNTIFS(core_mc[TestName],misc[[#This Row],[CORE_DTLB_String]],core_mc[VisualId],MC_Check!$H$2)</f>
        <v>0</v>
      </c>
      <c r="AA150" t="str">
        <f>_xlfn.TEXTJOIN("",,"*SOCKET0**CBB",misc[[#This Row],[CBB]],"**COMPUTE",misc[[#This Row],[Compute]],"**MODULE",misc[[#This Row],[Module]],splitchar,"**ML2*CR*MC3*STATUS**")</f>
        <v>*SOCKET0**CBB**COMPUTE**MODULE__**ML2*CR*MC3*STATUS**</v>
      </c>
      <c r="AB150">
        <f>COUNTIFS(core_mc[TestName],misc[[#This Row],[Core_ML2_String]],core_mc[VisualId],MC_Check!$H$2)</f>
        <v>0</v>
      </c>
      <c r="AC150" t="str">
        <f>_xlfn.TEXTJOIN("",,"*SOCKET0**CBB",misc[[#This Row],[CBB]],"**COMPUTE",misc[[#This Row],[Compute]],"**MODULE",misc[[#This Row],[Module]],splitchar,"SPARE")</f>
        <v>*SOCKET0**CBB**COMPUTE**MODULE__SPARE</v>
      </c>
      <c r="AD150">
        <f>COUNTIFS(core_mc[TestName],misc[[#This Row],[Core_L2_String - SPARE]],core_mc[VisualId],MC_Check!$H$2)</f>
        <v>0</v>
      </c>
      <c r="AE150">
        <f>misc[[#This Row],[Core_DTLB_Count]]+misc[[#This Row],[Core_DCU_Count]]+misc[[#This Row],[Core_IFU_Count]]+misc[[#This Row],[Core_ROB_Count]]+misc[[#This Row],[Core_L2_Count - SPARE]]+misc[[#This Row],[Core_ML2_Count]]</f>
        <v>0</v>
      </c>
      <c r="AF150" t="str">
        <f>_xlfn.TEXTJOIN(", ",,IF(misc[[#This Row],[Core_IFU_Count]]&gt;0,"IFU",""),IF(misc[[#This Row],[Core_DCU_Count]]&gt;0,"DCU",""),IF(misc[[#This Row],[Core_DTLB_Count]]&gt;0,"DTLB",""),IF(misc[[#This Row],[Core_ROB_Count]]&gt;0,"ROB",""),IF(misc[[#This Row],[Core_ML2_Count]]&gt;0,"ML2",""),IF(misc[[#This Row],[Core_L2_Count - SPARE]]&gt;0,"L2",""))</f>
        <v/>
      </c>
      <c r="AG150" t="str">
        <f>_xlfn.TEXTJOIN("",,"*SOCKET0**CBB",misc[[#This Row],[CBB]],"**BASE**I_CCF**ENV",misc[[#This Row],[ENV]],splitchar,"CBREGS_ALL",misc[[#This Row],[CBO]],splitchar,"SPARE")</f>
        <v>*SOCKET0**CBB**BASE**I_CCF**ENV__CBREGS_ALL__SPARE</v>
      </c>
      <c r="AH150">
        <f>COUNTIFS(cha_mc[TestName],misc[[#This Row],[LLC_MCA_String - Not Used]],cha_mc[VisualId],MC_Check!$H$2)</f>
        <v>0</v>
      </c>
    </row>
    <row r="151" spans="8:34" x14ac:dyDescent="0.3">
      <c r="H151" s="61"/>
      <c r="I151" s="61"/>
      <c r="M151" s="61" t="str">
        <f>_xlfn.TEXTJOIN("",,misc[[#This Row],[ROW]],misc[[#This Row],[ROW]])</f>
        <v/>
      </c>
      <c r="N151" s="5" t="b">
        <f>misc[[#This Row],[Core_Hitter_Count]]&gt;0</f>
        <v>0</v>
      </c>
      <c r="O151" t="b">
        <f>misc[[#This Row],[LLC_Hitter_Count]]&gt;0</f>
        <v>0</v>
      </c>
      <c r="P151" t="b">
        <f>misc[[#This Row],[CHA_Hitter_Count]]&gt;0</f>
        <v>0</v>
      </c>
      <c r="Q151" t="str">
        <f>_xlfn.TEXTJOIN("",,"*SOCKET0**CBB",misc[[#This Row],[CBB]],"**BASE**I_CCF_ENV",misc[[#This Row],[ENV]],splitchar,"CBREGS_ALL",misc[[#This Row],[CBO]],splitchar,"MC_STATUS*")</f>
        <v>*SOCKET0**CBB**BASE**I_CCF_ENV__CBREGS_ALL__MC_STATUS*</v>
      </c>
      <c r="R151">
        <f>COUNTIFS(cha_mc[TestName],misc[[#This Row],[CBO_MCA_String]],cha_mc[VisualId],MC_Check!$H$2)</f>
        <v>0</v>
      </c>
      <c r="S151" t="str">
        <f>_xlfn.TEXTJOIN("",,"*SOCKET0**CBB",misc[[#This Row],[CBB]],"**COMPUTE",misc[[#This Row],[Compute]],"**MODULE",misc[[#This Row],[Module]],splitchar,"**CORE**IFU*CR*MC0*STATUS**")</f>
        <v>*SOCKET0**CBB**COMPUTE**MODULE__**CORE**IFU*CR*MC0*STATUS**</v>
      </c>
      <c r="T151">
        <f>COUNTIFS(core_mc[TestName],misc[[#This Row],[IFU_MCA_String]],core_mc[VisualId],MC_Check!$H$2)</f>
        <v>0</v>
      </c>
      <c r="U151" t="str">
        <f>_xlfn.TEXTJOIN("",,"*SOCKET0**CBB",misc[[#This Row],[CBB]],"**COMPUTE",misc[[#This Row],[Compute]],"**MODULE",misc[[#This Row],[Module]],splitchar,"**CORE**ROB1*CR*MC*STATUS**")</f>
        <v>*SOCKET0**CBB**COMPUTE**MODULE__**CORE**ROB1*CR*MC*STATUS**</v>
      </c>
      <c r="V151">
        <f>COUNTIFS(core_mc[TestName],misc[[#This Row],[ROB_MCA_String]],core_mc[VisualId],MC_Check!$H$2)</f>
        <v>0</v>
      </c>
      <c r="W151" t="str">
        <f>_xlfn.TEXTJOIN("",,"*SOCKET0**CBB",misc[[#This Row],[CBB]],"**COMPUTE",misc[[#This Row],[Compute]],"**MODULE",misc[[#This Row],[Module]],splitchar,"**CORE**DCU*CR*MC1*STATUS**")</f>
        <v>*SOCKET0**CBB**COMPUTE**MODULE__**CORE**DCU*CR*MC1*STATUS**</v>
      </c>
      <c r="X151">
        <f>COUNTIFS(core_mc[TestName],misc[[#This Row],[DCU_MCA_String]],core_mc[VisualId],MC_Check!$H$2)</f>
        <v>0</v>
      </c>
      <c r="Y151" t="str">
        <f>_xlfn.TEXTJOIN("",,"*SOCKET0**CBB",misc[[#This Row],[CBB]],"**COMPUTE",misc[[#This Row],[Compute]],"**MODULE",misc[[#This Row],[Module]],splitchar,"**CORE**DTLB*CR*MC2*STATUS**")</f>
        <v>*SOCKET0**CBB**COMPUTE**MODULE__**CORE**DTLB*CR*MC2*STATUS**</v>
      </c>
      <c r="Z151">
        <f>COUNTIFS(core_mc[TestName],misc[[#This Row],[CORE_DTLB_String]],core_mc[VisualId],MC_Check!$H$2)</f>
        <v>0</v>
      </c>
      <c r="AA151" t="str">
        <f>_xlfn.TEXTJOIN("",,"*SOCKET0**CBB",misc[[#This Row],[CBB]],"**COMPUTE",misc[[#This Row],[Compute]],"**MODULE",misc[[#This Row],[Module]],splitchar,"**ML2*CR*MC3*STATUS**")</f>
        <v>*SOCKET0**CBB**COMPUTE**MODULE__**ML2*CR*MC3*STATUS**</v>
      </c>
      <c r="AB151">
        <f>COUNTIFS(core_mc[TestName],misc[[#This Row],[Core_ML2_String]],core_mc[VisualId],MC_Check!$H$2)</f>
        <v>0</v>
      </c>
      <c r="AC151" t="str">
        <f>_xlfn.TEXTJOIN("",,"*SOCKET0**CBB",misc[[#This Row],[CBB]],"**COMPUTE",misc[[#This Row],[Compute]],"**MODULE",misc[[#This Row],[Module]],splitchar,"SPARE")</f>
        <v>*SOCKET0**CBB**COMPUTE**MODULE__SPARE</v>
      </c>
      <c r="AD151">
        <f>COUNTIFS(core_mc[TestName],misc[[#This Row],[Core_L2_String - SPARE]],core_mc[VisualId],MC_Check!$H$2)</f>
        <v>0</v>
      </c>
      <c r="AE151">
        <f>misc[[#This Row],[Core_DTLB_Count]]+misc[[#This Row],[Core_DCU_Count]]+misc[[#This Row],[Core_IFU_Count]]+misc[[#This Row],[Core_ROB_Count]]+misc[[#This Row],[Core_L2_Count - SPARE]]+misc[[#This Row],[Core_ML2_Count]]</f>
        <v>0</v>
      </c>
      <c r="AF151" t="str">
        <f>_xlfn.TEXTJOIN(", ",,IF(misc[[#This Row],[Core_IFU_Count]]&gt;0,"IFU",""),IF(misc[[#This Row],[Core_DCU_Count]]&gt;0,"DCU",""),IF(misc[[#This Row],[Core_DTLB_Count]]&gt;0,"DTLB",""),IF(misc[[#This Row],[Core_ROB_Count]]&gt;0,"ROB",""),IF(misc[[#This Row],[Core_ML2_Count]]&gt;0,"ML2",""),IF(misc[[#This Row],[Core_L2_Count - SPARE]]&gt;0,"L2",""))</f>
        <v/>
      </c>
      <c r="AG151" t="str">
        <f>_xlfn.TEXTJOIN("",,"*SOCKET0**CBB",misc[[#This Row],[CBB]],"**BASE**I_CCF**ENV",misc[[#This Row],[ENV]],splitchar,"CBREGS_ALL",misc[[#This Row],[CBO]],splitchar,"SPARE")</f>
        <v>*SOCKET0**CBB**BASE**I_CCF**ENV__CBREGS_ALL__SPARE</v>
      </c>
      <c r="AH151">
        <f>COUNTIFS(cha_mc[TestName],misc[[#This Row],[LLC_MCA_String - Not Used]],cha_mc[VisualId],MC_Check!$H$2)</f>
        <v>0</v>
      </c>
    </row>
    <row r="152" spans="8:34" x14ac:dyDescent="0.3">
      <c r="H152" s="61"/>
      <c r="I152" s="61"/>
      <c r="M152" s="61" t="str">
        <f>_xlfn.TEXTJOIN("",,misc[[#This Row],[ROW]],misc[[#This Row],[ROW]])</f>
        <v/>
      </c>
      <c r="N152" s="5" t="b">
        <f>misc[[#This Row],[Core_Hitter_Count]]&gt;0</f>
        <v>0</v>
      </c>
      <c r="O152" t="b">
        <f>misc[[#This Row],[LLC_Hitter_Count]]&gt;0</f>
        <v>0</v>
      </c>
      <c r="P152" t="b">
        <f>misc[[#This Row],[CHA_Hitter_Count]]&gt;0</f>
        <v>0</v>
      </c>
      <c r="Q152" t="str">
        <f>_xlfn.TEXTJOIN("",,"*SOCKET0**CBB",misc[[#This Row],[CBB]],"**BASE**I_CCF_ENV",misc[[#This Row],[ENV]],splitchar,"CBREGS_ALL",misc[[#This Row],[CBO]],splitchar,"MC_STATUS*")</f>
        <v>*SOCKET0**CBB**BASE**I_CCF_ENV__CBREGS_ALL__MC_STATUS*</v>
      </c>
      <c r="R152">
        <f>COUNTIFS(cha_mc[TestName],misc[[#This Row],[CBO_MCA_String]],cha_mc[VisualId],MC_Check!$H$2)</f>
        <v>0</v>
      </c>
      <c r="S152" t="str">
        <f>_xlfn.TEXTJOIN("",,"*SOCKET0**CBB",misc[[#This Row],[CBB]],"**COMPUTE",misc[[#This Row],[Compute]],"**MODULE",misc[[#This Row],[Module]],splitchar,"**CORE**IFU*CR*MC0*STATUS**")</f>
        <v>*SOCKET0**CBB**COMPUTE**MODULE__**CORE**IFU*CR*MC0*STATUS**</v>
      </c>
      <c r="T152">
        <f>COUNTIFS(core_mc[TestName],misc[[#This Row],[IFU_MCA_String]],core_mc[VisualId],MC_Check!$H$2)</f>
        <v>0</v>
      </c>
      <c r="U152" t="str">
        <f>_xlfn.TEXTJOIN("",,"*SOCKET0**CBB",misc[[#This Row],[CBB]],"**COMPUTE",misc[[#This Row],[Compute]],"**MODULE",misc[[#This Row],[Module]],splitchar,"**CORE**ROB1*CR*MC*STATUS**")</f>
        <v>*SOCKET0**CBB**COMPUTE**MODULE__**CORE**ROB1*CR*MC*STATUS**</v>
      </c>
      <c r="V152">
        <f>COUNTIFS(core_mc[TestName],misc[[#This Row],[ROB_MCA_String]],core_mc[VisualId],MC_Check!$H$2)</f>
        <v>0</v>
      </c>
      <c r="W152" t="str">
        <f>_xlfn.TEXTJOIN("",,"*SOCKET0**CBB",misc[[#This Row],[CBB]],"**COMPUTE",misc[[#This Row],[Compute]],"**MODULE",misc[[#This Row],[Module]],splitchar,"**CORE**DCU*CR*MC1*STATUS**")</f>
        <v>*SOCKET0**CBB**COMPUTE**MODULE__**CORE**DCU*CR*MC1*STATUS**</v>
      </c>
      <c r="X152">
        <f>COUNTIFS(core_mc[TestName],misc[[#This Row],[DCU_MCA_String]],core_mc[VisualId],MC_Check!$H$2)</f>
        <v>0</v>
      </c>
      <c r="Y152" t="str">
        <f>_xlfn.TEXTJOIN("",,"*SOCKET0**CBB",misc[[#This Row],[CBB]],"**COMPUTE",misc[[#This Row],[Compute]],"**MODULE",misc[[#This Row],[Module]],splitchar,"**CORE**DTLB*CR*MC2*STATUS**")</f>
        <v>*SOCKET0**CBB**COMPUTE**MODULE__**CORE**DTLB*CR*MC2*STATUS**</v>
      </c>
      <c r="Z152">
        <f>COUNTIFS(core_mc[TestName],misc[[#This Row],[CORE_DTLB_String]],core_mc[VisualId],MC_Check!$H$2)</f>
        <v>0</v>
      </c>
      <c r="AA152" t="str">
        <f>_xlfn.TEXTJOIN("",,"*SOCKET0**CBB",misc[[#This Row],[CBB]],"**COMPUTE",misc[[#This Row],[Compute]],"**MODULE",misc[[#This Row],[Module]],splitchar,"**ML2*CR*MC3*STATUS**")</f>
        <v>*SOCKET0**CBB**COMPUTE**MODULE__**ML2*CR*MC3*STATUS**</v>
      </c>
      <c r="AB152">
        <f>COUNTIFS(core_mc[TestName],misc[[#This Row],[Core_ML2_String]],core_mc[VisualId],MC_Check!$H$2)</f>
        <v>0</v>
      </c>
      <c r="AC152" t="str">
        <f>_xlfn.TEXTJOIN("",,"*SOCKET0**CBB",misc[[#This Row],[CBB]],"**COMPUTE",misc[[#This Row],[Compute]],"**MODULE",misc[[#This Row],[Module]],splitchar,"SPARE")</f>
        <v>*SOCKET0**CBB**COMPUTE**MODULE__SPARE</v>
      </c>
      <c r="AD152">
        <f>COUNTIFS(core_mc[TestName],misc[[#This Row],[Core_L2_String - SPARE]],core_mc[VisualId],MC_Check!$H$2)</f>
        <v>0</v>
      </c>
      <c r="AE152">
        <f>misc[[#This Row],[Core_DTLB_Count]]+misc[[#This Row],[Core_DCU_Count]]+misc[[#This Row],[Core_IFU_Count]]+misc[[#This Row],[Core_ROB_Count]]+misc[[#This Row],[Core_L2_Count - SPARE]]+misc[[#This Row],[Core_ML2_Count]]</f>
        <v>0</v>
      </c>
      <c r="AF152" t="str">
        <f>_xlfn.TEXTJOIN(", ",,IF(misc[[#This Row],[Core_IFU_Count]]&gt;0,"IFU",""),IF(misc[[#This Row],[Core_DCU_Count]]&gt;0,"DCU",""),IF(misc[[#This Row],[Core_DTLB_Count]]&gt;0,"DTLB",""),IF(misc[[#This Row],[Core_ROB_Count]]&gt;0,"ROB",""),IF(misc[[#This Row],[Core_ML2_Count]]&gt;0,"ML2",""),IF(misc[[#This Row],[Core_L2_Count - SPARE]]&gt;0,"L2",""))</f>
        <v/>
      </c>
      <c r="AG152" t="str">
        <f>_xlfn.TEXTJOIN("",,"*SOCKET0**CBB",misc[[#This Row],[CBB]],"**BASE**I_CCF**ENV",misc[[#This Row],[ENV]],splitchar,"CBREGS_ALL",misc[[#This Row],[CBO]],splitchar,"SPARE")</f>
        <v>*SOCKET0**CBB**BASE**I_CCF**ENV__CBREGS_ALL__SPARE</v>
      </c>
      <c r="AH152">
        <f>COUNTIFS(cha_mc[TestName],misc[[#This Row],[LLC_MCA_String - Not Used]],cha_mc[VisualId],MC_Check!$H$2)</f>
        <v>0</v>
      </c>
    </row>
    <row r="153" spans="8:34" x14ac:dyDescent="0.3">
      <c r="H153" s="61"/>
      <c r="I153" s="61"/>
      <c r="J153" s="61"/>
      <c r="K153" s="61"/>
      <c r="L153" s="61"/>
      <c r="M153" s="61" t="str">
        <f>_xlfn.TEXTJOIN("",,misc[[#This Row],[ROW]],misc[[#This Row],[ROW]])</f>
        <v/>
      </c>
      <c r="N153" s="5" t="b">
        <f>misc[[#This Row],[Core_Hitter_Count]]&gt;0</f>
        <v>0</v>
      </c>
      <c r="O153" t="b">
        <f>misc[[#This Row],[LLC_Hitter_Count]]&gt;0</f>
        <v>0</v>
      </c>
      <c r="P153" t="b">
        <f>misc[[#This Row],[CHA_Hitter_Count]]&gt;0</f>
        <v>0</v>
      </c>
      <c r="Q153" t="str">
        <f>_xlfn.TEXTJOIN("",,"*SOCKET0**CBB",misc[[#This Row],[CBB]],"**BASE**I_CCF_ENV",misc[[#This Row],[ENV]],splitchar,"CBREGS_ALL",misc[[#This Row],[CBO]],splitchar,"MC_STATUS*")</f>
        <v>*SOCKET0**CBB**BASE**I_CCF_ENV__CBREGS_ALL__MC_STATUS*</v>
      </c>
      <c r="R153">
        <f>COUNTIFS(cha_mc[TestName],misc[[#This Row],[CBO_MCA_String]],cha_mc[VisualId],MC_Check!$H$2)</f>
        <v>0</v>
      </c>
      <c r="S153" t="str">
        <f>_xlfn.TEXTJOIN("",,"*SOCKET0**CBB",misc[[#This Row],[CBB]],"**COMPUTE",misc[[#This Row],[Compute]],"**MODULE",misc[[#This Row],[Module]],splitchar,"**CORE**IFU*CR*MC0*STATUS**")</f>
        <v>*SOCKET0**CBB**COMPUTE**MODULE__**CORE**IFU*CR*MC0*STATUS**</v>
      </c>
      <c r="T153">
        <f>COUNTIFS(core_mc[TestName],misc[[#This Row],[IFU_MCA_String]],core_mc[VisualId],MC_Check!$H$2)</f>
        <v>0</v>
      </c>
      <c r="U153" t="str">
        <f>_xlfn.TEXTJOIN("",,"*SOCKET0**CBB",misc[[#This Row],[CBB]],"**COMPUTE",misc[[#This Row],[Compute]],"**MODULE",misc[[#This Row],[Module]],splitchar,"**CORE**ROB1*CR*MC*STATUS**")</f>
        <v>*SOCKET0**CBB**COMPUTE**MODULE__**CORE**ROB1*CR*MC*STATUS**</v>
      </c>
      <c r="V153">
        <f>COUNTIFS(core_mc[TestName],misc[[#This Row],[ROB_MCA_String]],core_mc[VisualId],MC_Check!$H$2)</f>
        <v>0</v>
      </c>
      <c r="W153" t="str">
        <f>_xlfn.TEXTJOIN("",,"*SOCKET0**CBB",misc[[#This Row],[CBB]],"**COMPUTE",misc[[#This Row],[Compute]],"**MODULE",misc[[#This Row],[Module]],splitchar,"**CORE**DCU*CR*MC1*STATUS**")</f>
        <v>*SOCKET0**CBB**COMPUTE**MODULE__**CORE**DCU*CR*MC1*STATUS**</v>
      </c>
      <c r="X153">
        <f>COUNTIFS(core_mc[TestName],misc[[#This Row],[DCU_MCA_String]],core_mc[VisualId],MC_Check!$H$2)</f>
        <v>0</v>
      </c>
      <c r="Y153" t="str">
        <f>_xlfn.TEXTJOIN("",,"*SOCKET0**CBB",misc[[#This Row],[CBB]],"**COMPUTE",misc[[#This Row],[Compute]],"**MODULE",misc[[#This Row],[Module]],splitchar,"**CORE**DTLB*CR*MC2*STATUS**")</f>
        <v>*SOCKET0**CBB**COMPUTE**MODULE__**CORE**DTLB*CR*MC2*STATUS**</v>
      </c>
      <c r="Z153">
        <f>COUNTIFS(core_mc[TestName],misc[[#This Row],[CORE_DTLB_String]],core_mc[VisualId],MC_Check!$H$2)</f>
        <v>0</v>
      </c>
      <c r="AA153" t="str">
        <f>_xlfn.TEXTJOIN("",,"*SOCKET0**CBB",misc[[#This Row],[CBB]],"**COMPUTE",misc[[#This Row],[Compute]],"**MODULE",misc[[#This Row],[Module]],splitchar,"**ML2*CR*MC3*STATUS**")</f>
        <v>*SOCKET0**CBB**COMPUTE**MODULE__**ML2*CR*MC3*STATUS**</v>
      </c>
      <c r="AB153">
        <f>COUNTIFS(core_mc[TestName],misc[[#This Row],[Core_ML2_String]],core_mc[VisualId],MC_Check!$H$2)</f>
        <v>0</v>
      </c>
      <c r="AC153" t="str">
        <f>_xlfn.TEXTJOIN("",,"*SOCKET0**CBB",misc[[#This Row],[CBB]],"**COMPUTE",misc[[#This Row],[Compute]],"**MODULE",misc[[#This Row],[Module]],splitchar,"SPARE")</f>
        <v>*SOCKET0**CBB**COMPUTE**MODULE__SPARE</v>
      </c>
      <c r="AD153">
        <f>COUNTIFS(core_mc[TestName],misc[[#This Row],[Core_L2_String - SPARE]],core_mc[VisualId],MC_Check!$H$2)</f>
        <v>0</v>
      </c>
      <c r="AE153">
        <f>misc[[#This Row],[Core_DTLB_Count]]+misc[[#This Row],[Core_DCU_Count]]+misc[[#This Row],[Core_IFU_Count]]+misc[[#This Row],[Core_ROB_Count]]+misc[[#This Row],[Core_L2_Count - SPARE]]+misc[[#This Row],[Core_ML2_Count]]</f>
        <v>0</v>
      </c>
      <c r="AF153" t="str">
        <f>_xlfn.TEXTJOIN(", ",,IF(misc[[#This Row],[Core_IFU_Count]]&gt;0,"IFU",""),IF(misc[[#This Row],[Core_DCU_Count]]&gt;0,"DCU",""),IF(misc[[#This Row],[Core_DTLB_Count]]&gt;0,"DTLB",""),IF(misc[[#This Row],[Core_ROB_Count]]&gt;0,"ROB",""),IF(misc[[#This Row],[Core_ML2_Count]]&gt;0,"ML2",""),IF(misc[[#This Row],[Core_L2_Count - SPARE]]&gt;0,"L2",""))</f>
        <v/>
      </c>
      <c r="AG153" t="str">
        <f>_xlfn.TEXTJOIN("",,"*SOCKET0**CBB",misc[[#This Row],[CBB]],"**BASE**I_CCF**ENV",misc[[#This Row],[ENV]],splitchar,"CBREGS_ALL",misc[[#This Row],[CBO]],splitchar,"SPARE")</f>
        <v>*SOCKET0**CBB**BASE**I_CCF**ENV__CBREGS_ALL__SPARE</v>
      </c>
      <c r="AH153">
        <f>COUNTIFS(cha_mc[TestName],misc[[#This Row],[LLC_MCA_String - Not Used]],cha_mc[VisualId],MC_Check!$H$2)</f>
        <v>0</v>
      </c>
    </row>
    <row r="154" spans="8:34" x14ac:dyDescent="0.3">
      <c r="H154" s="61"/>
      <c r="I154" s="61"/>
      <c r="J154" s="61"/>
      <c r="K154" s="61"/>
      <c r="L154" s="61"/>
      <c r="M154" s="61" t="str">
        <f>_xlfn.TEXTJOIN("",,misc[[#This Row],[ROW]],misc[[#This Row],[ROW]])</f>
        <v/>
      </c>
      <c r="N154" s="5" t="b">
        <f>misc[[#This Row],[Core_Hitter_Count]]&gt;0</f>
        <v>0</v>
      </c>
      <c r="O154" t="b">
        <f>misc[[#This Row],[LLC_Hitter_Count]]&gt;0</f>
        <v>0</v>
      </c>
      <c r="P154" t="b">
        <f>misc[[#This Row],[CHA_Hitter_Count]]&gt;0</f>
        <v>0</v>
      </c>
      <c r="Q154" t="str">
        <f>_xlfn.TEXTJOIN("",,"*SOCKET0**CBB",misc[[#This Row],[CBB]],"**BASE**I_CCF_ENV",misc[[#This Row],[ENV]],splitchar,"CBREGS_ALL",misc[[#This Row],[CBO]],splitchar,"MC_STATUS*")</f>
        <v>*SOCKET0**CBB**BASE**I_CCF_ENV__CBREGS_ALL__MC_STATUS*</v>
      </c>
      <c r="R154">
        <f>COUNTIFS(cha_mc[TestName],misc[[#This Row],[CBO_MCA_String]],cha_mc[VisualId],MC_Check!$H$2)</f>
        <v>0</v>
      </c>
      <c r="S154" t="str">
        <f>_xlfn.TEXTJOIN("",,"*SOCKET0**CBB",misc[[#This Row],[CBB]],"**COMPUTE",misc[[#This Row],[Compute]],"**MODULE",misc[[#This Row],[Module]],splitchar,"**CORE**IFU*CR*MC0*STATUS**")</f>
        <v>*SOCKET0**CBB**COMPUTE**MODULE__**CORE**IFU*CR*MC0*STATUS**</v>
      </c>
      <c r="T154">
        <f>COUNTIFS(core_mc[TestName],misc[[#This Row],[IFU_MCA_String]],core_mc[VisualId],MC_Check!$H$2)</f>
        <v>0</v>
      </c>
      <c r="U154" t="str">
        <f>_xlfn.TEXTJOIN("",,"*SOCKET0**CBB",misc[[#This Row],[CBB]],"**COMPUTE",misc[[#This Row],[Compute]],"**MODULE",misc[[#This Row],[Module]],splitchar,"**CORE**ROB1*CR*MC*STATUS**")</f>
        <v>*SOCKET0**CBB**COMPUTE**MODULE__**CORE**ROB1*CR*MC*STATUS**</v>
      </c>
      <c r="V154">
        <f>COUNTIFS(core_mc[TestName],misc[[#This Row],[ROB_MCA_String]],core_mc[VisualId],MC_Check!$H$2)</f>
        <v>0</v>
      </c>
      <c r="W154" t="str">
        <f>_xlfn.TEXTJOIN("",,"*SOCKET0**CBB",misc[[#This Row],[CBB]],"**COMPUTE",misc[[#This Row],[Compute]],"**MODULE",misc[[#This Row],[Module]],splitchar,"**CORE**DCU*CR*MC1*STATUS**")</f>
        <v>*SOCKET0**CBB**COMPUTE**MODULE__**CORE**DCU*CR*MC1*STATUS**</v>
      </c>
      <c r="X154">
        <f>COUNTIFS(core_mc[TestName],misc[[#This Row],[DCU_MCA_String]],core_mc[VisualId],MC_Check!$H$2)</f>
        <v>0</v>
      </c>
      <c r="Y154" t="str">
        <f>_xlfn.TEXTJOIN("",,"*SOCKET0**CBB",misc[[#This Row],[CBB]],"**COMPUTE",misc[[#This Row],[Compute]],"**MODULE",misc[[#This Row],[Module]],splitchar,"**CORE**DTLB*CR*MC2*STATUS**")</f>
        <v>*SOCKET0**CBB**COMPUTE**MODULE__**CORE**DTLB*CR*MC2*STATUS**</v>
      </c>
      <c r="Z154">
        <f>COUNTIFS(core_mc[TestName],misc[[#This Row],[CORE_DTLB_String]],core_mc[VisualId],MC_Check!$H$2)</f>
        <v>0</v>
      </c>
      <c r="AA154" t="str">
        <f>_xlfn.TEXTJOIN("",,"*SOCKET0**CBB",misc[[#This Row],[CBB]],"**COMPUTE",misc[[#This Row],[Compute]],"**MODULE",misc[[#This Row],[Module]],splitchar,"**ML2*CR*MC3*STATUS**")</f>
        <v>*SOCKET0**CBB**COMPUTE**MODULE__**ML2*CR*MC3*STATUS**</v>
      </c>
      <c r="AB154">
        <f>COUNTIFS(core_mc[TestName],misc[[#This Row],[Core_ML2_String]],core_mc[VisualId],MC_Check!$H$2)</f>
        <v>0</v>
      </c>
      <c r="AC154" t="str">
        <f>_xlfn.TEXTJOIN("",,"*SOCKET0**CBB",misc[[#This Row],[CBB]],"**COMPUTE",misc[[#This Row],[Compute]],"**MODULE",misc[[#This Row],[Module]],splitchar,"SPARE")</f>
        <v>*SOCKET0**CBB**COMPUTE**MODULE__SPARE</v>
      </c>
      <c r="AD154">
        <f>COUNTIFS(core_mc[TestName],misc[[#This Row],[Core_L2_String - SPARE]],core_mc[VisualId],MC_Check!$H$2)</f>
        <v>0</v>
      </c>
      <c r="AE154">
        <f>misc[[#This Row],[Core_DTLB_Count]]+misc[[#This Row],[Core_DCU_Count]]+misc[[#This Row],[Core_IFU_Count]]+misc[[#This Row],[Core_ROB_Count]]+misc[[#This Row],[Core_L2_Count - SPARE]]+misc[[#This Row],[Core_ML2_Count]]</f>
        <v>0</v>
      </c>
      <c r="AF154" t="str">
        <f>_xlfn.TEXTJOIN(", ",,IF(misc[[#This Row],[Core_IFU_Count]]&gt;0,"IFU",""),IF(misc[[#This Row],[Core_DCU_Count]]&gt;0,"DCU",""),IF(misc[[#This Row],[Core_DTLB_Count]]&gt;0,"DTLB",""),IF(misc[[#This Row],[Core_ROB_Count]]&gt;0,"ROB",""),IF(misc[[#This Row],[Core_ML2_Count]]&gt;0,"ML2",""),IF(misc[[#This Row],[Core_L2_Count - SPARE]]&gt;0,"L2",""))</f>
        <v/>
      </c>
      <c r="AG154" t="str">
        <f>_xlfn.TEXTJOIN("",,"*SOCKET0**CBB",misc[[#This Row],[CBB]],"**BASE**I_CCF**ENV",misc[[#This Row],[ENV]],splitchar,"CBREGS_ALL",misc[[#This Row],[CBO]],splitchar,"SPARE")</f>
        <v>*SOCKET0**CBB**BASE**I_CCF**ENV__CBREGS_ALL__SPARE</v>
      </c>
      <c r="AH154">
        <f>COUNTIFS(cha_mc[TestName],misc[[#This Row],[LLC_MCA_String - Not Used]],cha_mc[VisualId],MC_Check!$H$2)</f>
        <v>0</v>
      </c>
    </row>
    <row r="155" spans="8:34" x14ac:dyDescent="0.3">
      <c r="H155" s="61"/>
      <c r="I155" s="61"/>
      <c r="J155" s="61"/>
      <c r="K155" s="61"/>
      <c r="L155" s="61"/>
      <c r="M155" s="61" t="str">
        <f>_xlfn.TEXTJOIN("",,misc[[#This Row],[ROW]],misc[[#This Row],[ROW]])</f>
        <v/>
      </c>
      <c r="N155" s="5" t="b">
        <f>misc[[#This Row],[Core_Hitter_Count]]&gt;0</f>
        <v>0</v>
      </c>
      <c r="O155" t="b">
        <f>misc[[#This Row],[LLC_Hitter_Count]]&gt;0</f>
        <v>0</v>
      </c>
      <c r="P155" t="b">
        <f>misc[[#This Row],[CHA_Hitter_Count]]&gt;0</f>
        <v>0</v>
      </c>
      <c r="Q155" t="str">
        <f>_xlfn.TEXTJOIN("",,"*SOCKET0**CBB",misc[[#This Row],[CBB]],"**BASE**I_CCF_ENV",misc[[#This Row],[ENV]],splitchar,"CBREGS_ALL",misc[[#This Row],[CBO]],splitchar,"MC_STATUS*")</f>
        <v>*SOCKET0**CBB**BASE**I_CCF_ENV__CBREGS_ALL__MC_STATUS*</v>
      </c>
      <c r="R155">
        <f>COUNTIFS(cha_mc[TestName],misc[[#This Row],[CBO_MCA_String]],cha_mc[VisualId],MC_Check!$H$2)</f>
        <v>0</v>
      </c>
      <c r="S155" t="str">
        <f>_xlfn.TEXTJOIN("",,"*SOCKET0**CBB",misc[[#This Row],[CBB]],"**COMPUTE",misc[[#This Row],[Compute]],"**MODULE",misc[[#This Row],[Module]],splitchar,"**CORE**IFU*CR*MC0*STATUS**")</f>
        <v>*SOCKET0**CBB**COMPUTE**MODULE__**CORE**IFU*CR*MC0*STATUS**</v>
      </c>
      <c r="T155">
        <f>COUNTIFS(core_mc[TestName],misc[[#This Row],[IFU_MCA_String]],core_mc[VisualId],MC_Check!$H$2)</f>
        <v>0</v>
      </c>
      <c r="U155" t="str">
        <f>_xlfn.TEXTJOIN("",,"*SOCKET0**CBB",misc[[#This Row],[CBB]],"**COMPUTE",misc[[#This Row],[Compute]],"**MODULE",misc[[#This Row],[Module]],splitchar,"**CORE**ROB1*CR*MC*STATUS**")</f>
        <v>*SOCKET0**CBB**COMPUTE**MODULE__**CORE**ROB1*CR*MC*STATUS**</v>
      </c>
      <c r="V155">
        <f>COUNTIFS(core_mc[TestName],misc[[#This Row],[ROB_MCA_String]],core_mc[VisualId],MC_Check!$H$2)</f>
        <v>0</v>
      </c>
      <c r="W155" t="str">
        <f>_xlfn.TEXTJOIN("",,"*SOCKET0**CBB",misc[[#This Row],[CBB]],"**COMPUTE",misc[[#This Row],[Compute]],"**MODULE",misc[[#This Row],[Module]],splitchar,"**CORE**DCU*CR*MC1*STATUS**")</f>
        <v>*SOCKET0**CBB**COMPUTE**MODULE__**CORE**DCU*CR*MC1*STATUS**</v>
      </c>
      <c r="X155">
        <f>COUNTIFS(core_mc[TestName],misc[[#This Row],[DCU_MCA_String]],core_mc[VisualId],MC_Check!$H$2)</f>
        <v>0</v>
      </c>
      <c r="Y155" t="str">
        <f>_xlfn.TEXTJOIN("",,"*SOCKET0**CBB",misc[[#This Row],[CBB]],"**COMPUTE",misc[[#This Row],[Compute]],"**MODULE",misc[[#This Row],[Module]],splitchar,"**CORE**DTLB*CR*MC2*STATUS**")</f>
        <v>*SOCKET0**CBB**COMPUTE**MODULE__**CORE**DTLB*CR*MC2*STATUS**</v>
      </c>
      <c r="Z155">
        <f>COUNTIFS(core_mc[TestName],misc[[#This Row],[CORE_DTLB_String]],core_mc[VisualId],MC_Check!$H$2)</f>
        <v>0</v>
      </c>
      <c r="AA155" t="str">
        <f>_xlfn.TEXTJOIN("",,"*SOCKET0**CBB",misc[[#This Row],[CBB]],"**COMPUTE",misc[[#This Row],[Compute]],"**MODULE",misc[[#This Row],[Module]],splitchar,"**ML2*CR*MC3*STATUS**")</f>
        <v>*SOCKET0**CBB**COMPUTE**MODULE__**ML2*CR*MC3*STATUS**</v>
      </c>
      <c r="AB155">
        <f>COUNTIFS(core_mc[TestName],misc[[#This Row],[Core_ML2_String]],core_mc[VisualId],MC_Check!$H$2)</f>
        <v>0</v>
      </c>
      <c r="AC155" t="str">
        <f>_xlfn.TEXTJOIN("",,"*SOCKET0**CBB",misc[[#This Row],[CBB]],"**COMPUTE",misc[[#This Row],[Compute]],"**MODULE",misc[[#This Row],[Module]],splitchar,"SPARE")</f>
        <v>*SOCKET0**CBB**COMPUTE**MODULE__SPARE</v>
      </c>
      <c r="AD155">
        <f>COUNTIFS(core_mc[TestName],misc[[#This Row],[Core_L2_String - SPARE]],core_mc[VisualId],MC_Check!$H$2)</f>
        <v>0</v>
      </c>
      <c r="AE155">
        <f>misc[[#This Row],[Core_DTLB_Count]]+misc[[#This Row],[Core_DCU_Count]]+misc[[#This Row],[Core_IFU_Count]]+misc[[#This Row],[Core_ROB_Count]]+misc[[#This Row],[Core_L2_Count - SPARE]]+misc[[#This Row],[Core_ML2_Count]]</f>
        <v>0</v>
      </c>
      <c r="AF155" t="str">
        <f>_xlfn.TEXTJOIN(", ",,IF(misc[[#This Row],[Core_IFU_Count]]&gt;0,"IFU",""),IF(misc[[#This Row],[Core_DCU_Count]]&gt;0,"DCU",""),IF(misc[[#This Row],[Core_DTLB_Count]]&gt;0,"DTLB",""),IF(misc[[#This Row],[Core_ROB_Count]]&gt;0,"ROB",""),IF(misc[[#This Row],[Core_ML2_Count]]&gt;0,"ML2",""),IF(misc[[#This Row],[Core_L2_Count - SPARE]]&gt;0,"L2",""))</f>
        <v/>
      </c>
      <c r="AG155" t="str">
        <f>_xlfn.TEXTJOIN("",,"*SOCKET0**CBB",misc[[#This Row],[CBB]],"**BASE**I_CCF**ENV",misc[[#This Row],[ENV]],splitchar,"CBREGS_ALL",misc[[#This Row],[CBO]],splitchar,"SPARE")</f>
        <v>*SOCKET0**CBB**BASE**I_CCF**ENV__CBREGS_ALL__SPARE</v>
      </c>
      <c r="AH155">
        <f>COUNTIFS(cha_mc[TestName],misc[[#This Row],[LLC_MCA_String - Not Used]],cha_mc[VisualId],MC_Check!$H$2)</f>
        <v>0</v>
      </c>
    </row>
    <row r="156" spans="8:34" x14ac:dyDescent="0.3">
      <c r="H156" s="61"/>
      <c r="I156" s="61"/>
      <c r="J156" s="61"/>
      <c r="K156" s="61"/>
      <c r="L156" s="61"/>
      <c r="M156" s="61" t="str">
        <f>_xlfn.TEXTJOIN("",,misc[[#This Row],[ROW]],misc[[#This Row],[ROW]])</f>
        <v/>
      </c>
      <c r="N156" s="5" t="b">
        <f>misc[[#This Row],[Core_Hitter_Count]]&gt;0</f>
        <v>0</v>
      </c>
      <c r="O156" t="b">
        <f>misc[[#This Row],[LLC_Hitter_Count]]&gt;0</f>
        <v>0</v>
      </c>
      <c r="P156" t="b">
        <f>misc[[#This Row],[CHA_Hitter_Count]]&gt;0</f>
        <v>0</v>
      </c>
      <c r="Q156" t="str">
        <f>_xlfn.TEXTJOIN("",,"*SOCKET0**CBB",misc[[#This Row],[CBB]],"**BASE**I_CCF_ENV",misc[[#This Row],[ENV]],splitchar,"CBREGS_ALL",misc[[#This Row],[CBO]],splitchar,"MC_STATUS*")</f>
        <v>*SOCKET0**CBB**BASE**I_CCF_ENV__CBREGS_ALL__MC_STATUS*</v>
      </c>
      <c r="R156">
        <f>COUNTIFS(cha_mc[TestName],misc[[#This Row],[CBO_MCA_String]],cha_mc[VisualId],MC_Check!$H$2)</f>
        <v>0</v>
      </c>
      <c r="S156" t="str">
        <f>_xlfn.TEXTJOIN("",,"*SOCKET0**CBB",misc[[#This Row],[CBB]],"**COMPUTE",misc[[#This Row],[Compute]],"**MODULE",misc[[#This Row],[Module]],splitchar,"**CORE**IFU*CR*MC0*STATUS**")</f>
        <v>*SOCKET0**CBB**COMPUTE**MODULE__**CORE**IFU*CR*MC0*STATUS**</v>
      </c>
      <c r="T156">
        <f>COUNTIFS(core_mc[TestName],misc[[#This Row],[IFU_MCA_String]],core_mc[VisualId],MC_Check!$H$2)</f>
        <v>0</v>
      </c>
      <c r="U156" t="str">
        <f>_xlfn.TEXTJOIN("",,"*SOCKET0**CBB",misc[[#This Row],[CBB]],"**COMPUTE",misc[[#This Row],[Compute]],"**MODULE",misc[[#This Row],[Module]],splitchar,"**CORE**ROB1*CR*MC*STATUS**")</f>
        <v>*SOCKET0**CBB**COMPUTE**MODULE__**CORE**ROB1*CR*MC*STATUS**</v>
      </c>
      <c r="V156">
        <f>COUNTIFS(core_mc[TestName],misc[[#This Row],[ROB_MCA_String]],core_mc[VisualId],MC_Check!$H$2)</f>
        <v>0</v>
      </c>
      <c r="W156" t="str">
        <f>_xlfn.TEXTJOIN("",,"*SOCKET0**CBB",misc[[#This Row],[CBB]],"**COMPUTE",misc[[#This Row],[Compute]],"**MODULE",misc[[#This Row],[Module]],splitchar,"**CORE**DCU*CR*MC1*STATUS**")</f>
        <v>*SOCKET0**CBB**COMPUTE**MODULE__**CORE**DCU*CR*MC1*STATUS**</v>
      </c>
      <c r="X156">
        <f>COUNTIFS(core_mc[TestName],misc[[#This Row],[DCU_MCA_String]],core_mc[VisualId],MC_Check!$H$2)</f>
        <v>0</v>
      </c>
      <c r="Y156" t="str">
        <f>_xlfn.TEXTJOIN("",,"*SOCKET0**CBB",misc[[#This Row],[CBB]],"**COMPUTE",misc[[#This Row],[Compute]],"**MODULE",misc[[#This Row],[Module]],splitchar,"**CORE**DTLB*CR*MC2*STATUS**")</f>
        <v>*SOCKET0**CBB**COMPUTE**MODULE__**CORE**DTLB*CR*MC2*STATUS**</v>
      </c>
      <c r="Z156">
        <f>COUNTIFS(core_mc[TestName],misc[[#This Row],[CORE_DTLB_String]],core_mc[VisualId],MC_Check!$H$2)</f>
        <v>0</v>
      </c>
      <c r="AA156" t="str">
        <f>_xlfn.TEXTJOIN("",,"*SOCKET0**CBB",misc[[#This Row],[CBB]],"**COMPUTE",misc[[#This Row],[Compute]],"**MODULE",misc[[#This Row],[Module]],splitchar,"**ML2*CR*MC3*STATUS**")</f>
        <v>*SOCKET0**CBB**COMPUTE**MODULE__**ML2*CR*MC3*STATUS**</v>
      </c>
      <c r="AB156">
        <f>COUNTIFS(core_mc[TestName],misc[[#This Row],[Core_ML2_String]],core_mc[VisualId],MC_Check!$H$2)</f>
        <v>0</v>
      </c>
      <c r="AC156" t="str">
        <f>_xlfn.TEXTJOIN("",,"*SOCKET0**CBB",misc[[#This Row],[CBB]],"**COMPUTE",misc[[#This Row],[Compute]],"**MODULE",misc[[#This Row],[Module]],splitchar,"SPARE")</f>
        <v>*SOCKET0**CBB**COMPUTE**MODULE__SPARE</v>
      </c>
      <c r="AD156">
        <f>COUNTIFS(core_mc[TestName],misc[[#This Row],[Core_L2_String - SPARE]],core_mc[VisualId],MC_Check!$H$2)</f>
        <v>0</v>
      </c>
      <c r="AE156">
        <f>misc[[#This Row],[Core_DTLB_Count]]+misc[[#This Row],[Core_DCU_Count]]+misc[[#This Row],[Core_IFU_Count]]+misc[[#This Row],[Core_ROB_Count]]+misc[[#This Row],[Core_L2_Count - SPARE]]+misc[[#This Row],[Core_ML2_Count]]</f>
        <v>0</v>
      </c>
      <c r="AF156" t="str">
        <f>_xlfn.TEXTJOIN(", ",,IF(misc[[#This Row],[Core_IFU_Count]]&gt;0,"IFU",""),IF(misc[[#This Row],[Core_DCU_Count]]&gt;0,"DCU",""),IF(misc[[#This Row],[Core_DTLB_Count]]&gt;0,"DTLB",""),IF(misc[[#This Row],[Core_ROB_Count]]&gt;0,"ROB",""),IF(misc[[#This Row],[Core_ML2_Count]]&gt;0,"ML2",""),IF(misc[[#This Row],[Core_L2_Count - SPARE]]&gt;0,"L2",""))</f>
        <v/>
      </c>
      <c r="AG156" t="str">
        <f>_xlfn.TEXTJOIN("",,"*SOCKET0**CBB",misc[[#This Row],[CBB]],"**BASE**I_CCF**ENV",misc[[#This Row],[ENV]],splitchar,"CBREGS_ALL",misc[[#This Row],[CBO]],splitchar,"SPARE")</f>
        <v>*SOCKET0**CBB**BASE**I_CCF**ENV__CBREGS_ALL__SPARE</v>
      </c>
      <c r="AH156">
        <f>COUNTIFS(cha_mc[TestName],misc[[#This Row],[LLC_MCA_String - Not Used]],cha_mc[VisualId],MC_Check!$H$2)</f>
        <v>0</v>
      </c>
    </row>
    <row r="157" spans="8:34" x14ac:dyDescent="0.3">
      <c r="H157" s="61"/>
      <c r="I157" s="61"/>
      <c r="M157" s="61" t="str">
        <f>_xlfn.TEXTJOIN("",,misc[[#This Row],[ROW]],misc[[#This Row],[ROW]])</f>
        <v/>
      </c>
      <c r="N157" s="5" t="b">
        <f>misc[[#This Row],[Core_Hitter_Count]]&gt;0</f>
        <v>0</v>
      </c>
      <c r="O157" t="b">
        <f>misc[[#This Row],[LLC_Hitter_Count]]&gt;0</f>
        <v>0</v>
      </c>
      <c r="P157" t="b">
        <f>misc[[#This Row],[CHA_Hitter_Count]]&gt;0</f>
        <v>0</v>
      </c>
      <c r="Q157" t="str">
        <f>_xlfn.TEXTJOIN("",,"*SOCKET0**CBB",misc[[#This Row],[CBB]],"**BASE**I_CCF_ENV",misc[[#This Row],[ENV]],splitchar,"CBREGS_ALL",misc[[#This Row],[CBO]],splitchar,"MC_STATUS*")</f>
        <v>*SOCKET0**CBB**BASE**I_CCF_ENV__CBREGS_ALL__MC_STATUS*</v>
      </c>
      <c r="R157">
        <f>COUNTIFS(cha_mc[TestName],misc[[#This Row],[CBO_MCA_String]],cha_mc[VisualId],MC_Check!$H$2)</f>
        <v>0</v>
      </c>
      <c r="S157" t="str">
        <f>_xlfn.TEXTJOIN("",,"*SOCKET0**CBB",misc[[#This Row],[CBB]],"**COMPUTE",misc[[#This Row],[Compute]],"**MODULE",misc[[#This Row],[Module]],splitchar,"**CORE**IFU*CR*MC0*STATUS**")</f>
        <v>*SOCKET0**CBB**COMPUTE**MODULE__**CORE**IFU*CR*MC0*STATUS**</v>
      </c>
      <c r="T157">
        <f>COUNTIFS(core_mc[TestName],misc[[#This Row],[IFU_MCA_String]],core_mc[VisualId],MC_Check!$H$2)</f>
        <v>0</v>
      </c>
      <c r="U157" t="str">
        <f>_xlfn.TEXTJOIN("",,"*SOCKET0**CBB",misc[[#This Row],[CBB]],"**COMPUTE",misc[[#This Row],[Compute]],"**MODULE",misc[[#This Row],[Module]],splitchar,"**CORE**ROB1*CR*MC*STATUS**")</f>
        <v>*SOCKET0**CBB**COMPUTE**MODULE__**CORE**ROB1*CR*MC*STATUS**</v>
      </c>
      <c r="V157">
        <f>COUNTIFS(core_mc[TestName],misc[[#This Row],[ROB_MCA_String]],core_mc[VisualId],MC_Check!$H$2)</f>
        <v>0</v>
      </c>
      <c r="W157" t="str">
        <f>_xlfn.TEXTJOIN("",,"*SOCKET0**CBB",misc[[#This Row],[CBB]],"**COMPUTE",misc[[#This Row],[Compute]],"**MODULE",misc[[#This Row],[Module]],splitchar,"**CORE**DCU*CR*MC1*STATUS**")</f>
        <v>*SOCKET0**CBB**COMPUTE**MODULE__**CORE**DCU*CR*MC1*STATUS**</v>
      </c>
      <c r="X157">
        <f>COUNTIFS(core_mc[TestName],misc[[#This Row],[DCU_MCA_String]],core_mc[VisualId],MC_Check!$H$2)</f>
        <v>0</v>
      </c>
      <c r="Y157" t="str">
        <f>_xlfn.TEXTJOIN("",,"*SOCKET0**CBB",misc[[#This Row],[CBB]],"**COMPUTE",misc[[#This Row],[Compute]],"**MODULE",misc[[#This Row],[Module]],splitchar,"**CORE**DTLB*CR*MC2*STATUS**")</f>
        <v>*SOCKET0**CBB**COMPUTE**MODULE__**CORE**DTLB*CR*MC2*STATUS**</v>
      </c>
      <c r="Z157">
        <f>COUNTIFS(core_mc[TestName],misc[[#This Row],[CORE_DTLB_String]],core_mc[VisualId],MC_Check!$H$2)</f>
        <v>0</v>
      </c>
      <c r="AA157" t="str">
        <f>_xlfn.TEXTJOIN("",,"*SOCKET0**CBB",misc[[#This Row],[CBB]],"**COMPUTE",misc[[#This Row],[Compute]],"**MODULE",misc[[#This Row],[Module]],splitchar,"**ML2*CR*MC3*STATUS**")</f>
        <v>*SOCKET0**CBB**COMPUTE**MODULE__**ML2*CR*MC3*STATUS**</v>
      </c>
      <c r="AB157">
        <f>COUNTIFS(core_mc[TestName],misc[[#This Row],[Core_ML2_String]],core_mc[VisualId],MC_Check!$H$2)</f>
        <v>0</v>
      </c>
      <c r="AC157" t="str">
        <f>_xlfn.TEXTJOIN("",,"*SOCKET0**CBB",misc[[#This Row],[CBB]],"**COMPUTE",misc[[#This Row],[Compute]],"**MODULE",misc[[#This Row],[Module]],splitchar,"SPARE")</f>
        <v>*SOCKET0**CBB**COMPUTE**MODULE__SPARE</v>
      </c>
      <c r="AD157">
        <f>COUNTIFS(core_mc[TestName],misc[[#This Row],[Core_L2_String - SPARE]],core_mc[VisualId],MC_Check!$H$2)</f>
        <v>0</v>
      </c>
      <c r="AE157">
        <f>misc[[#This Row],[Core_DTLB_Count]]+misc[[#This Row],[Core_DCU_Count]]+misc[[#This Row],[Core_IFU_Count]]+misc[[#This Row],[Core_ROB_Count]]+misc[[#This Row],[Core_L2_Count - SPARE]]+misc[[#This Row],[Core_ML2_Count]]</f>
        <v>0</v>
      </c>
      <c r="AF157" t="str">
        <f>_xlfn.TEXTJOIN(", ",,IF(misc[[#This Row],[Core_IFU_Count]]&gt;0,"IFU",""),IF(misc[[#This Row],[Core_DCU_Count]]&gt;0,"DCU",""),IF(misc[[#This Row],[Core_DTLB_Count]]&gt;0,"DTLB",""),IF(misc[[#This Row],[Core_ROB_Count]]&gt;0,"ROB",""),IF(misc[[#This Row],[Core_ML2_Count]]&gt;0,"ML2",""),IF(misc[[#This Row],[Core_L2_Count - SPARE]]&gt;0,"L2",""))</f>
        <v/>
      </c>
      <c r="AG157" t="str">
        <f>_xlfn.TEXTJOIN("",,"*SOCKET0**CBB",misc[[#This Row],[CBB]],"**BASE**I_CCF**ENV",misc[[#This Row],[ENV]],splitchar,"CBREGS_ALL",misc[[#This Row],[CBO]],splitchar,"SPARE")</f>
        <v>*SOCKET0**CBB**BASE**I_CCF**ENV__CBREGS_ALL__SPARE</v>
      </c>
      <c r="AH157">
        <f>COUNTIFS(cha_mc[TestName],misc[[#This Row],[LLC_MCA_String - Not Used]],cha_mc[VisualId],MC_Check!$H$2)</f>
        <v>0</v>
      </c>
    </row>
    <row r="158" spans="8:34" x14ac:dyDescent="0.3">
      <c r="H158" s="61"/>
      <c r="I158" s="61"/>
      <c r="M158" s="61" t="str">
        <f>_xlfn.TEXTJOIN("",,misc[[#This Row],[ROW]],misc[[#This Row],[ROW]])</f>
        <v/>
      </c>
      <c r="N158" s="5" t="b">
        <f>misc[[#This Row],[Core_Hitter_Count]]&gt;0</f>
        <v>0</v>
      </c>
      <c r="O158" t="b">
        <f>misc[[#This Row],[LLC_Hitter_Count]]&gt;0</f>
        <v>0</v>
      </c>
      <c r="P158" t="b">
        <f>misc[[#This Row],[CHA_Hitter_Count]]&gt;0</f>
        <v>0</v>
      </c>
      <c r="Q158" t="str">
        <f>_xlfn.TEXTJOIN("",,"*SOCKET0**CBB",misc[[#This Row],[CBB]],"**BASE**I_CCF_ENV",misc[[#This Row],[ENV]],splitchar,"CBREGS_ALL",misc[[#This Row],[CBO]],splitchar,"MC_STATUS*")</f>
        <v>*SOCKET0**CBB**BASE**I_CCF_ENV__CBREGS_ALL__MC_STATUS*</v>
      </c>
      <c r="R158">
        <f>COUNTIFS(cha_mc[TestName],misc[[#This Row],[CBO_MCA_String]],cha_mc[VisualId],MC_Check!$H$2)</f>
        <v>0</v>
      </c>
      <c r="S158" t="str">
        <f>_xlfn.TEXTJOIN("",,"*SOCKET0**CBB",misc[[#This Row],[CBB]],"**COMPUTE",misc[[#This Row],[Compute]],"**MODULE",misc[[#This Row],[Module]],splitchar,"**CORE**IFU*CR*MC0*STATUS**")</f>
        <v>*SOCKET0**CBB**COMPUTE**MODULE__**CORE**IFU*CR*MC0*STATUS**</v>
      </c>
      <c r="T158">
        <f>COUNTIFS(core_mc[TestName],misc[[#This Row],[IFU_MCA_String]],core_mc[VisualId],MC_Check!$H$2)</f>
        <v>0</v>
      </c>
      <c r="U158" t="str">
        <f>_xlfn.TEXTJOIN("",,"*SOCKET0**CBB",misc[[#This Row],[CBB]],"**COMPUTE",misc[[#This Row],[Compute]],"**MODULE",misc[[#This Row],[Module]],splitchar,"**CORE**ROB1*CR*MC*STATUS**")</f>
        <v>*SOCKET0**CBB**COMPUTE**MODULE__**CORE**ROB1*CR*MC*STATUS**</v>
      </c>
      <c r="V158">
        <f>COUNTIFS(core_mc[TestName],misc[[#This Row],[ROB_MCA_String]],core_mc[VisualId],MC_Check!$H$2)</f>
        <v>0</v>
      </c>
      <c r="W158" t="str">
        <f>_xlfn.TEXTJOIN("",,"*SOCKET0**CBB",misc[[#This Row],[CBB]],"**COMPUTE",misc[[#This Row],[Compute]],"**MODULE",misc[[#This Row],[Module]],splitchar,"**CORE**DCU*CR*MC1*STATUS**")</f>
        <v>*SOCKET0**CBB**COMPUTE**MODULE__**CORE**DCU*CR*MC1*STATUS**</v>
      </c>
      <c r="X158">
        <f>COUNTIFS(core_mc[TestName],misc[[#This Row],[DCU_MCA_String]],core_mc[VisualId],MC_Check!$H$2)</f>
        <v>0</v>
      </c>
      <c r="Y158" t="str">
        <f>_xlfn.TEXTJOIN("",,"*SOCKET0**CBB",misc[[#This Row],[CBB]],"**COMPUTE",misc[[#This Row],[Compute]],"**MODULE",misc[[#This Row],[Module]],splitchar,"**CORE**DTLB*CR*MC2*STATUS**")</f>
        <v>*SOCKET0**CBB**COMPUTE**MODULE__**CORE**DTLB*CR*MC2*STATUS**</v>
      </c>
      <c r="Z158">
        <f>COUNTIFS(core_mc[TestName],misc[[#This Row],[CORE_DTLB_String]],core_mc[VisualId],MC_Check!$H$2)</f>
        <v>0</v>
      </c>
      <c r="AA158" t="str">
        <f>_xlfn.TEXTJOIN("",,"*SOCKET0**CBB",misc[[#This Row],[CBB]],"**COMPUTE",misc[[#This Row],[Compute]],"**MODULE",misc[[#This Row],[Module]],splitchar,"**ML2*CR*MC3*STATUS**")</f>
        <v>*SOCKET0**CBB**COMPUTE**MODULE__**ML2*CR*MC3*STATUS**</v>
      </c>
      <c r="AB158">
        <f>COUNTIFS(core_mc[TestName],misc[[#This Row],[Core_ML2_String]],core_mc[VisualId],MC_Check!$H$2)</f>
        <v>0</v>
      </c>
      <c r="AC158" t="str">
        <f>_xlfn.TEXTJOIN("",,"*SOCKET0**CBB",misc[[#This Row],[CBB]],"**COMPUTE",misc[[#This Row],[Compute]],"**MODULE",misc[[#This Row],[Module]],splitchar,"SPARE")</f>
        <v>*SOCKET0**CBB**COMPUTE**MODULE__SPARE</v>
      </c>
      <c r="AD158">
        <f>COUNTIFS(core_mc[TestName],misc[[#This Row],[Core_L2_String - SPARE]],core_mc[VisualId],MC_Check!$H$2)</f>
        <v>0</v>
      </c>
      <c r="AE158">
        <f>misc[[#This Row],[Core_DTLB_Count]]+misc[[#This Row],[Core_DCU_Count]]+misc[[#This Row],[Core_IFU_Count]]+misc[[#This Row],[Core_ROB_Count]]+misc[[#This Row],[Core_L2_Count - SPARE]]+misc[[#This Row],[Core_ML2_Count]]</f>
        <v>0</v>
      </c>
      <c r="AF158" t="str">
        <f>_xlfn.TEXTJOIN(", ",,IF(misc[[#This Row],[Core_IFU_Count]]&gt;0,"IFU",""),IF(misc[[#This Row],[Core_DCU_Count]]&gt;0,"DCU",""),IF(misc[[#This Row],[Core_DTLB_Count]]&gt;0,"DTLB",""),IF(misc[[#This Row],[Core_ROB_Count]]&gt;0,"ROB",""),IF(misc[[#This Row],[Core_ML2_Count]]&gt;0,"ML2",""),IF(misc[[#This Row],[Core_L2_Count - SPARE]]&gt;0,"L2",""))</f>
        <v/>
      </c>
      <c r="AG158" t="str">
        <f>_xlfn.TEXTJOIN("",,"*SOCKET0**CBB",misc[[#This Row],[CBB]],"**BASE**I_CCF**ENV",misc[[#This Row],[ENV]],splitchar,"CBREGS_ALL",misc[[#This Row],[CBO]],splitchar,"SPARE")</f>
        <v>*SOCKET0**CBB**BASE**I_CCF**ENV__CBREGS_ALL__SPARE</v>
      </c>
      <c r="AH158">
        <f>COUNTIFS(cha_mc[TestName],misc[[#This Row],[LLC_MCA_String - Not Used]],cha_mc[VisualId],MC_Check!$H$2)</f>
        <v>0</v>
      </c>
    </row>
    <row r="159" spans="8:34" x14ac:dyDescent="0.3">
      <c r="H159" s="61"/>
      <c r="I159" s="61"/>
      <c r="M159" s="61" t="str">
        <f>_xlfn.TEXTJOIN("",,misc[[#This Row],[ROW]],misc[[#This Row],[ROW]])</f>
        <v/>
      </c>
      <c r="N159" s="5" t="b">
        <f>misc[[#This Row],[Core_Hitter_Count]]&gt;0</f>
        <v>0</v>
      </c>
      <c r="O159" t="b">
        <f>misc[[#This Row],[LLC_Hitter_Count]]&gt;0</f>
        <v>0</v>
      </c>
      <c r="P159" t="b">
        <f>misc[[#This Row],[CHA_Hitter_Count]]&gt;0</f>
        <v>0</v>
      </c>
      <c r="Q159" t="str">
        <f>_xlfn.TEXTJOIN("",,"*SOCKET0**CBB",misc[[#This Row],[CBB]],"**BASE**I_CCF_ENV",misc[[#This Row],[ENV]],splitchar,"CBREGS_ALL",misc[[#This Row],[CBO]],splitchar,"MC_STATUS*")</f>
        <v>*SOCKET0**CBB**BASE**I_CCF_ENV__CBREGS_ALL__MC_STATUS*</v>
      </c>
      <c r="R159">
        <f>COUNTIFS(cha_mc[TestName],misc[[#This Row],[CBO_MCA_String]],cha_mc[VisualId],MC_Check!$H$2)</f>
        <v>0</v>
      </c>
      <c r="S159" t="str">
        <f>_xlfn.TEXTJOIN("",,"*SOCKET0**CBB",misc[[#This Row],[CBB]],"**COMPUTE",misc[[#This Row],[Compute]],"**MODULE",misc[[#This Row],[Module]],splitchar,"**CORE**IFU*CR*MC0*STATUS**")</f>
        <v>*SOCKET0**CBB**COMPUTE**MODULE__**CORE**IFU*CR*MC0*STATUS**</v>
      </c>
      <c r="T159">
        <f>COUNTIFS(core_mc[TestName],misc[[#This Row],[IFU_MCA_String]],core_mc[VisualId],MC_Check!$H$2)</f>
        <v>0</v>
      </c>
      <c r="U159" t="str">
        <f>_xlfn.TEXTJOIN("",,"*SOCKET0**CBB",misc[[#This Row],[CBB]],"**COMPUTE",misc[[#This Row],[Compute]],"**MODULE",misc[[#This Row],[Module]],splitchar,"**CORE**ROB1*CR*MC*STATUS**")</f>
        <v>*SOCKET0**CBB**COMPUTE**MODULE__**CORE**ROB1*CR*MC*STATUS**</v>
      </c>
      <c r="V159">
        <f>COUNTIFS(core_mc[TestName],misc[[#This Row],[ROB_MCA_String]],core_mc[VisualId],MC_Check!$H$2)</f>
        <v>0</v>
      </c>
      <c r="W159" t="str">
        <f>_xlfn.TEXTJOIN("",,"*SOCKET0**CBB",misc[[#This Row],[CBB]],"**COMPUTE",misc[[#This Row],[Compute]],"**MODULE",misc[[#This Row],[Module]],splitchar,"**CORE**DCU*CR*MC1*STATUS**")</f>
        <v>*SOCKET0**CBB**COMPUTE**MODULE__**CORE**DCU*CR*MC1*STATUS**</v>
      </c>
      <c r="X159">
        <f>COUNTIFS(core_mc[TestName],misc[[#This Row],[DCU_MCA_String]],core_mc[VisualId],MC_Check!$H$2)</f>
        <v>0</v>
      </c>
      <c r="Y159" t="str">
        <f>_xlfn.TEXTJOIN("",,"*SOCKET0**CBB",misc[[#This Row],[CBB]],"**COMPUTE",misc[[#This Row],[Compute]],"**MODULE",misc[[#This Row],[Module]],splitchar,"**CORE**DTLB*CR*MC2*STATUS**")</f>
        <v>*SOCKET0**CBB**COMPUTE**MODULE__**CORE**DTLB*CR*MC2*STATUS**</v>
      </c>
      <c r="Z159">
        <f>COUNTIFS(core_mc[TestName],misc[[#This Row],[CORE_DTLB_String]],core_mc[VisualId],MC_Check!$H$2)</f>
        <v>0</v>
      </c>
      <c r="AA159" t="str">
        <f>_xlfn.TEXTJOIN("",,"*SOCKET0**CBB",misc[[#This Row],[CBB]],"**COMPUTE",misc[[#This Row],[Compute]],"**MODULE",misc[[#This Row],[Module]],splitchar,"**ML2*CR*MC3*STATUS**")</f>
        <v>*SOCKET0**CBB**COMPUTE**MODULE__**ML2*CR*MC3*STATUS**</v>
      </c>
      <c r="AB159">
        <f>COUNTIFS(core_mc[TestName],misc[[#This Row],[Core_ML2_String]],core_mc[VisualId],MC_Check!$H$2)</f>
        <v>0</v>
      </c>
      <c r="AC159" t="str">
        <f>_xlfn.TEXTJOIN("",,"*SOCKET0**CBB",misc[[#This Row],[CBB]],"**COMPUTE",misc[[#This Row],[Compute]],"**MODULE",misc[[#This Row],[Module]],splitchar,"SPARE")</f>
        <v>*SOCKET0**CBB**COMPUTE**MODULE__SPARE</v>
      </c>
      <c r="AD159">
        <f>COUNTIFS(core_mc[TestName],misc[[#This Row],[Core_L2_String - SPARE]],core_mc[VisualId],MC_Check!$H$2)</f>
        <v>0</v>
      </c>
      <c r="AE159">
        <f>misc[[#This Row],[Core_DTLB_Count]]+misc[[#This Row],[Core_DCU_Count]]+misc[[#This Row],[Core_IFU_Count]]+misc[[#This Row],[Core_ROB_Count]]+misc[[#This Row],[Core_L2_Count - SPARE]]+misc[[#This Row],[Core_ML2_Count]]</f>
        <v>0</v>
      </c>
      <c r="AF159" t="str">
        <f>_xlfn.TEXTJOIN(", ",,IF(misc[[#This Row],[Core_IFU_Count]]&gt;0,"IFU",""),IF(misc[[#This Row],[Core_DCU_Count]]&gt;0,"DCU",""),IF(misc[[#This Row],[Core_DTLB_Count]]&gt;0,"DTLB",""),IF(misc[[#This Row],[Core_ROB_Count]]&gt;0,"ROB",""),IF(misc[[#This Row],[Core_ML2_Count]]&gt;0,"ML2",""),IF(misc[[#This Row],[Core_L2_Count - SPARE]]&gt;0,"L2",""))</f>
        <v/>
      </c>
      <c r="AG159" t="str">
        <f>_xlfn.TEXTJOIN("",,"*SOCKET0**CBB",misc[[#This Row],[CBB]],"**BASE**I_CCF**ENV",misc[[#This Row],[ENV]],splitchar,"CBREGS_ALL",misc[[#This Row],[CBO]],splitchar,"SPARE")</f>
        <v>*SOCKET0**CBB**BASE**I_CCF**ENV__CBREGS_ALL__SPARE</v>
      </c>
      <c r="AH159">
        <f>COUNTIFS(cha_mc[TestName],misc[[#This Row],[LLC_MCA_String - Not Used]],cha_mc[VisualId],MC_Check!$H$2)</f>
        <v>0</v>
      </c>
    </row>
    <row r="160" spans="8:34" x14ac:dyDescent="0.3">
      <c r="H160" s="61"/>
      <c r="I160" s="61"/>
      <c r="J160" s="61"/>
      <c r="K160" s="61"/>
      <c r="L160" s="61"/>
      <c r="M160" s="61" t="str">
        <f>_xlfn.TEXTJOIN("",,misc[[#This Row],[ROW]],misc[[#This Row],[ROW]])</f>
        <v/>
      </c>
      <c r="N160" s="5" t="b">
        <f>misc[[#This Row],[Core_Hitter_Count]]&gt;0</f>
        <v>0</v>
      </c>
      <c r="O160" t="b">
        <f>misc[[#This Row],[LLC_Hitter_Count]]&gt;0</f>
        <v>0</v>
      </c>
      <c r="P160" t="b">
        <f>misc[[#This Row],[CHA_Hitter_Count]]&gt;0</f>
        <v>0</v>
      </c>
      <c r="Q160" t="str">
        <f>_xlfn.TEXTJOIN("",,"*SOCKET0**CBB",misc[[#This Row],[CBB]],"**BASE**I_CCF_ENV",misc[[#This Row],[ENV]],splitchar,"CBREGS_ALL",misc[[#This Row],[CBO]],splitchar,"MC_STATUS*")</f>
        <v>*SOCKET0**CBB**BASE**I_CCF_ENV__CBREGS_ALL__MC_STATUS*</v>
      </c>
      <c r="R160">
        <f>COUNTIFS(cha_mc[TestName],misc[[#This Row],[CBO_MCA_String]],cha_mc[VisualId],MC_Check!$H$2)</f>
        <v>0</v>
      </c>
      <c r="S160" t="str">
        <f>_xlfn.TEXTJOIN("",,"*SOCKET0**CBB",misc[[#This Row],[CBB]],"**COMPUTE",misc[[#This Row],[Compute]],"**MODULE",misc[[#This Row],[Module]],splitchar,"**CORE**IFU*CR*MC0*STATUS**")</f>
        <v>*SOCKET0**CBB**COMPUTE**MODULE__**CORE**IFU*CR*MC0*STATUS**</v>
      </c>
      <c r="T160">
        <f>COUNTIFS(core_mc[TestName],misc[[#This Row],[IFU_MCA_String]],core_mc[VisualId],MC_Check!$H$2)</f>
        <v>0</v>
      </c>
      <c r="U160" t="str">
        <f>_xlfn.TEXTJOIN("",,"*SOCKET0**CBB",misc[[#This Row],[CBB]],"**COMPUTE",misc[[#This Row],[Compute]],"**MODULE",misc[[#This Row],[Module]],splitchar,"**CORE**ROB1*CR*MC*STATUS**")</f>
        <v>*SOCKET0**CBB**COMPUTE**MODULE__**CORE**ROB1*CR*MC*STATUS**</v>
      </c>
      <c r="V160">
        <f>COUNTIFS(core_mc[TestName],misc[[#This Row],[ROB_MCA_String]],core_mc[VisualId],MC_Check!$H$2)</f>
        <v>0</v>
      </c>
      <c r="W160" t="str">
        <f>_xlfn.TEXTJOIN("",,"*SOCKET0**CBB",misc[[#This Row],[CBB]],"**COMPUTE",misc[[#This Row],[Compute]],"**MODULE",misc[[#This Row],[Module]],splitchar,"**CORE**DCU*CR*MC1*STATUS**")</f>
        <v>*SOCKET0**CBB**COMPUTE**MODULE__**CORE**DCU*CR*MC1*STATUS**</v>
      </c>
      <c r="X160">
        <f>COUNTIFS(core_mc[TestName],misc[[#This Row],[DCU_MCA_String]],core_mc[VisualId],MC_Check!$H$2)</f>
        <v>0</v>
      </c>
      <c r="Y160" t="str">
        <f>_xlfn.TEXTJOIN("",,"*SOCKET0**CBB",misc[[#This Row],[CBB]],"**COMPUTE",misc[[#This Row],[Compute]],"**MODULE",misc[[#This Row],[Module]],splitchar,"**CORE**DTLB*CR*MC2*STATUS**")</f>
        <v>*SOCKET0**CBB**COMPUTE**MODULE__**CORE**DTLB*CR*MC2*STATUS**</v>
      </c>
      <c r="Z160">
        <f>COUNTIFS(core_mc[TestName],misc[[#This Row],[CORE_DTLB_String]],core_mc[VisualId],MC_Check!$H$2)</f>
        <v>0</v>
      </c>
      <c r="AA160" t="str">
        <f>_xlfn.TEXTJOIN("",,"*SOCKET0**CBB",misc[[#This Row],[CBB]],"**COMPUTE",misc[[#This Row],[Compute]],"**MODULE",misc[[#This Row],[Module]],splitchar,"**ML2*CR*MC3*STATUS**")</f>
        <v>*SOCKET0**CBB**COMPUTE**MODULE__**ML2*CR*MC3*STATUS**</v>
      </c>
      <c r="AB160">
        <f>COUNTIFS(core_mc[TestName],misc[[#This Row],[Core_ML2_String]],core_mc[VisualId],MC_Check!$H$2)</f>
        <v>0</v>
      </c>
      <c r="AC160" t="str">
        <f>_xlfn.TEXTJOIN("",,"*SOCKET0**CBB",misc[[#This Row],[CBB]],"**COMPUTE",misc[[#This Row],[Compute]],"**MODULE",misc[[#This Row],[Module]],splitchar,"SPARE")</f>
        <v>*SOCKET0**CBB**COMPUTE**MODULE__SPARE</v>
      </c>
      <c r="AD160">
        <f>COUNTIFS(core_mc[TestName],misc[[#This Row],[Core_L2_String - SPARE]],core_mc[VisualId],MC_Check!$H$2)</f>
        <v>0</v>
      </c>
      <c r="AE160">
        <f>misc[[#This Row],[Core_DTLB_Count]]+misc[[#This Row],[Core_DCU_Count]]+misc[[#This Row],[Core_IFU_Count]]+misc[[#This Row],[Core_ROB_Count]]+misc[[#This Row],[Core_L2_Count - SPARE]]+misc[[#This Row],[Core_ML2_Count]]</f>
        <v>0</v>
      </c>
      <c r="AF160" t="str">
        <f>_xlfn.TEXTJOIN(", ",,IF(misc[[#This Row],[Core_IFU_Count]]&gt;0,"IFU",""),IF(misc[[#This Row],[Core_DCU_Count]]&gt;0,"DCU",""),IF(misc[[#This Row],[Core_DTLB_Count]]&gt;0,"DTLB",""),IF(misc[[#This Row],[Core_ROB_Count]]&gt;0,"ROB",""),IF(misc[[#This Row],[Core_ML2_Count]]&gt;0,"ML2",""),IF(misc[[#This Row],[Core_L2_Count - SPARE]]&gt;0,"L2",""))</f>
        <v/>
      </c>
      <c r="AG160" t="str">
        <f>_xlfn.TEXTJOIN("",,"*SOCKET0**CBB",misc[[#This Row],[CBB]],"**BASE**I_CCF**ENV",misc[[#This Row],[ENV]],splitchar,"CBREGS_ALL",misc[[#This Row],[CBO]],splitchar,"SPARE")</f>
        <v>*SOCKET0**CBB**BASE**I_CCF**ENV__CBREGS_ALL__SPARE</v>
      </c>
      <c r="AH160">
        <f>COUNTIFS(cha_mc[TestName],misc[[#This Row],[LLC_MCA_String - Not Used]],cha_mc[VisualId],MC_Check!$H$2)</f>
        <v>0</v>
      </c>
    </row>
    <row r="161" spans="8:34" x14ac:dyDescent="0.3">
      <c r="H161" s="61"/>
      <c r="I161" s="61"/>
      <c r="J161" s="61"/>
      <c r="K161" s="61"/>
      <c r="L161" s="61"/>
      <c r="M161" s="61" t="str">
        <f>_xlfn.TEXTJOIN("",,misc[[#This Row],[ROW]],misc[[#This Row],[ROW]])</f>
        <v/>
      </c>
      <c r="N161" s="5" t="b">
        <f>misc[[#This Row],[Core_Hitter_Count]]&gt;0</f>
        <v>0</v>
      </c>
      <c r="O161" t="b">
        <f>misc[[#This Row],[LLC_Hitter_Count]]&gt;0</f>
        <v>0</v>
      </c>
      <c r="P161" t="b">
        <f>misc[[#This Row],[CHA_Hitter_Count]]&gt;0</f>
        <v>0</v>
      </c>
      <c r="Q161" t="str">
        <f>_xlfn.TEXTJOIN("",,"*SOCKET0**CBB",misc[[#This Row],[CBB]],"**BASE**I_CCF_ENV",misc[[#This Row],[ENV]],splitchar,"CBREGS_ALL",misc[[#This Row],[CBO]],splitchar,"MC_STATUS*")</f>
        <v>*SOCKET0**CBB**BASE**I_CCF_ENV__CBREGS_ALL__MC_STATUS*</v>
      </c>
      <c r="R161">
        <f>COUNTIFS(cha_mc[TestName],misc[[#This Row],[CBO_MCA_String]],cha_mc[VisualId],MC_Check!$H$2)</f>
        <v>0</v>
      </c>
      <c r="S161" t="str">
        <f>_xlfn.TEXTJOIN("",,"*SOCKET0**CBB",misc[[#This Row],[CBB]],"**COMPUTE",misc[[#This Row],[Compute]],"**MODULE",misc[[#This Row],[Module]],splitchar,"**CORE**IFU*CR*MC0*STATUS**")</f>
        <v>*SOCKET0**CBB**COMPUTE**MODULE__**CORE**IFU*CR*MC0*STATUS**</v>
      </c>
      <c r="T161">
        <f>COUNTIFS(core_mc[TestName],misc[[#This Row],[IFU_MCA_String]],core_mc[VisualId],MC_Check!$H$2)</f>
        <v>0</v>
      </c>
      <c r="U161" t="str">
        <f>_xlfn.TEXTJOIN("",,"*SOCKET0**CBB",misc[[#This Row],[CBB]],"**COMPUTE",misc[[#This Row],[Compute]],"**MODULE",misc[[#This Row],[Module]],splitchar,"**CORE**ROB1*CR*MC*STATUS**")</f>
        <v>*SOCKET0**CBB**COMPUTE**MODULE__**CORE**ROB1*CR*MC*STATUS**</v>
      </c>
      <c r="V161">
        <f>COUNTIFS(core_mc[TestName],misc[[#This Row],[ROB_MCA_String]],core_mc[VisualId],MC_Check!$H$2)</f>
        <v>0</v>
      </c>
      <c r="W161" t="str">
        <f>_xlfn.TEXTJOIN("",,"*SOCKET0**CBB",misc[[#This Row],[CBB]],"**COMPUTE",misc[[#This Row],[Compute]],"**MODULE",misc[[#This Row],[Module]],splitchar,"**CORE**DCU*CR*MC1*STATUS**")</f>
        <v>*SOCKET0**CBB**COMPUTE**MODULE__**CORE**DCU*CR*MC1*STATUS**</v>
      </c>
      <c r="X161">
        <f>COUNTIFS(core_mc[TestName],misc[[#This Row],[DCU_MCA_String]],core_mc[VisualId],MC_Check!$H$2)</f>
        <v>0</v>
      </c>
      <c r="Y161" t="str">
        <f>_xlfn.TEXTJOIN("",,"*SOCKET0**CBB",misc[[#This Row],[CBB]],"**COMPUTE",misc[[#This Row],[Compute]],"**MODULE",misc[[#This Row],[Module]],splitchar,"**CORE**DTLB*CR*MC2*STATUS**")</f>
        <v>*SOCKET0**CBB**COMPUTE**MODULE__**CORE**DTLB*CR*MC2*STATUS**</v>
      </c>
      <c r="Z161">
        <f>COUNTIFS(core_mc[TestName],misc[[#This Row],[CORE_DTLB_String]],core_mc[VisualId],MC_Check!$H$2)</f>
        <v>0</v>
      </c>
      <c r="AA161" t="str">
        <f>_xlfn.TEXTJOIN("",,"*SOCKET0**CBB",misc[[#This Row],[CBB]],"**COMPUTE",misc[[#This Row],[Compute]],"**MODULE",misc[[#This Row],[Module]],splitchar,"**ML2*CR*MC3*STATUS**")</f>
        <v>*SOCKET0**CBB**COMPUTE**MODULE__**ML2*CR*MC3*STATUS**</v>
      </c>
      <c r="AB161">
        <f>COUNTIFS(core_mc[TestName],misc[[#This Row],[Core_ML2_String]],core_mc[VisualId],MC_Check!$H$2)</f>
        <v>0</v>
      </c>
      <c r="AC161" t="str">
        <f>_xlfn.TEXTJOIN("",,"*SOCKET0**CBB",misc[[#This Row],[CBB]],"**COMPUTE",misc[[#This Row],[Compute]],"**MODULE",misc[[#This Row],[Module]],splitchar,"SPARE")</f>
        <v>*SOCKET0**CBB**COMPUTE**MODULE__SPARE</v>
      </c>
      <c r="AD161">
        <f>COUNTIFS(core_mc[TestName],misc[[#This Row],[Core_L2_String - SPARE]],core_mc[VisualId],MC_Check!$H$2)</f>
        <v>0</v>
      </c>
      <c r="AE161">
        <f>misc[[#This Row],[Core_DTLB_Count]]+misc[[#This Row],[Core_DCU_Count]]+misc[[#This Row],[Core_IFU_Count]]+misc[[#This Row],[Core_ROB_Count]]+misc[[#This Row],[Core_L2_Count - SPARE]]+misc[[#This Row],[Core_ML2_Count]]</f>
        <v>0</v>
      </c>
      <c r="AF161" t="str">
        <f>_xlfn.TEXTJOIN(", ",,IF(misc[[#This Row],[Core_IFU_Count]]&gt;0,"IFU",""),IF(misc[[#This Row],[Core_DCU_Count]]&gt;0,"DCU",""),IF(misc[[#This Row],[Core_DTLB_Count]]&gt;0,"DTLB",""),IF(misc[[#This Row],[Core_ROB_Count]]&gt;0,"ROB",""),IF(misc[[#This Row],[Core_ML2_Count]]&gt;0,"ML2",""),IF(misc[[#This Row],[Core_L2_Count - SPARE]]&gt;0,"L2",""))</f>
        <v/>
      </c>
      <c r="AG161" t="str">
        <f>_xlfn.TEXTJOIN("",,"*SOCKET0**CBB",misc[[#This Row],[CBB]],"**BASE**I_CCF**ENV",misc[[#This Row],[ENV]],splitchar,"CBREGS_ALL",misc[[#This Row],[CBO]],splitchar,"SPARE")</f>
        <v>*SOCKET0**CBB**BASE**I_CCF**ENV__CBREGS_ALL__SPARE</v>
      </c>
      <c r="AH161">
        <f>COUNTIFS(cha_mc[TestName],misc[[#This Row],[LLC_MCA_String - Not Used]],cha_mc[VisualId],MC_Check!$H$2)</f>
        <v>0</v>
      </c>
    </row>
    <row r="162" spans="8:34" x14ac:dyDescent="0.3">
      <c r="H162" s="61"/>
      <c r="I162" s="61"/>
      <c r="J162" s="61"/>
      <c r="K162" s="61"/>
      <c r="L162" s="61"/>
      <c r="M162" s="61" t="str">
        <f>_xlfn.TEXTJOIN("",,misc[[#This Row],[ROW]],misc[[#This Row],[ROW]])</f>
        <v/>
      </c>
      <c r="N162" s="5" t="b">
        <f>misc[[#This Row],[Core_Hitter_Count]]&gt;0</f>
        <v>0</v>
      </c>
      <c r="O162" t="b">
        <f>misc[[#This Row],[LLC_Hitter_Count]]&gt;0</f>
        <v>0</v>
      </c>
      <c r="P162" t="b">
        <f>misc[[#This Row],[CHA_Hitter_Count]]&gt;0</f>
        <v>0</v>
      </c>
      <c r="Q162" t="str">
        <f>_xlfn.TEXTJOIN("",,"*SOCKET0**CBB",misc[[#This Row],[CBB]],"**BASE**I_CCF_ENV",misc[[#This Row],[ENV]],splitchar,"CBREGS_ALL",misc[[#This Row],[CBO]],splitchar,"MC_STATUS*")</f>
        <v>*SOCKET0**CBB**BASE**I_CCF_ENV__CBREGS_ALL__MC_STATUS*</v>
      </c>
      <c r="R162">
        <f>COUNTIFS(cha_mc[TestName],misc[[#This Row],[CBO_MCA_String]],cha_mc[VisualId],MC_Check!$H$2)</f>
        <v>0</v>
      </c>
      <c r="S162" t="str">
        <f>_xlfn.TEXTJOIN("",,"*SOCKET0**CBB",misc[[#This Row],[CBB]],"**COMPUTE",misc[[#This Row],[Compute]],"**MODULE",misc[[#This Row],[Module]],splitchar,"**CORE**IFU*CR*MC0*STATUS**")</f>
        <v>*SOCKET0**CBB**COMPUTE**MODULE__**CORE**IFU*CR*MC0*STATUS**</v>
      </c>
      <c r="T162">
        <f>COUNTIFS(core_mc[TestName],misc[[#This Row],[IFU_MCA_String]],core_mc[VisualId],MC_Check!$H$2)</f>
        <v>0</v>
      </c>
      <c r="U162" t="str">
        <f>_xlfn.TEXTJOIN("",,"*SOCKET0**CBB",misc[[#This Row],[CBB]],"**COMPUTE",misc[[#This Row],[Compute]],"**MODULE",misc[[#This Row],[Module]],splitchar,"**CORE**ROB1*CR*MC*STATUS**")</f>
        <v>*SOCKET0**CBB**COMPUTE**MODULE__**CORE**ROB1*CR*MC*STATUS**</v>
      </c>
      <c r="V162">
        <f>COUNTIFS(core_mc[TestName],misc[[#This Row],[ROB_MCA_String]],core_mc[VisualId],MC_Check!$H$2)</f>
        <v>0</v>
      </c>
      <c r="W162" t="str">
        <f>_xlfn.TEXTJOIN("",,"*SOCKET0**CBB",misc[[#This Row],[CBB]],"**COMPUTE",misc[[#This Row],[Compute]],"**MODULE",misc[[#This Row],[Module]],splitchar,"**CORE**DCU*CR*MC1*STATUS**")</f>
        <v>*SOCKET0**CBB**COMPUTE**MODULE__**CORE**DCU*CR*MC1*STATUS**</v>
      </c>
      <c r="X162">
        <f>COUNTIFS(core_mc[TestName],misc[[#This Row],[DCU_MCA_String]],core_mc[VisualId],MC_Check!$H$2)</f>
        <v>0</v>
      </c>
      <c r="Y162" t="str">
        <f>_xlfn.TEXTJOIN("",,"*SOCKET0**CBB",misc[[#This Row],[CBB]],"**COMPUTE",misc[[#This Row],[Compute]],"**MODULE",misc[[#This Row],[Module]],splitchar,"**CORE**DTLB*CR*MC2*STATUS**")</f>
        <v>*SOCKET0**CBB**COMPUTE**MODULE__**CORE**DTLB*CR*MC2*STATUS**</v>
      </c>
      <c r="Z162">
        <f>COUNTIFS(core_mc[TestName],misc[[#This Row],[CORE_DTLB_String]],core_mc[VisualId],MC_Check!$H$2)</f>
        <v>0</v>
      </c>
      <c r="AA162" t="str">
        <f>_xlfn.TEXTJOIN("",,"*SOCKET0**CBB",misc[[#This Row],[CBB]],"**COMPUTE",misc[[#This Row],[Compute]],"**MODULE",misc[[#This Row],[Module]],splitchar,"**ML2*CR*MC3*STATUS**")</f>
        <v>*SOCKET0**CBB**COMPUTE**MODULE__**ML2*CR*MC3*STATUS**</v>
      </c>
      <c r="AB162">
        <f>COUNTIFS(core_mc[TestName],misc[[#This Row],[Core_ML2_String]],core_mc[VisualId],MC_Check!$H$2)</f>
        <v>0</v>
      </c>
      <c r="AC162" t="str">
        <f>_xlfn.TEXTJOIN("",,"*SOCKET0**CBB",misc[[#This Row],[CBB]],"**COMPUTE",misc[[#This Row],[Compute]],"**MODULE",misc[[#This Row],[Module]],splitchar,"SPARE")</f>
        <v>*SOCKET0**CBB**COMPUTE**MODULE__SPARE</v>
      </c>
      <c r="AD162">
        <f>COUNTIFS(core_mc[TestName],misc[[#This Row],[Core_L2_String - SPARE]],core_mc[VisualId],MC_Check!$H$2)</f>
        <v>0</v>
      </c>
      <c r="AE162">
        <f>misc[[#This Row],[Core_DTLB_Count]]+misc[[#This Row],[Core_DCU_Count]]+misc[[#This Row],[Core_IFU_Count]]+misc[[#This Row],[Core_ROB_Count]]+misc[[#This Row],[Core_L2_Count - SPARE]]+misc[[#This Row],[Core_ML2_Count]]</f>
        <v>0</v>
      </c>
      <c r="AF162" t="str">
        <f>_xlfn.TEXTJOIN(", ",,IF(misc[[#This Row],[Core_IFU_Count]]&gt;0,"IFU",""),IF(misc[[#This Row],[Core_DCU_Count]]&gt;0,"DCU",""),IF(misc[[#This Row],[Core_DTLB_Count]]&gt;0,"DTLB",""),IF(misc[[#This Row],[Core_ROB_Count]]&gt;0,"ROB",""),IF(misc[[#This Row],[Core_ML2_Count]]&gt;0,"ML2",""),IF(misc[[#This Row],[Core_L2_Count - SPARE]]&gt;0,"L2",""))</f>
        <v/>
      </c>
      <c r="AG162" t="str">
        <f>_xlfn.TEXTJOIN("",,"*SOCKET0**CBB",misc[[#This Row],[CBB]],"**BASE**I_CCF**ENV",misc[[#This Row],[ENV]],splitchar,"CBREGS_ALL",misc[[#This Row],[CBO]],splitchar,"SPARE")</f>
        <v>*SOCKET0**CBB**BASE**I_CCF**ENV__CBREGS_ALL__SPARE</v>
      </c>
      <c r="AH162">
        <f>COUNTIFS(cha_mc[TestName],misc[[#This Row],[LLC_MCA_String - Not Used]],cha_mc[VisualId],MC_Check!$H$2)</f>
        <v>0</v>
      </c>
    </row>
    <row r="163" spans="8:34" x14ac:dyDescent="0.3">
      <c r="H163" s="61"/>
      <c r="I163" s="61"/>
      <c r="J163" s="61"/>
      <c r="K163" s="61"/>
      <c r="L163" s="61"/>
      <c r="M163" s="61" t="str">
        <f>_xlfn.TEXTJOIN("",,misc[[#This Row],[ROW]],misc[[#This Row],[ROW]])</f>
        <v/>
      </c>
      <c r="N163" s="5" t="b">
        <f>misc[[#This Row],[Core_Hitter_Count]]&gt;0</f>
        <v>0</v>
      </c>
      <c r="O163" t="b">
        <f>misc[[#This Row],[LLC_Hitter_Count]]&gt;0</f>
        <v>0</v>
      </c>
      <c r="P163" t="b">
        <f>misc[[#This Row],[CHA_Hitter_Count]]&gt;0</f>
        <v>0</v>
      </c>
      <c r="Q163" t="str">
        <f>_xlfn.TEXTJOIN("",,"*SOCKET0**CBB",misc[[#This Row],[CBB]],"**BASE**I_CCF_ENV",misc[[#This Row],[ENV]],splitchar,"CBREGS_ALL",misc[[#This Row],[CBO]],splitchar,"MC_STATUS*")</f>
        <v>*SOCKET0**CBB**BASE**I_CCF_ENV__CBREGS_ALL__MC_STATUS*</v>
      </c>
      <c r="R163">
        <f>COUNTIFS(cha_mc[TestName],misc[[#This Row],[CBO_MCA_String]],cha_mc[VisualId],MC_Check!$H$2)</f>
        <v>0</v>
      </c>
      <c r="S163" t="str">
        <f>_xlfn.TEXTJOIN("",,"*SOCKET0**CBB",misc[[#This Row],[CBB]],"**COMPUTE",misc[[#This Row],[Compute]],"**MODULE",misc[[#This Row],[Module]],splitchar,"**CORE**IFU*CR*MC0*STATUS**")</f>
        <v>*SOCKET0**CBB**COMPUTE**MODULE__**CORE**IFU*CR*MC0*STATUS**</v>
      </c>
      <c r="T163">
        <f>COUNTIFS(core_mc[TestName],misc[[#This Row],[IFU_MCA_String]],core_mc[VisualId],MC_Check!$H$2)</f>
        <v>0</v>
      </c>
      <c r="U163" t="str">
        <f>_xlfn.TEXTJOIN("",,"*SOCKET0**CBB",misc[[#This Row],[CBB]],"**COMPUTE",misc[[#This Row],[Compute]],"**MODULE",misc[[#This Row],[Module]],splitchar,"**CORE**ROB1*CR*MC*STATUS**")</f>
        <v>*SOCKET0**CBB**COMPUTE**MODULE__**CORE**ROB1*CR*MC*STATUS**</v>
      </c>
      <c r="V163">
        <f>COUNTIFS(core_mc[TestName],misc[[#This Row],[ROB_MCA_String]],core_mc[VisualId],MC_Check!$H$2)</f>
        <v>0</v>
      </c>
      <c r="W163" t="str">
        <f>_xlfn.TEXTJOIN("",,"*SOCKET0**CBB",misc[[#This Row],[CBB]],"**COMPUTE",misc[[#This Row],[Compute]],"**MODULE",misc[[#This Row],[Module]],splitchar,"**CORE**DCU*CR*MC1*STATUS**")</f>
        <v>*SOCKET0**CBB**COMPUTE**MODULE__**CORE**DCU*CR*MC1*STATUS**</v>
      </c>
      <c r="X163">
        <f>COUNTIFS(core_mc[TestName],misc[[#This Row],[DCU_MCA_String]],core_mc[VisualId],MC_Check!$H$2)</f>
        <v>0</v>
      </c>
      <c r="Y163" t="str">
        <f>_xlfn.TEXTJOIN("",,"*SOCKET0**CBB",misc[[#This Row],[CBB]],"**COMPUTE",misc[[#This Row],[Compute]],"**MODULE",misc[[#This Row],[Module]],splitchar,"**CORE**DTLB*CR*MC2*STATUS**")</f>
        <v>*SOCKET0**CBB**COMPUTE**MODULE__**CORE**DTLB*CR*MC2*STATUS**</v>
      </c>
      <c r="Z163">
        <f>COUNTIFS(core_mc[TestName],misc[[#This Row],[CORE_DTLB_String]],core_mc[VisualId],MC_Check!$H$2)</f>
        <v>0</v>
      </c>
      <c r="AA163" t="str">
        <f>_xlfn.TEXTJOIN("",,"*SOCKET0**CBB",misc[[#This Row],[CBB]],"**COMPUTE",misc[[#This Row],[Compute]],"**MODULE",misc[[#This Row],[Module]],splitchar,"**ML2*CR*MC3*STATUS**")</f>
        <v>*SOCKET0**CBB**COMPUTE**MODULE__**ML2*CR*MC3*STATUS**</v>
      </c>
      <c r="AB163">
        <f>COUNTIFS(core_mc[TestName],misc[[#This Row],[Core_ML2_String]],core_mc[VisualId],MC_Check!$H$2)</f>
        <v>0</v>
      </c>
      <c r="AC163" t="str">
        <f>_xlfn.TEXTJOIN("",,"*SOCKET0**CBB",misc[[#This Row],[CBB]],"**COMPUTE",misc[[#This Row],[Compute]],"**MODULE",misc[[#This Row],[Module]],splitchar,"SPARE")</f>
        <v>*SOCKET0**CBB**COMPUTE**MODULE__SPARE</v>
      </c>
      <c r="AD163">
        <f>COUNTIFS(core_mc[TestName],misc[[#This Row],[Core_L2_String - SPARE]],core_mc[VisualId],MC_Check!$H$2)</f>
        <v>0</v>
      </c>
      <c r="AE163">
        <f>misc[[#This Row],[Core_DTLB_Count]]+misc[[#This Row],[Core_DCU_Count]]+misc[[#This Row],[Core_IFU_Count]]+misc[[#This Row],[Core_ROB_Count]]+misc[[#This Row],[Core_L2_Count - SPARE]]+misc[[#This Row],[Core_ML2_Count]]</f>
        <v>0</v>
      </c>
      <c r="AF163" t="str">
        <f>_xlfn.TEXTJOIN(", ",,IF(misc[[#This Row],[Core_IFU_Count]]&gt;0,"IFU",""),IF(misc[[#This Row],[Core_DCU_Count]]&gt;0,"DCU",""),IF(misc[[#This Row],[Core_DTLB_Count]]&gt;0,"DTLB",""),IF(misc[[#This Row],[Core_ROB_Count]]&gt;0,"ROB",""),IF(misc[[#This Row],[Core_ML2_Count]]&gt;0,"ML2",""),IF(misc[[#This Row],[Core_L2_Count - SPARE]]&gt;0,"L2",""))</f>
        <v/>
      </c>
      <c r="AG163" t="str">
        <f>_xlfn.TEXTJOIN("",,"*SOCKET0**CBB",misc[[#This Row],[CBB]],"**BASE**I_CCF**ENV",misc[[#This Row],[ENV]],splitchar,"CBREGS_ALL",misc[[#This Row],[CBO]],splitchar,"SPARE")</f>
        <v>*SOCKET0**CBB**BASE**I_CCF**ENV__CBREGS_ALL__SPARE</v>
      </c>
      <c r="AH163">
        <f>COUNTIFS(cha_mc[TestName],misc[[#This Row],[LLC_MCA_String - Not Used]],cha_mc[VisualId],MC_Check!$H$2)</f>
        <v>0</v>
      </c>
    </row>
    <row r="164" spans="8:34" x14ac:dyDescent="0.3">
      <c r="H164" s="61"/>
      <c r="I164" s="61"/>
      <c r="M164" s="61" t="str">
        <f>_xlfn.TEXTJOIN("",,misc[[#This Row],[ROW]],misc[[#This Row],[ROW]])</f>
        <v/>
      </c>
      <c r="N164" s="5" t="b">
        <f>misc[[#This Row],[Core_Hitter_Count]]&gt;0</f>
        <v>0</v>
      </c>
      <c r="O164" t="b">
        <f>misc[[#This Row],[LLC_Hitter_Count]]&gt;0</f>
        <v>0</v>
      </c>
      <c r="P164" t="b">
        <f>misc[[#This Row],[CHA_Hitter_Count]]&gt;0</f>
        <v>0</v>
      </c>
      <c r="Q164" t="str">
        <f>_xlfn.TEXTJOIN("",,"*SOCKET0**CBB",misc[[#This Row],[CBB]],"**BASE**I_CCF_ENV",misc[[#This Row],[ENV]],splitchar,"CBREGS_ALL",misc[[#This Row],[CBO]],splitchar,"MC_STATUS*")</f>
        <v>*SOCKET0**CBB**BASE**I_CCF_ENV__CBREGS_ALL__MC_STATUS*</v>
      </c>
      <c r="R164">
        <f>COUNTIFS(cha_mc[TestName],misc[[#This Row],[CBO_MCA_String]],cha_mc[VisualId],MC_Check!$H$2)</f>
        <v>0</v>
      </c>
      <c r="S164" t="str">
        <f>_xlfn.TEXTJOIN("",,"*SOCKET0**CBB",misc[[#This Row],[CBB]],"**COMPUTE",misc[[#This Row],[Compute]],"**MODULE",misc[[#This Row],[Module]],splitchar,"**CORE**IFU*CR*MC0*STATUS**")</f>
        <v>*SOCKET0**CBB**COMPUTE**MODULE__**CORE**IFU*CR*MC0*STATUS**</v>
      </c>
      <c r="T164">
        <f>COUNTIFS(core_mc[TestName],misc[[#This Row],[IFU_MCA_String]],core_mc[VisualId],MC_Check!$H$2)</f>
        <v>0</v>
      </c>
      <c r="U164" t="str">
        <f>_xlfn.TEXTJOIN("",,"*SOCKET0**CBB",misc[[#This Row],[CBB]],"**COMPUTE",misc[[#This Row],[Compute]],"**MODULE",misc[[#This Row],[Module]],splitchar,"**CORE**ROB1*CR*MC*STATUS**")</f>
        <v>*SOCKET0**CBB**COMPUTE**MODULE__**CORE**ROB1*CR*MC*STATUS**</v>
      </c>
      <c r="V164">
        <f>COUNTIFS(core_mc[TestName],misc[[#This Row],[ROB_MCA_String]],core_mc[VisualId],MC_Check!$H$2)</f>
        <v>0</v>
      </c>
      <c r="W164" t="str">
        <f>_xlfn.TEXTJOIN("",,"*SOCKET0**CBB",misc[[#This Row],[CBB]],"**COMPUTE",misc[[#This Row],[Compute]],"**MODULE",misc[[#This Row],[Module]],splitchar,"**CORE**DCU*CR*MC1*STATUS**")</f>
        <v>*SOCKET0**CBB**COMPUTE**MODULE__**CORE**DCU*CR*MC1*STATUS**</v>
      </c>
      <c r="X164">
        <f>COUNTIFS(core_mc[TestName],misc[[#This Row],[DCU_MCA_String]],core_mc[VisualId],MC_Check!$H$2)</f>
        <v>0</v>
      </c>
      <c r="Y164" t="str">
        <f>_xlfn.TEXTJOIN("",,"*SOCKET0**CBB",misc[[#This Row],[CBB]],"**COMPUTE",misc[[#This Row],[Compute]],"**MODULE",misc[[#This Row],[Module]],splitchar,"**CORE**DTLB*CR*MC2*STATUS**")</f>
        <v>*SOCKET0**CBB**COMPUTE**MODULE__**CORE**DTLB*CR*MC2*STATUS**</v>
      </c>
      <c r="Z164">
        <f>COUNTIFS(core_mc[TestName],misc[[#This Row],[CORE_DTLB_String]],core_mc[VisualId],MC_Check!$H$2)</f>
        <v>0</v>
      </c>
      <c r="AA164" t="str">
        <f>_xlfn.TEXTJOIN("",,"*SOCKET0**CBB",misc[[#This Row],[CBB]],"**COMPUTE",misc[[#This Row],[Compute]],"**MODULE",misc[[#This Row],[Module]],splitchar,"**ML2*CR*MC3*STATUS**")</f>
        <v>*SOCKET0**CBB**COMPUTE**MODULE__**ML2*CR*MC3*STATUS**</v>
      </c>
      <c r="AB164">
        <f>COUNTIFS(core_mc[TestName],misc[[#This Row],[Core_ML2_String]],core_mc[VisualId],MC_Check!$H$2)</f>
        <v>0</v>
      </c>
      <c r="AC164" t="str">
        <f>_xlfn.TEXTJOIN("",,"*SOCKET0**CBB",misc[[#This Row],[CBB]],"**COMPUTE",misc[[#This Row],[Compute]],"**MODULE",misc[[#This Row],[Module]],splitchar,"SPARE")</f>
        <v>*SOCKET0**CBB**COMPUTE**MODULE__SPARE</v>
      </c>
      <c r="AD164">
        <f>COUNTIFS(core_mc[TestName],misc[[#This Row],[Core_L2_String - SPARE]],core_mc[VisualId],MC_Check!$H$2)</f>
        <v>0</v>
      </c>
      <c r="AE164">
        <f>misc[[#This Row],[Core_DTLB_Count]]+misc[[#This Row],[Core_DCU_Count]]+misc[[#This Row],[Core_IFU_Count]]+misc[[#This Row],[Core_ROB_Count]]+misc[[#This Row],[Core_L2_Count - SPARE]]+misc[[#This Row],[Core_ML2_Count]]</f>
        <v>0</v>
      </c>
      <c r="AF164" t="str">
        <f>_xlfn.TEXTJOIN(", ",,IF(misc[[#This Row],[Core_IFU_Count]]&gt;0,"IFU",""),IF(misc[[#This Row],[Core_DCU_Count]]&gt;0,"DCU",""),IF(misc[[#This Row],[Core_DTLB_Count]]&gt;0,"DTLB",""),IF(misc[[#This Row],[Core_ROB_Count]]&gt;0,"ROB",""),IF(misc[[#This Row],[Core_ML2_Count]]&gt;0,"ML2",""),IF(misc[[#This Row],[Core_L2_Count - SPARE]]&gt;0,"L2",""))</f>
        <v/>
      </c>
      <c r="AG164" t="str">
        <f>_xlfn.TEXTJOIN("",,"*SOCKET0**CBB",misc[[#This Row],[CBB]],"**BASE**I_CCF**ENV",misc[[#This Row],[ENV]],splitchar,"CBREGS_ALL",misc[[#This Row],[CBO]],splitchar,"SPARE")</f>
        <v>*SOCKET0**CBB**BASE**I_CCF**ENV__CBREGS_ALL__SPARE</v>
      </c>
      <c r="AH164">
        <f>COUNTIFS(cha_mc[TestName],misc[[#This Row],[LLC_MCA_String - Not Used]],cha_mc[VisualId],MC_Check!$H$2)</f>
        <v>0</v>
      </c>
    </row>
    <row r="165" spans="8:34" x14ac:dyDescent="0.3">
      <c r="H165" s="61"/>
      <c r="I165" s="61"/>
      <c r="M165" s="61" t="str">
        <f>_xlfn.TEXTJOIN("",,misc[[#This Row],[ROW]],misc[[#This Row],[ROW]])</f>
        <v/>
      </c>
      <c r="N165" s="5" t="b">
        <f>misc[[#This Row],[Core_Hitter_Count]]&gt;0</f>
        <v>0</v>
      </c>
      <c r="O165" t="b">
        <f>misc[[#This Row],[LLC_Hitter_Count]]&gt;0</f>
        <v>0</v>
      </c>
      <c r="P165" t="b">
        <f>misc[[#This Row],[CHA_Hitter_Count]]&gt;0</f>
        <v>0</v>
      </c>
      <c r="Q165" t="str">
        <f>_xlfn.TEXTJOIN("",,"*SOCKET0**CBB",misc[[#This Row],[CBB]],"**BASE**I_CCF_ENV",misc[[#This Row],[ENV]],splitchar,"CBREGS_ALL",misc[[#This Row],[CBO]],splitchar,"MC_STATUS*")</f>
        <v>*SOCKET0**CBB**BASE**I_CCF_ENV__CBREGS_ALL__MC_STATUS*</v>
      </c>
      <c r="R165">
        <f>COUNTIFS(cha_mc[TestName],misc[[#This Row],[CBO_MCA_String]],cha_mc[VisualId],MC_Check!$H$2)</f>
        <v>0</v>
      </c>
      <c r="S165" t="str">
        <f>_xlfn.TEXTJOIN("",,"*SOCKET0**CBB",misc[[#This Row],[CBB]],"**COMPUTE",misc[[#This Row],[Compute]],"**MODULE",misc[[#This Row],[Module]],splitchar,"**CORE**IFU*CR*MC0*STATUS**")</f>
        <v>*SOCKET0**CBB**COMPUTE**MODULE__**CORE**IFU*CR*MC0*STATUS**</v>
      </c>
      <c r="T165">
        <f>COUNTIFS(core_mc[TestName],misc[[#This Row],[IFU_MCA_String]],core_mc[VisualId],MC_Check!$H$2)</f>
        <v>0</v>
      </c>
      <c r="U165" t="str">
        <f>_xlfn.TEXTJOIN("",,"*SOCKET0**CBB",misc[[#This Row],[CBB]],"**COMPUTE",misc[[#This Row],[Compute]],"**MODULE",misc[[#This Row],[Module]],splitchar,"**CORE**ROB1*CR*MC*STATUS**")</f>
        <v>*SOCKET0**CBB**COMPUTE**MODULE__**CORE**ROB1*CR*MC*STATUS**</v>
      </c>
      <c r="V165">
        <f>COUNTIFS(core_mc[TestName],misc[[#This Row],[ROB_MCA_String]],core_mc[VisualId],MC_Check!$H$2)</f>
        <v>0</v>
      </c>
      <c r="W165" t="str">
        <f>_xlfn.TEXTJOIN("",,"*SOCKET0**CBB",misc[[#This Row],[CBB]],"**COMPUTE",misc[[#This Row],[Compute]],"**MODULE",misc[[#This Row],[Module]],splitchar,"**CORE**DCU*CR*MC1*STATUS**")</f>
        <v>*SOCKET0**CBB**COMPUTE**MODULE__**CORE**DCU*CR*MC1*STATUS**</v>
      </c>
      <c r="X165">
        <f>COUNTIFS(core_mc[TestName],misc[[#This Row],[DCU_MCA_String]],core_mc[VisualId],MC_Check!$H$2)</f>
        <v>0</v>
      </c>
      <c r="Y165" t="str">
        <f>_xlfn.TEXTJOIN("",,"*SOCKET0**CBB",misc[[#This Row],[CBB]],"**COMPUTE",misc[[#This Row],[Compute]],"**MODULE",misc[[#This Row],[Module]],splitchar,"**CORE**DTLB*CR*MC2*STATUS**")</f>
        <v>*SOCKET0**CBB**COMPUTE**MODULE__**CORE**DTLB*CR*MC2*STATUS**</v>
      </c>
      <c r="Z165">
        <f>COUNTIFS(core_mc[TestName],misc[[#This Row],[CORE_DTLB_String]],core_mc[VisualId],MC_Check!$H$2)</f>
        <v>0</v>
      </c>
      <c r="AA165" t="str">
        <f>_xlfn.TEXTJOIN("",,"*SOCKET0**CBB",misc[[#This Row],[CBB]],"**COMPUTE",misc[[#This Row],[Compute]],"**MODULE",misc[[#This Row],[Module]],splitchar,"**ML2*CR*MC3*STATUS**")</f>
        <v>*SOCKET0**CBB**COMPUTE**MODULE__**ML2*CR*MC3*STATUS**</v>
      </c>
      <c r="AB165">
        <f>COUNTIFS(core_mc[TestName],misc[[#This Row],[Core_ML2_String]],core_mc[VisualId],MC_Check!$H$2)</f>
        <v>0</v>
      </c>
      <c r="AC165" t="str">
        <f>_xlfn.TEXTJOIN("",,"*SOCKET0**CBB",misc[[#This Row],[CBB]],"**COMPUTE",misc[[#This Row],[Compute]],"**MODULE",misc[[#This Row],[Module]],splitchar,"SPARE")</f>
        <v>*SOCKET0**CBB**COMPUTE**MODULE__SPARE</v>
      </c>
      <c r="AD165">
        <f>COUNTIFS(core_mc[TestName],misc[[#This Row],[Core_L2_String - SPARE]],core_mc[VisualId],MC_Check!$H$2)</f>
        <v>0</v>
      </c>
      <c r="AE165">
        <f>misc[[#This Row],[Core_DTLB_Count]]+misc[[#This Row],[Core_DCU_Count]]+misc[[#This Row],[Core_IFU_Count]]+misc[[#This Row],[Core_ROB_Count]]+misc[[#This Row],[Core_L2_Count - SPARE]]+misc[[#This Row],[Core_ML2_Count]]</f>
        <v>0</v>
      </c>
      <c r="AF165" t="str">
        <f>_xlfn.TEXTJOIN(", ",,IF(misc[[#This Row],[Core_IFU_Count]]&gt;0,"IFU",""),IF(misc[[#This Row],[Core_DCU_Count]]&gt;0,"DCU",""),IF(misc[[#This Row],[Core_DTLB_Count]]&gt;0,"DTLB",""),IF(misc[[#This Row],[Core_ROB_Count]]&gt;0,"ROB",""),IF(misc[[#This Row],[Core_ML2_Count]]&gt;0,"ML2",""),IF(misc[[#This Row],[Core_L2_Count - SPARE]]&gt;0,"L2",""))</f>
        <v/>
      </c>
      <c r="AG165" t="str">
        <f>_xlfn.TEXTJOIN("",,"*SOCKET0**CBB",misc[[#This Row],[CBB]],"**BASE**I_CCF**ENV",misc[[#This Row],[ENV]],splitchar,"CBREGS_ALL",misc[[#This Row],[CBO]],splitchar,"SPARE")</f>
        <v>*SOCKET0**CBB**BASE**I_CCF**ENV__CBREGS_ALL__SPARE</v>
      </c>
      <c r="AH165">
        <f>COUNTIFS(cha_mc[TestName],misc[[#This Row],[LLC_MCA_String - Not Used]],cha_mc[VisualId],MC_Check!$H$2)</f>
        <v>0</v>
      </c>
    </row>
    <row r="166" spans="8:34" x14ac:dyDescent="0.3">
      <c r="H166" s="61"/>
      <c r="I166" s="61"/>
      <c r="M166" s="61" t="str">
        <f>_xlfn.TEXTJOIN("",,misc[[#This Row],[ROW]],misc[[#This Row],[ROW]])</f>
        <v/>
      </c>
      <c r="N166" s="5" t="b">
        <f>misc[[#This Row],[Core_Hitter_Count]]&gt;0</f>
        <v>0</v>
      </c>
      <c r="O166" t="b">
        <f>misc[[#This Row],[LLC_Hitter_Count]]&gt;0</f>
        <v>0</v>
      </c>
      <c r="P166" t="b">
        <f>misc[[#This Row],[CHA_Hitter_Count]]&gt;0</f>
        <v>0</v>
      </c>
      <c r="Q166" t="str">
        <f>_xlfn.TEXTJOIN("",,"*SOCKET0**CBB",misc[[#This Row],[CBB]],"**BASE**I_CCF_ENV",misc[[#This Row],[ENV]],splitchar,"CBREGS_ALL",misc[[#This Row],[CBO]],splitchar,"MC_STATUS*")</f>
        <v>*SOCKET0**CBB**BASE**I_CCF_ENV__CBREGS_ALL__MC_STATUS*</v>
      </c>
      <c r="R166">
        <f>COUNTIFS(cha_mc[TestName],misc[[#This Row],[CBO_MCA_String]],cha_mc[VisualId],MC_Check!$H$2)</f>
        <v>0</v>
      </c>
      <c r="S166" t="str">
        <f>_xlfn.TEXTJOIN("",,"*SOCKET0**CBB",misc[[#This Row],[CBB]],"**COMPUTE",misc[[#This Row],[Compute]],"**MODULE",misc[[#This Row],[Module]],splitchar,"**CORE**IFU*CR*MC0*STATUS**")</f>
        <v>*SOCKET0**CBB**COMPUTE**MODULE__**CORE**IFU*CR*MC0*STATUS**</v>
      </c>
      <c r="T166">
        <f>COUNTIFS(core_mc[TestName],misc[[#This Row],[IFU_MCA_String]],core_mc[VisualId],MC_Check!$H$2)</f>
        <v>0</v>
      </c>
      <c r="U166" t="str">
        <f>_xlfn.TEXTJOIN("",,"*SOCKET0**CBB",misc[[#This Row],[CBB]],"**COMPUTE",misc[[#This Row],[Compute]],"**MODULE",misc[[#This Row],[Module]],splitchar,"**CORE**ROB1*CR*MC*STATUS**")</f>
        <v>*SOCKET0**CBB**COMPUTE**MODULE__**CORE**ROB1*CR*MC*STATUS**</v>
      </c>
      <c r="V166">
        <f>COUNTIFS(core_mc[TestName],misc[[#This Row],[ROB_MCA_String]],core_mc[VisualId],MC_Check!$H$2)</f>
        <v>0</v>
      </c>
      <c r="W166" t="str">
        <f>_xlfn.TEXTJOIN("",,"*SOCKET0**CBB",misc[[#This Row],[CBB]],"**COMPUTE",misc[[#This Row],[Compute]],"**MODULE",misc[[#This Row],[Module]],splitchar,"**CORE**DCU*CR*MC1*STATUS**")</f>
        <v>*SOCKET0**CBB**COMPUTE**MODULE__**CORE**DCU*CR*MC1*STATUS**</v>
      </c>
      <c r="X166">
        <f>COUNTIFS(core_mc[TestName],misc[[#This Row],[DCU_MCA_String]],core_mc[VisualId],MC_Check!$H$2)</f>
        <v>0</v>
      </c>
      <c r="Y166" t="str">
        <f>_xlfn.TEXTJOIN("",,"*SOCKET0**CBB",misc[[#This Row],[CBB]],"**COMPUTE",misc[[#This Row],[Compute]],"**MODULE",misc[[#This Row],[Module]],splitchar,"**CORE**DTLB*CR*MC2*STATUS**")</f>
        <v>*SOCKET0**CBB**COMPUTE**MODULE__**CORE**DTLB*CR*MC2*STATUS**</v>
      </c>
      <c r="Z166">
        <f>COUNTIFS(core_mc[TestName],misc[[#This Row],[CORE_DTLB_String]],core_mc[VisualId],MC_Check!$H$2)</f>
        <v>0</v>
      </c>
      <c r="AA166" t="str">
        <f>_xlfn.TEXTJOIN("",,"*SOCKET0**CBB",misc[[#This Row],[CBB]],"**COMPUTE",misc[[#This Row],[Compute]],"**MODULE",misc[[#This Row],[Module]],splitchar,"**ML2*CR*MC3*STATUS**")</f>
        <v>*SOCKET0**CBB**COMPUTE**MODULE__**ML2*CR*MC3*STATUS**</v>
      </c>
      <c r="AB166">
        <f>COUNTIFS(core_mc[TestName],misc[[#This Row],[Core_ML2_String]],core_mc[VisualId],MC_Check!$H$2)</f>
        <v>0</v>
      </c>
      <c r="AC166" t="str">
        <f>_xlfn.TEXTJOIN("",,"*SOCKET0**CBB",misc[[#This Row],[CBB]],"**COMPUTE",misc[[#This Row],[Compute]],"**MODULE",misc[[#This Row],[Module]],splitchar,"SPARE")</f>
        <v>*SOCKET0**CBB**COMPUTE**MODULE__SPARE</v>
      </c>
      <c r="AD166">
        <f>COUNTIFS(core_mc[TestName],misc[[#This Row],[Core_L2_String - SPARE]],core_mc[VisualId],MC_Check!$H$2)</f>
        <v>0</v>
      </c>
      <c r="AE166">
        <f>misc[[#This Row],[Core_DTLB_Count]]+misc[[#This Row],[Core_DCU_Count]]+misc[[#This Row],[Core_IFU_Count]]+misc[[#This Row],[Core_ROB_Count]]+misc[[#This Row],[Core_L2_Count - SPARE]]+misc[[#This Row],[Core_ML2_Count]]</f>
        <v>0</v>
      </c>
      <c r="AF166" t="str">
        <f>_xlfn.TEXTJOIN(", ",,IF(misc[[#This Row],[Core_IFU_Count]]&gt;0,"IFU",""),IF(misc[[#This Row],[Core_DCU_Count]]&gt;0,"DCU",""),IF(misc[[#This Row],[Core_DTLB_Count]]&gt;0,"DTLB",""),IF(misc[[#This Row],[Core_ROB_Count]]&gt;0,"ROB",""),IF(misc[[#This Row],[Core_ML2_Count]]&gt;0,"ML2",""),IF(misc[[#This Row],[Core_L2_Count - SPARE]]&gt;0,"L2",""))</f>
        <v/>
      </c>
      <c r="AG166" t="str">
        <f>_xlfn.TEXTJOIN("",,"*SOCKET0**CBB",misc[[#This Row],[CBB]],"**BASE**I_CCF**ENV",misc[[#This Row],[ENV]],splitchar,"CBREGS_ALL",misc[[#This Row],[CBO]],splitchar,"SPARE")</f>
        <v>*SOCKET0**CBB**BASE**I_CCF**ENV__CBREGS_ALL__SPARE</v>
      </c>
      <c r="AH166">
        <f>COUNTIFS(cha_mc[TestName],misc[[#This Row],[LLC_MCA_String - Not Used]],cha_mc[VisualId],MC_Check!$H$2)</f>
        <v>0</v>
      </c>
    </row>
    <row r="167" spans="8:34" x14ac:dyDescent="0.3">
      <c r="H167" s="61"/>
      <c r="I167" s="61"/>
      <c r="J167" s="61"/>
      <c r="K167" s="61"/>
      <c r="L167" s="61"/>
      <c r="M167" s="61" t="str">
        <f>_xlfn.TEXTJOIN("",,misc[[#This Row],[ROW]],misc[[#This Row],[ROW]])</f>
        <v/>
      </c>
      <c r="N167" s="5" t="b">
        <f>misc[[#This Row],[Core_Hitter_Count]]&gt;0</f>
        <v>0</v>
      </c>
      <c r="O167" t="b">
        <f>misc[[#This Row],[LLC_Hitter_Count]]&gt;0</f>
        <v>0</v>
      </c>
      <c r="P167" t="b">
        <f>misc[[#This Row],[CHA_Hitter_Count]]&gt;0</f>
        <v>0</v>
      </c>
      <c r="Q167" t="str">
        <f>_xlfn.TEXTJOIN("",,"*SOCKET0**CBB",misc[[#This Row],[CBB]],"**BASE**I_CCF_ENV",misc[[#This Row],[ENV]],splitchar,"CBREGS_ALL",misc[[#This Row],[CBO]],splitchar,"MC_STATUS*")</f>
        <v>*SOCKET0**CBB**BASE**I_CCF_ENV__CBREGS_ALL__MC_STATUS*</v>
      </c>
      <c r="R167">
        <f>COUNTIFS(cha_mc[TestName],misc[[#This Row],[CBO_MCA_String]],cha_mc[VisualId],MC_Check!$H$2)</f>
        <v>0</v>
      </c>
      <c r="S167" t="str">
        <f>_xlfn.TEXTJOIN("",,"*SOCKET0**CBB",misc[[#This Row],[CBB]],"**COMPUTE",misc[[#This Row],[Compute]],"**MODULE",misc[[#This Row],[Module]],splitchar,"**CORE**IFU*CR*MC0*STATUS**")</f>
        <v>*SOCKET0**CBB**COMPUTE**MODULE__**CORE**IFU*CR*MC0*STATUS**</v>
      </c>
      <c r="T167">
        <f>COUNTIFS(core_mc[TestName],misc[[#This Row],[IFU_MCA_String]],core_mc[VisualId],MC_Check!$H$2)</f>
        <v>0</v>
      </c>
      <c r="U167" t="str">
        <f>_xlfn.TEXTJOIN("",,"*SOCKET0**CBB",misc[[#This Row],[CBB]],"**COMPUTE",misc[[#This Row],[Compute]],"**MODULE",misc[[#This Row],[Module]],splitchar,"**CORE**ROB1*CR*MC*STATUS**")</f>
        <v>*SOCKET0**CBB**COMPUTE**MODULE__**CORE**ROB1*CR*MC*STATUS**</v>
      </c>
      <c r="V167">
        <f>COUNTIFS(core_mc[TestName],misc[[#This Row],[ROB_MCA_String]],core_mc[VisualId],MC_Check!$H$2)</f>
        <v>0</v>
      </c>
      <c r="W167" t="str">
        <f>_xlfn.TEXTJOIN("",,"*SOCKET0**CBB",misc[[#This Row],[CBB]],"**COMPUTE",misc[[#This Row],[Compute]],"**MODULE",misc[[#This Row],[Module]],splitchar,"**CORE**DCU*CR*MC1*STATUS**")</f>
        <v>*SOCKET0**CBB**COMPUTE**MODULE__**CORE**DCU*CR*MC1*STATUS**</v>
      </c>
      <c r="X167">
        <f>COUNTIFS(core_mc[TestName],misc[[#This Row],[DCU_MCA_String]],core_mc[VisualId],MC_Check!$H$2)</f>
        <v>0</v>
      </c>
      <c r="Y167" t="str">
        <f>_xlfn.TEXTJOIN("",,"*SOCKET0**CBB",misc[[#This Row],[CBB]],"**COMPUTE",misc[[#This Row],[Compute]],"**MODULE",misc[[#This Row],[Module]],splitchar,"**CORE**DTLB*CR*MC2*STATUS**")</f>
        <v>*SOCKET0**CBB**COMPUTE**MODULE__**CORE**DTLB*CR*MC2*STATUS**</v>
      </c>
      <c r="Z167">
        <f>COUNTIFS(core_mc[TestName],misc[[#This Row],[CORE_DTLB_String]],core_mc[VisualId],MC_Check!$H$2)</f>
        <v>0</v>
      </c>
      <c r="AA167" t="str">
        <f>_xlfn.TEXTJOIN("",,"*SOCKET0**CBB",misc[[#This Row],[CBB]],"**COMPUTE",misc[[#This Row],[Compute]],"**MODULE",misc[[#This Row],[Module]],splitchar,"**ML2*CR*MC3*STATUS**")</f>
        <v>*SOCKET0**CBB**COMPUTE**MODULE__**ML2*CR*MC3*STATUS**</v>
      </c>
      <c r="AB167">
        <f>COUNTIFS(core_mc[TestName],misc[[#This Row],[Core_ML2_String]],core_mc[VisualId],MC_Check!$H$2)</f>
        <v>0</v>
      </c>
      <c r="AC167" t="str">
        <f>_xlfn.TEXTJOIN("",,"*SOCKET0**CBB",misc[[#This Row],[CBB]],"**COMPUTE",misc[[#This Row],[Compute]],"**MODULE",misc[[#This Row],[Module]],splitchar,"SPARE")</f>
        <v>*SOCKET0**CBB**COMPUTE**MODULE__SPARE</v>
      </c>
      <c r="AD167">
        <f>COUNTIFS(core_mc[TestName],misc[[#This Row],[Core_L2_String - SPARE]],core_mc[VisualId],MC_Check!$H$2)</f>
        <v>0</v>
      </c>
      <c r="AE167">
        <f>misc[[#This Row],[Core_DTLB_Count]]+misc[[#This Row],[Core_DCU_Count]]+misc[[#This Row],[Core_IFU_Count]]+misc[[#This Row],[Core_ROB_Count]]+misc[[#This Row],[Core_L2_Count - SPARE]]+misc[[#This Row],[Core_ML2_Count]]</f>
        <v>0</v>
      </c>
      <c r="AF167" t="str">
        <f>_xlfn.TEXTJOIN(", ",,IF(misc[[#This Row],[Core_IFU_Count]]&gt;0,"IFU",""),IF(misc[[#This Row],[Core_DCU_Count]]&gt;0,"DCU",""),IF(misc[[#This Row],[Core_DTLB_Count]]&gt;0,"DTLB",""),IF(misc[[#This Row],[Core_ROB_Count]]&gt;0,"ROB",""),IF(misc[[#This Row],[Core_ML2_Count]]&gt;0,"ML2",""),IF(misc[[#This Row],[Core_L2_Count - SPARE]]&gt;0,"L2",""))</f>
        <v/>
      </c>
      <c r="AG167" t="str">
        <f>_xlfn.TEXTJOIN("",,"*SOCKET0**CBB",misc[[#This Row],[CBB]],"**BASE**I_CCF**ENV",misc[[#This Row],[ENV]],splitchar,"CBREGS_ALL",misc[[#This Row],[CBO]],splitchar,"SPARE")</f>
        <v>*SOCKET0**CBB**BASE**I_CCF**ENV__CBREGS_ALL__SPARE</v>
      </c>
      <c r="AH167">
        <f>COUNTIFS(cha_mc[TestName],misc[[#This Row],[LLC_MCA_String - Not Used]],cha_mc[VisualId],MC_Check!$H$2)</f>
        <v>0</v>
      </c>
    </row>
    <row r="168" spans="8:34" x14ac:dyDescent="0.3">
      <c r="H168" s="61"/>
      <c r="I168" s="61"/>
      <c r="J168" s="61"/>
      <c r="K168" s="61"/>
      <c r="L168" s="61"/>
      <c r="M168" s="61" t="str">
        <f>_xlfn.TEXTJOIN("",,misc[[#This Row],[ROW]],misc[[#This Row],[ROW]])</f>
        <v/>
      </c>
      <c r="N168" s="5" t="b">
        <f>misc[[#This Row],[Core_Hitter_Count]]&gt;0</f>
        <v>0</v>
      </c>
      <c r="O168" t="b">
        <f>misc[[#This Row],[LLC_Hitter_Count]]&gt;0</f>
        <v>0</v>
      </c>
      <c r="P168" t="b">
        <f>misc[[#This Row],[CHA_Hitter_Count]]&gt;0</f>
        <v>0</v>
      </c>
      <c r="Q168" t="str">
        <f>_xlfn.TEXTJOIN("",,"*SOCKET0**CBB",misc[[#This Row],[CBB]],"**BASE**I_CCF_ENV",misc[[#This Row],[ENV]],splitchar,"CBREGS_ALL",misc[[#This Row],[CBO]],splitchar,"MC_STATUS*")</f>
        <v>*SOCKET0**CBB**BASE**I_CCF_ENV__CBREGS_ALL__MC_STATUS*</v>
      </c>
      <c r="R168">
        <f>COUNTIFS(cha_mc[TestName],misc[[#This Row],[CBO_MCA_String]],cha_mc[VisualId],MC_Check!$H$2)</f>
        <v>0</v>
      </c>
      <c r="S168" t="str">
        <f>_xlfn.TEXTJOIN("",,"*SOCKET0**CBB",misc[[#This Row],[CBB]],"**COMPUTE",misc[[#This Row],[Compute]],"**MODULE",misc[[#This Row],[Module]],splitchar,"**CORE**IFU*CR*MC0*STATUS**")</f>
        <v>*SOCKET0**CBB**COMPUTE**MODULE__**CORE**IFU*CR*MC0*STATUS**</v>
      </c>
      <c r="T168">
        <f>COUNTIFS(core_mc[TestName],misc[[#This Row],[IFU_MCA_String]],core_mc[VisualId],MC_Check!$H$2)</f>
        <v>0</v>
      </c>
      <c r="U168" t="str">
        <f>_xlfn.TEXTJOIN("",,"*SOCKET0**CBB",misc[[#This Row],[CBB]],"**COMPUTE",misc[[#This Row],[Compute]],"**MODULE",misc[[#This Row],[Module]],splitchar,"**CORE**ROB1*CR*MC*STATUS**")</f>
        <v>*SOCKET0**CBB**COMPUTE**MODULE__**CORE**ROB1*CR*MC*STATUS**</v>
      </c>
      <c r="V168">
        <f>COUNTIFS(core_mc[TestName],misc[[#This Row],[ROB_MCA_String]],core_mc[VisualId],MC_Check!$H$2)</f>
        <v>0</v>
      </c>
      <c r="W168" t="str">
        <f>_xlfn.TEXTJOIN("",,"*SOCKET0**CBB",misc[[#This Row],[CBB]],"**COMPUTE",misc[[#This Row],[Compute]],"**MODULE",misc[[#This Row],[Module]],splitchar,"**CORE**DCU*CR*MC1*STATUS**")</f>
        <v>*SOCKET0**CBB**COMPUTE**MODULE__**CORE**DCU*CR*MC1*STATUS**</v>
      </c>
      <c r="X168">
        <f>COUNTIFS(core_mc[TestName],misc[[#This Row],[DCU_MCA_String]],core_mc[VisualId],MC_Check!$H$2)</f>
        <v>0</v>
      </c>
      <c r="Y168" t="str">
        <f>_xlfn.TEXTJOIN("",,"*SOCKET0**CBB",misc[[#This Row],[CBB]],"**COMPUTE",misc[[#This Row],[Compute]],"**MODULE",misc[[#This Row],[Module]],splitchar,"**CORE**DTLB*CR*MC2*STATUS**")</f>
        <v>*SOCKET0**CBB**COMPUTE**MODULE__**CORE**DTLB*CR*MC2*STATUS**</v>
      </c>
      <c r="Z168">
        <f>COUNTIFS(core_mc[TestName],misc[[#This Row],[CORE_DTLB_String]],core_mc[VisualId],MC_Check!$H$2)</f>
        <v>0</v>
      </c>
      <c r="AA168" t="str">
        <f>_xlfn.TEXTJOIN("",,"*SOCKET0**CBB",misc[[#This Row],[CBB]],"**COMPUTE",misc[[#This Row],[Compute]],"**MODULE",misc[[#This Row],[Module]],splitchar,"**ML2*CR*MC3*STATUS**")</f>
        <v>*SOCKET0**CBB**COMPUTE**MODULE__**ML2*CR*MC3*STATUS**</v>
      </c>
      <c r="AB168">
        <f>COUNTIFS(core_mc[TestName],misc[[#This Row],[Core_ML2_String]],core_mc[VisualId],MC_Check!$H$2)</f>
        <v>0</v>
      </c>
      <c r="AC168" t="str">
        <f>_xlfn.TEXTJOIN("",,"*SOCKET0**CBB",misc[[#This Row],[CBB]],"**COMPUTE",misc[[#This Row],[Compute]],"**MODULE",misc[[#This Row],[Module]],splitchar,"SPARE")</f>
        <v>*SOCKET0**CBB**COMPUTE**MODULE__SPARE</v>
      </c>
      <c r="AD168">
        <f>COUNTIFS(core_mc[TestName],misc[[#This Row],[Core_L2_String - SPARE]],core_mc[VisualId],MC_Check!$H$2)</f>
        <v>0</v>
      </c>
      <c r="AE168">
        <f>misc[[#This Row],[Core_DTLB_Count]]+misc[[#This Row],[Core_DCU_Count]]+misc[[#This Row],[Core_IFU_Count]]+misc[[#This Row],[Core_ROB_Count]]+misc[[#This Row],[Core_L2_Count - SPARE]]+misc[[#This Row],[Core_ML2_Count]]</f>
        <v>0</v>
      </c>
      <c r="AF168" t="str">
        <f>_xlfn.TEXTJOIN(", ",,IF(misc[[#This Row],[Core_IFU_Count]]&gt;0,"IFU",""),IF(misc[[#This Row],[Core_DCU_Count]]&gt;0,"DCU",""),IF(misc[[#This Row],[Core_DTLB_Count]]&gt;0,"DTLB",""),IF(misc[[#This Row],[Core_ROB_Count]]&gt;0,"ROB",""),IF(misc[[#This Row],[Core_ML2_Count]]&gt;0,"ML2",""),IF(misc[[#This Row],[Core_L2_Count - SPARE]]&gt;0,"L2",""))</f>
        <v/>
      </c>
      <c r="AG168" t="str">
        <f>_xlfn.TEXTJOIN("",,"*SOCKET0**CBB",misc[[#This Row],[CBB]],"**BASE**I_CCF**ENV",misc[[#This Row],[ENV]],splitchar,"CBREGS_ALL",misc[[#This Row],[CBO]],splitchar,"SPARE")</f>
        <v>*SOCKET0**CBB**BASE**I_CCF**ENV__CBREGS_ALL__SPARE</v>
      </c>
      <c r="AH168">
        <f>COUNTIFS(cha_mc[TestName],misc[[#This Row],[LLC_MCA_String - Not Used]],cha_mc[VisualId],MC_Check!$H$2)</f>
        <v>0</v>
      </c>
    </row>
    <row r="169" spans="8:34" x14ac:dyDescent="0.3">
      <c r="H169" s="61"/>
      <c r="I169" s="61"/>
      <c r="J169" s="61"/>
      <c r="K169" s="61"/>
      <c r="L169" s="61"/>
      <c r="M169" s="61" t="str">
        <f>_xlfn.TEXTJOIN("",,misc[[#This Row],[ROW]],misc[[#This Row],[ROW]])</f>
        <v/>
      </c>
      <c r="N169" s="5" t="b">
        <f>misc[[#This Row],[Core_Hitter_Count]]&gt;0</f>
        <v>0</v>
      </c>
      <c r="O169" t="b">
        <f>misc[[#This Row],[LLC_Hitter_Count]]&gt;0</f>
        <v>0</v>
      </c>
      <c r="P169" t="b">
        <f>misc[[#This Row],[CHA_Hitter_Count]]&gt;0</f>
        <v>0</v>
      </c>
      <c r="Q169" t="str">
        <f>_xlfn.TEXTJOIN("",,"*SOCKET0**CBB",misc[[#This Row],[CBB]],"**BASE**I_CCF_ENV",misc[[#This Row],[ENV]],splitchar,"CBREGS_ALL",misc[[#This Row],[CBO]],splitchar,"MC_STATUS*")</f>
        <v>*SOCKET0**CBB**BASE**I_CCF_ENV__CBREGS_ALL__MC_STATUS*</v>
      </c>
      <c r="R169">
        <f>COUNTIFS(cha_mc[TestName],misc[[#This Row],[CBO_MCA_String]],cha_mc[VisualId],MC_Check!$H$2)</f>
        <v>0</v>
      </c>
      <c r="S169" t="str">
        <f>_xlfn.TEXTJOIN("",,"*SOCKET0**CBB",misc[[#This Row],[CBB]],"**COMPUTE",misc[[#This Row],[Compute]],"**MODULE",misc[[#This Row],[Module]],splitchar,"**CORE**IFU*CR*MC0*STATUS**")</f>
        <v>*SOCKET0**CBB**COMPUTE**MODULE__**CORE**IFU*CR*MC0*STATUS**</v>
      </c>
      <c r="T169">
        <f>COUNTIFS(core_mc[TestName],misc[[#This Row],[IFU_MCA_String]],core_mc[VisualId],MC_Check!$H$2)</f>
        <v>0</v>
      </c>
      <c r="U169" t="str">
        <f>_xlfn.TEXTJOIN("",,"*SOCKET0**CBB",misc[[#This Row],[CBB]],"**COMPUTE",misc[[#This Row],[Compute]],"**MODULE",misc[[#This Row],[Module]],splitchar,"**CORE**ROB1*CR*MC*STATUS**")</f>
        <v>*SOCKET0**CBB**COMPUTE**MODULE__**CORE**ROB1*CR*MC*STATUS**</v>
      </c>
      <c r="V169">
        <f>COUNTIFS(core_mc[TestName],misc[[#This Row],[ROB_MCA_String]],core_mc[VisualId],MC_Check!$H$2)</f>
        <v>0</v>
      </c>
      <c r="W169" t="str">
        <f>_xlfn.TEXTJOIN("",,"*SOCKET0**CBB",misc[[#This Row],[CBB]],"**COMPUTE",misc[[#This Row],[Compute]],"**MODULE",misc[[#This Row],[Module]],splitchar,"**CORE**DCU*CR*MC1*STATUS**")</f>
        <v>*SOCKET0**CBB**COMPUTE**MODULE__**CORE**DCU*CR*MC1*STATUS**</v>
      </c>
      <c r="X169">
        <f>COUNTIFS(core_mc[TestName],misc[[#This Row],[DCU_MCA_String]],core_mc[VisualId],MC_Check!$H$2)</f>
        <v>0</v>
      </c>
      <c r="Y169" t="str">
        <f>_xlfn.TEXTJOIN("",,"*SOCKET0**CBB",misc[[#This Row],[CBB]],"**COMPUTE",misc[[#This Row],[Compute]],"**MODULE",misc[[#This Row],[Module]],splitchar,"**CORE**DTLB*CR*MC2*STATUS**")</f>
        <v>*SOCKET0**CBB**COMPUTE**MODULE__**CORE**DTLB*CR*MC2*STATUS**</v>
      </c>
      <c r="Z169">
        <f>COUNTIFS(core_mc[TestName],misc[[#This Row],[CORE_DTLB_String]],core_mc[VisualId],MC_Check!$H$2)</f>
        <v>0</v>
      </c>
      <c r="AA169" t="str">
        <f>_xlfn.TEXTJOIN("",,"*SOCKET0**CBB",misc[[#This Row],[CBB]],"**COMPUTE",misc[[#This Row],[Compute]],"**MODULE",misc[[#This Row],[Module]],splitchar,"**ML2*CR*MC3*STATUS**")</f>
        <v>*SOCKET0**CBB**COMPUTE**MODULE__**ML2*CR*MC3*STATUS**</v>
      </c>
      <c r="AB169">
        <f>COUNTIFS(core_mc[TestName],misc[[#This Row],[Core_ML2_String]],core_mc[VisualId],MC_Check!$H$2)</f>
        <v>0</v>
      </c>
      <c r="AC169" t="str">
        <f>_xlfn.TEXTJOIN("",,"*SOCKET0**CBB",misc[[#This Row],[CBB]],"**COMPUTE",misc[[#This Row],[Compute]],"**MODULE",misc[[#This Row],[Module]],splitchar,"SPARE")</f>
        <v>*SOCKET0**CBB**COMPUTE**MODULE__SPARE</v>
      </c>
      <c r="AD169">
        <f>COUNTIFS(core_mc[TestName],misc[[#This Row],[Core_L2_String - SPARE]],core_mc[VisualId],MC_Check!$H$2)</f>
        <v>0</v>
      </c>
      <c r="AE169">
        <f>misc[[#This Row],[Core_DTLB_Count]]+misc[[#This Row],[Core_DCU_Count]]+misc[[#This Row],[Core_IFU_Count]]+misc[[#This Row],[Core_ROB_Count]]+misc[[#This Row],[Core_L2_Count - SPARE]]+misc[[#This Row],[Core_ML2_Count]]</f>
        <v>0</v>
      </c>
      <c r="AF169" t="str">
        <f>_xlfn.TEXTJOIN(", ",,IF(misc[[#This Row],[Core_IFU_Count]]&gt;0,"IFU",""),IF(misc[[#This Row],[Core_DCU_Count]]&gt;0,"DCU",""),IF(misc[[#This Row],[Core_DTLB_Count]]&gt;0,"DTLB",""),IF(misc[[#This Row],[Core_ROB_Count]]&gt;0,"ROB",""),IF(misc[[#This Row],[Core_ML2_Count]]&gt;0,"ML2",""),IF(misc[[#This Row],[Core_L2_Count - SPARE]]&gt;0,"L2",""))</f>
        <v/>
      </c>
      <c r="AG169" t="str">
        <f>_xlfn.TEXTJOIN("",,"*SOCKET0**CBB",misc[[#This Row],[CBB]],"**BASE**I_CCF**ENV",misc[[#This Row],[ENV]],splitchar,"CBREGS_ALL",misc[[#This Row],[CBO]],splitchar,"SPARE")</f>
        <v>*SOCKET0**CBB**BASE**I_CCF**ENV__CBREGS_ALL__SPARE</v>
      </c>
      <c r="AH169">
        <f>COUNTIFS(cha_mc[TestName],misc[[#This Row],[LLC_MCA_String - Not Used]],cha_mc[VisualId],MC_Check!$H$2)</f>
        <v>0</v>
      </c>
    </row>
    <row r="170" spans="8:34" x14ac:dyDescent="0.3">
      <c r="H170" s="61"/>
      <c r="I170" s="61"/>
      <c r="J170" s="61"/>
      <c r="K170" s="61"/>
      <c r="L170" s="61"/>
      <c r="M170" s="61" t="str">
        <f>_xlfn.TEXTJOIN("",,misc[[#This Row],[ROW]],misc[[#This Row],[ROW]])</f>
        <v/>
      </c>
      <c r="N170" s="5" t="b">
        <f>misc[[#This Row],[Core_Hitter_Count]]&gt;0</f>
        <v>0</v>
      </c>
      <c r="O170" t="b">
        <f>misc[[#This Row],[LLC_Hitter_Count]]&gt;0</f>
        <v>0</v>
      </c>
      <c r="P170" t="b">
        <f>misc[[#This Row],[CHA_Hitter_Count]]&gt;0</f>
        <v>0</v>
      </c>
      <c r="Q170" t="str">
        <f>_xlfn.TEXTJOIN("",,"*SOCKET0**CBB",misc[[#This Row],[CBB]],"**BASE**I_CCF_ENV",misc[[#This Row],[ENV]],splitchar,"CBREGS_ALL",misc[[#This Row],[CBO]],splitchar,"MC_STATUS*")</f>
        <v>*SOCKET0**CBB**BASE**I_CCF_ENV__CBREGS_ALL__MC_STATUS*</v>
      </c>
      <c r="R170">
        <f>COUNTIFS(cha_mc[TestName],misc[[#This Row],[CBO_MCA_String]],cha_mc[VisualId],MC_Check!$H$2)</f>
        <v>0</v>
      </c>
      <c r="S170" t="str">
        <f>_xlfn.TEXTJOIN("",,"*SOCKET0**CBB",misc[[#This Row],[CBB]],"**COMPUTE",misc[[#This Row],[Compute]],"**MODULE",misc[[#This Row],[Module]],splitchar,"**CORE**IFU*CR*MC0*STATUS**")</f>
        <v>*SOCKET0**CBB**COMPUTE**MODULE__**CORE**IFU*CR*MC0*STATUS**</v>
      </c>
      <c r="T170">
        <f>COUNTIFS(core_mc[TestName],misc[[#This Row],[IFU_MCA_String]],core_mc[VisualId],MC_Check!$H$2)</f>
        <v>0</v>
      </c>
      <c r="U170" t="str">
        <f>_xlfn.TEXTJOIN("",,"*SOCKET0**CBB",misc[[#This Row],[CBB]],"**COMPUTE",misc[[#This Row],[Compute]],"**MODULE",misc[[#This Row],[Module]],splitchar,"**CORE**ROB1*CR*MC*STATUS**")</f>
        <v>*SOCKET0**CBB**COMPUTE**MODULE__**CORE**ROB1*CR*MC*STATUS**</v>
      </c>
      <c r="V170">
        <f>COUNTIFS(core_mc[TestName],misc[[#This Row],[ROB_MCA_String]],core_mc[VisualId],MC_Check!$H$2)</f>
        <v>0</v>
      </c>
      <c r="W170" t="str">
        <f>_xlfn.TEXTJOIN("",,"*SOCKET0**CBB",misc[[#This Row],[CBB]],"**COMPUTE",misc[[#This Row],[Compute]],"**MODULE",misc[[#This Row],[Module]],splitchar,"**CORE**DCU*CR*MC1*STATUS**")</f>
        <v>*SOCKET0**CBB**COMPUTE**MODULE__**CORE**DCU*CR*MC1*STATUS**</v>
      </c>
      <c r="X170">
        <f>COUNTIFS(core_mc[TestName],misc[[#This Row],[DCU_MCA_String]],core_mc[VisualId],MC_Check!$H$2)</f>
        <v>0</v>
      </c>
      <c r="Y170" t="str">
        <f>_xlfn.TEXTJOIN("",,"*SOCKET0**CBB",misc[[#This Row],[CBB]],"**COMPUTE",misc[[#This Row],[Compute]],"**MODULE",misc[[#This Row],[Module]],splitchar,"**CORE**DTLB*CR*MC2*STATUS**")</f>
        <v>*SOCKET0**CBB**COMPUTE**MODULE__**CORE**DTLB*CR*MC2*STATUS**</v>
      </c>
      <c r="Z170">
        <f>COUNTIFS(core_mc[TestName],misc[[#This Row],[CORE_DTLB_String]],core_mc[VisualId],MC_Check!$H$2)</f>
        <v>0</v>
      </c>
      <c r="AA170" t="str">
        <f>_xlfn.TEXTJOIN("",,"*SOCKET0**CBB",misc[[#This Row],[CBB]],"**COMPUTE",misc[[#This Row],[Compute]],"**MODULE",misc[[#This Row],[Module]],splitchar,"**ML2*CR*MC3*STATUS**")</f>
        <v>*SOCKET0**CBB**COMPUTE**MODULE__**ML2*CR*MC3*STATUS**</v>
      </c>
      <c r="AB170">
        <f>COUNTIFS(core_mc[TestName],misc[[#This Row],[Core_ML2_String]],core_mc[VisualId],MC_Check!$H$2)</f>
        <v>0</v>
      </c>
      <c r="AC170" t="str">
        <f>_xlfn.TEXTJOIN("",,"*SOCKET0**CBB",misc[[#This Row],[CBB]],"**COMPUTE",misc[[#This Row],[Compute]],"**MODULE",misc[[#This Row],[Module]],splitchar,"SPARE")</f>
        <v>*SOCKET0**CBB**COMPUTE**MODULE__SPARE</v>
      </c>
      <c r="AD170">
        <f>COUNTIFS(core_mc[TestName],misc[[#This Row],[Core_L2_String - SPARE]],core_mc[VisualId],MC_Check!$H$2)</f>
        <v>0</v>
      </c>
      <c r="AE170">
        <f>misc[[#This Row],[Core_DTLB_Count]]+misc[[#This Row],[Core_DCU_Count]]+misc[[#This Row],[Core_IFU_Count]]+misc[[#This Row],[Core_ROB_Count]]+misc[[#This Row],[Core_L2_Count - SPARE]]+misc[[#This Row],[Core_ML2_Count]]</f>
        <v>0</v>
      </c>
      <c r="AF170" t="str">
        <f>_xlfn.TEXTJOIN(", ",,IF(misc[[#This Row],[Core_IFU_Count]]&gt;0,"IFU",""),IF(misc[[#This Row],[Core_DCU_Count]]&gt;0,"DCU",""),IF(misc[[#This Row],[Core_DTLB_Count]]&gt;0,"DTLB",""),IF(misc[[#This Row],[Core_ROB_Count]]&gt;0,"ROB",""),IF(misc[[#This Row],[Core_ML2_Count]]&gt;0,"ML2",""),IF(misc[[#This Row],[Core_L2_Count - SPARE]]&gt;0,"L2",""))</f>
        <v/>
      </c>
      <c r="AG170" t="str">
        <f>_xlfn.TEXTJOIN("",,"*SOCKET0**CBB",misc[[#This Row],[CBB]],"**BASE**I_CCF**ENV",misc[[#This Row],[ENV]],splitchar,"CBREGS_ALL",misc[[#This Row],[CBO]],splitchar,"SPARE")</f>
        <v>*SOCKET0**CBB**BASE**I_CCF**ENV__CBREGS_ALL__SPARE</v>
      </c>
      <c r="AH170">
        <f>COUNTIFS(cha_mc[TestName],misc[[#This Row],[LLC_MCA_String - Not Used]],cha_mc[VisualId],MC_Check!$H$2)</f>
        <v>0</v>
      </c>
    </row>
    <row r="171" spans="8:34" x14ac:dyDescent="0.3">
      <c r="H171" s="61"/>
      <c r="I171" s="61"/>
      <c r="M171" s="61" t="str">
        <f>_xlfn.TEXTJOIN("",,misc[[#This Row],[ROW]],misc[[#This Row],[ROW]])</f>
        <v/>
      </c>
      <c r="N171" s="5" t="b">
        <f>misc[[#This Row],[Core_Hitter_Count]]&gt;0</f>
        <v>0</v>
      </c>
      <c r="O171" t="b">
        <f>misc[[#This Row],[LLC_Hitter_Count]]&gt;0</f>
        <v>0</v>
      </c>
      <c r="P171" t="b">
        <f>misc[[#This Row],[CHA_Hitter_Count]]&gt;0</f>
        <v>0</v>
      </c>
      <c r="Q171" t="str">
        <f>_xlfn.TEXTJOIN("",,"*SOCKET0**CBB",misc[[#This Row],[CBB]],"**BASE**I_CCF_ENV",misc[[#This Row],[ENV]],splitchar,"CBREGS_ALL",misc[[#This Row],[CBO]],splitchar,"MC_STATUS*")</f>
        <v>*SOCKET0**CBB**BASE**I_CCF_ENV__CBREGS_ALL__MC_STATUS*</v>
      </c>
      <c r="R171">
        <f>COUNTIFS(cha_mc[TestName],misc[[#This Row],[CBO_MCA_String]],cha_mc[VisualId],MC_Check!$H$2)</f>
        <v>0</v>
      </c>
      <c r="S171" t="str">
        <f>_xlfn.TEXTJOIN("",,"*SOCKET0**CBB",misc[[#This Row],[CBB]],"**COMPUTE",misc[[#This Row],[Compute]],"**MODULE",misc[[#This Row],[Module]],splitchar,"**CORE**IFU*CR*MC0*STATUS**")</f>
        <v>*SOCKET0**CBB**COMPUTE**MODULE__**CORE**IFU*CR*MC0*STATUS**</v>
      </c>
      <c r="T171">
        <f>COUNTIFS(core_mc[TestName],misc[[#This Row],[IFU_MCA_String]],core_mc[VisualId],MC_Check!$H$2)</f>
        <v>0</v>
      </c>
      <c r="U171" t="str">
        <f>_xlfn.TEXTJOIN("",,"*SOCKET0**CBB",misc[[#This Row],[CBB]],"**COMPUTE",misc[[#This Row],[Compute]],"**MODULE",misc[[#This Row],[Module]],splitchar,"**CORE**ROB1*CR*MC*STATUS**")</f>
        <v>*SOCKET0**CBB**COMPUTE**MODULE__**CORE**ROB1*CR*MC*STATUS**</v>
      </c>
      <c r="V171">
        <f>COUNTIFS(core_mc[TestName],misc[[#This Row],[ROB_MCA_String]],core_mc[VisualId],MC_Check!$H$2)</f>
        <v>0</v>
      </c>
      <c r="W171" t="str">
        <f>_xlfn.TEXTJOIN("",,"*SOCKET0**CBB",misc[[#This Row],[CBB]],"**COMPUTE",misc[[#This Row],[Compute]],"**MODULE",misc[[#This Row],[Module]],splitchar,"**CORE**DCU*CR*MC1*STATUS**")</f>
        <v>*SOCKET0**CBB**COMPUTE**MODULE__**CORE**DCU*CR*MC1*STATUS**</v>
      </c>
      <c r="X171">
        <f>COUNTIFS(core_mc[TestName],misc[[#This Row],[DCU_MCA_String]],core_mc[VisualId],MC_Check!$H$2)</f>
        <v>0</v>
      </c>
      <c r="Y171" t="str">
        <f>_xlfn.TEXTJOIN("",,"*SOCKET0**CBB",misc[[#This Row],[CBB]],"**COMPUTE",misc[[#This Row],[Compute]],"**MODULE",misc[[#This Row],[Module]],splitchar,"**CORE**DTLB*CR*MC2*STATUS**")</f>
        <v>*SOCKET0**CBB**COMPUTE**MODULE__**CORE**DTLB*CR*MC2*STATUS**</v>
      </c>
      <c r="Z171">
        <f>COUNTIFS(core_mc[TestName],misc[[#This Row],[CORE_DTLB_String]],core_mc[VisualId],MC_Check!$H$2)</f>
        <v>0</v>
      </c>
      <c r="AA171" t="str">
        <f>_xlfn.TEXTJOIN("",,"*SOCKET0**CBB",misc[[#This Row],[CBB]],"**COMPUTE",misc[[#This Row],[Compute]],"**MODULE",misc[[#This Row],[Module]],splitchar,"**ML2*CR*MC3*STATUS**")</f>
        <v>*SOCKET0**CBB**COMPUTE**MODULE__**ML2*CR*MC3*STATUS**</v>
      </c>
      <c r="AB171">
        <f>COUNTIFS(core_mc[TestName],misc[[#This Row],[Core_ML2_String]],core_mc[VisualId],MC_Check!$H$2)</f>
        <v>0</v>
      </c>
      <c r="AC171" t="str">
        <f>_xlfn.TEXTJOIN("",,"*SOCKET0**CBB",misc[[#This Row],[CBB]],"**COMPUTE",misc[[#This Row],[Compute]],"**MODULE",misc[[#This Row],[Module]],splitchar,"SPARE")</f>
        <v>*SOCKET0**CBB**COMPUTE**MODULE__SPARE</v>
      </c>
      <c r="AD171">
        <f>COUNTIFS(core_mc[TestName],misc[[#This Row],[Core_L2_String - SPARE]],core_mc[VisualId],MC_Check!$H$2)</f>
        <v>0</v>
      </c>
      <c r="AE171">
        <f>misc[[#This Row],[Core_DTLB_Count]]+misc[[#This Row],[Core_DCU_Count]]+misc[[#This Row],[Core_IFU_Count]]+misc[[#This Row],[Core_ROB_Count]]+misc[[#This Row],[Core_L2_Count - SPARE]]+misc[[#This Row],[Core_ML2_Count]]</f>
        <v>0</v>
      </c>
      <c r="AF171" t="str">
        <f>_xlfn.TEXTJOIN(", ",,IF(misc[[#This Row],[Core_IFU_Count]]&gt;0,"IFU",""),IF(misc[[#This Row],[Core_DCU_Count]]&gt;0,"DCU",""),IF(misc[[#This Row],[Core_DTLB_Count]]&gt;0,"DTLB",""),IF(misc[[#This Row],[Core_ROB_Count]]&gt;0,"ROB",""),IF(misc[[#This Row],[Core_ML2_Count]]&gt;0,"ML2",""),IF(misc[[#This Row],[Core_L2_Count - SPARE]]&gt;0,"L2",""))</f>
        <v/>
      </c>
      <c r="AG171" t="str">
        <f>_xlfn.TEXTJOIN("",,"*SOCKET0**CBB",misc[[#This Row],[CBB]],"**BASE**I_CCF**ENV",misc[[#This Row],[ENV]],splitchar,"CBREGS_ALL",misc[[#This Row],[CBO]],splitchar,"SPARE")</f>
        <v>*SOCKET0**CBB**BASE**I_CCF**ENV__CBREGS_ALL__SPARE</v>
      </c>
      <c r="AH171">
        <f>COUNTIFS(cha_mc[TestName],misc[[#This Row],[LLC_MCA_String - Not Used]],cha_mc[VisualId],MC_Check!$H$2)</f>
        <v>0</v>
      </c>
    </row>
    <row r="172" spans="8:34" x14ac:dyDescent="0.3">
      <c r="H172" s="61"/>
      <c r="I172" s="61"/>
      <c r="M172" s="61" t="str">
        <f>_xlfn.TEXTJOIN("",,misc[[#This Row],[ROW]],misc[[#This Row],[ROW]])</f>
        <v/>
      </c>
      <c r="N172" s="5" t="b">
        <f>misc[[#This Row],[Core_Hitter_Count]]&gt;0</f>
        <v>0</v>
      </c>
      <c r="O172" t="b">
        <f>misc[[#This Row],[LLC_Hitter_Count]]&gt;0</f>
        <v>0</v>
      </c>
      <c r="P172" t="b">
        <f>misc[[#This Row],[CHA_Hitter_Count]]&gt;0</f>
        <v>0</v>
      </c>
      <c r="Q172" t="str">
        <f>_xlfn.TEXTJOIN("",,"*SOCKET0**CBB",misc[[#This Row],[CBB]],"**BASE**I_CCF_ENV",misc[[#This Row],[ENV]],splitchar,"CBREGS_ALL",misc[[#This Row],[CBO]],splitchar,"MC_STATUS*")</f>
        <v>*SOCKET0**CBB**BASE**I_CCF_ENV__CBREGS_ALL__MC_STATUS*</v>
      </c>
      <c r="R172">
        <f>COUNTIFS(cha_mc[TestName],misc[[#This Row],[CBO_MCA_String]],cha_mc[VisualId],MC_Check!$H$2)</f>
        <v>0</v>
      </c>
      <c r="S172" t="str">
        <f>_xlfn.TEXTJOIN("",,"*SOCKET0**CBB",misc[[#This Row],[CBB]],"**COMPUTE",misc[[#This Row],[Compute]],"**MODULE",misc[[#This Row],[Module]],splitchar,"**CORE**IFU*CR*MC0*STATUS**")</f>
        <v>*SOCKET0**CBB**COMPUTE**MODULE__**CORE**IFU*CR*MC0*STATUS**</v>
      </c>
      <c r="T172">
        <f>COUNTIFS(core_mc[TestName],misc[[#This Row],[IFU_MCA_String]],core_mc[VisualId],MC_Check!$H$2)</f>
        <v>0</v>
      </c>
      <c r="U172" t="str">
        <f>_xlfn.TEXTJOIN("",,"*SOCKET0**CBB",misc[[#This Row],[CBB]],"**COMPUTE",misc[[#This Row],[Compute]],"**MODULE",misc[[#This Row],[Module]],splitchar,"**CORE**ROB1*CR*MC*STATUS**")</f>
        <v>*SOCKET0**CBB**COMPUTE**MODULE__**CORE**ROB1*CR*MC*STATUS**</v>
      </c>
      <c r="V172">
        <f>COUNTIFS(core_mc[TestName],misc[[#This Row],[ROB_MCA_String]],core_mc[VisualId],MC_Check!$H$2)</f>
        <v>0</v>
      </c>
      <c r="W172" t="str">
        <f>_xlfn.TEXTJOIN("",,"*SOCKET0**CBB",misc[[#This Row],[CBB]],"**COMPUTE",misc[[#This Row],[Compute]],"**MODULE",misc[[#This Row],[Module]],splitchar,"**CORE**DCU*CR*MC1*STATUS**")</f>
        <v>*SOCKET0**CBB**COMPUTE**MODULE__**CORE**DCU*CR*MC1*STATUS**</v>
      </c>
      <c r="X172">
        <f>COUNTIFS(core_mc[TestName],misc[[#This Row],[DCU_MCA_String]],core_mc[VisualId],MC_Check!$H$2)</f>
        <v>0</v>
      </c>
      <c r="Y172" t="str">
        <f>_xlfn.TEXTJOIN("",,"*SOCKET0**CBB",misc[[#This Row],[CBB]],"**COMPUTE",misc[[#This Row],[Compute]],"**MODULE",misc[[#This Row],[Module]],splitchar,"**CORE**DTLB*CR*MC2*STATUS**")</f>
        <v>*SOCKET0**CBB**COMPUTE**MODULE__**CORE**DTLB*CR*MC2*STATUS**</v>
      </c>
      <c r="Z172">
        <f>COUNTIFS(core_mc[TestName],misc[[#This Row],[CORE_DTLB_String]],core_mc[VisualId],MC_Check!$H$2)</f>
        <v>0</v>
      </c>
      <c r="AA172" t="str">
        <f>_xlfn.TEXTJOIN("",,"*SOCKET0**CBB",misc[[#This Row],[CBB]],"**COMPUTE",misc[[#This Row],[Compute]],"**MODULE",misc[[#This Row],[Module]],splitchar,"**ML2*CR*MC3*STATUS**")</f>
        <v>*SOCKET0**CBB**COMPUTE**MODULE__**ML2*CR*MC3*STATUS**</v>
      </c>
      <c r="AB172">
        <f>COUNTIFS(core_mc[TestName],misc[[#This Row],[Core_ML2_String]],core_mc[VisualId],MC_Check!$H$2)</f>
        <v>0</v>
      </c>
      <c r="AC172" t="str">
        <f>_xlfn.TEXTJOIN("",,"*SOCKET0**CBB",misc[[#This Row],[CBB]],"**COMPUTE",misc[[#This Row],[Compute]],"**MODULE",misc[[#This Row],[Module]],splitchar,"SPARE")</f>
        <v>*SOCKET0**CBB**COMPUTE**MODULE__SPARE</v>
      </c>
      <c r="AD172">
        <f>COUNTIFS(core_mc[TestName],misc[[#This Row],[Core_L2_String - SPARE]],core_mc[VisualId],MC_Check!$H$2)</f>
        <v>0</v>
      </c>
      <c r="AE172">
        <f>misc[[#This Row],[Core_DTLB_Count]]+misc[[#This Row],[Core_DCU_Count]]+misc[[#This Row],[Core_IFU_Count]]+misc[[#This Row],[Core_ROB_Count]]+misc[[#This Row],[Core_L2_Count - SPARE]]+misc[[#This Row],[Core_ML2_Count]]</f>
        <v>0</v>
      </c>
      <c r="AF172" t="str">
        <f>_xlfn.TEXTJOIN(", ",,IF(misc[[#This Row],[Core_IFU_Count]]&gt;0,"IFU",""),IF(misc[[#This Row],[Core_DCU_Count]]&gt;0,"DCU",""),IF(misc[[#This Row],[Core_DTLB_Count]]&gt;0,"DTLB",""),IF(misc[[#This Row],[Core_ROB_Count]]&gt;0,"ROB",""),IF(misc[[#This Row],[Core_ML2_Count]]&gt;0,"ML2",""),IF(misc[[#This Row],[Core_L2_Count - SPARE]]&gt;0,"L2",""))</f>
        <v/>
      </c>
      <c r="AG172" t="str">
        <f>_xlfn.TEXTJOIN("",,"*SOCKET0**CBB",misc[[#This Row],[CBB]],"**BASE**I_CCF**ENV",misc[[#This Row],[ENV]],splitchar,"CBREGS_ALL",misc[[#This Row],[CBO]],splitchar,"SPARE")</f>
        <v>*SOCKET0**CBB**BASE**I_CCF**ENV__CBREGS_ALL__SPARE</v>
      </c>
      <c r="AH172">
        <f>COUNTIFS(cha_mc[TestName],misc[[#This Row],[LLC_MCA_String - Not Used]],cha_mc[VisualId],MC_Check!$H$2)</f>
        <v>0</v>
      </c>
    </row>
    <row r="173" spans="8:34" x14ac:dyDescent="0.3">
      <c r="H173" s="61"/>
      <c r="I173" s="61"/>
      <c r="M173" s="61" t="str">
        <f>_xlfn.TEXTJOIN("",,misc[[#This Row],[ROW]],misc[[#This Row],[ROW]])</f>
        <v/>
      </c>
      <c r="N173" s="5" t="b">
        <f>misc[[#This Row],[Core_Hitter_Count]]&gt;0</f>
        <v>0</v>
      </c>
      <c r="O173" t="b">
        <f>misc[[#This Row],[LLC_Hitter_Count]]&gt;0</f>
        <v>0</v>
      </c>
      <c r="P173" t="b">
        <f>misc[[#This Row],[CHA_Hitter_Count]]&gt;0</f>
        <v>0</v>
      </c>
      <c r="Q173" t="str">
        <f>_xlfn.TEXTJOIN("",,"*SOCKET0**CBB",misc[[#This Row],[CBB]],"**BASE**I_CCF_ENV",misc[[#This Row],[ENV]],splitchar,"CBREGS_ALL",misc[[#This Row],[CBO]],splitchar,"MC_STATUS*")</f>
        <v>*SOCKET0**CBB**BASE**I_CCF_ENV__CBREGS_ALL__MC_STATUS*</v>
      </c>
      <c r="R173">
        <f>COUNTIFS(cha_mc[TestName],misc[[#This Row],[CBO_MCA_String]],cha_mc[VisualId],MC_Check!$H$2)</f>
        <v>0</v>
      </c>
      <c r="S173" t="str">
        <f>_xlfn.TEXTJOIN("",,"*SOCKET0**CBB",misc[[#This Row],[CBB]],"**COMPUTE",misc[[#This Row],[Compute]],"**MODULE",misc[[#This Row],[Module]],splitchar,"**CORE**IFU*CR*MC0*STATUS**")</f>
        <v>*SOCKET0**CBB**COMPUTE**MODULE__**CORE**IFU*CR*MC0*STATUS**</v>
      </c>
      <c r="T173">
        <f>COUNTIFS(core_mc[TestName],misc[[#This Row],[IFU_MCA_String]],core_mc[VisualId],MC_Check!$H$2)</f>
        <v>0</v>
      </c>
      <c r="U173" t="str">
        <f>_xlfn.TEXTJOIN("",,"*SOCKET0**CBB",misc[[#This Row],[CBB]],"**COMPUTE",misc[[#This Row],[Compute]],"**MODULE",misc[[#This Row],[Module]],splitchar,"**CORE**ROB1*CR*MC*STATUS**")</f>
        <v>*SOCKET0**CBB**COMPUTE**MODULE__**CORE**ROB1*CR*MC*STATUS**</v>
      </c>
      <c r="V173">
        <f>COUNTIFS(core_mc[TestName],misc[[#This Row],[ROB_MCA_String]],core_mc[VisualId],MC_Check!$H$2)</f>
        <v>0</v>
      </c>
      <c r="W173" t="str">
        <f>_xlfn.TEXTJOIN("",,"*SOCKET0**CBB",misc[[#This Row],[CBB]],"**COMPUTE",misc[[#This Row],[Compute]],"**MODULE",misc[[#This Row],[Module]],splitchar,"**CORE**DCU*CR*MC1*STATUS**")</f>
        <v>*SOCKET0**CBB**COMPUTE**MODULE__**CORE**DCU*CR*MC1*STATUS**</v>
      </c>
      <c r="X173">
        <f>COUNTIFS(core_mc[TestName],misc[[#This Row],[DCU_MCA_String]],core_mc[VisualId],MC_Check!$H$2)</f>
        <v>0</v>
      </c>
      <c r="Y173" t="str">
        <f>_xlfn.TEXTJOIN("",,"*SOCKET0**CBB",misc[[#This Row],[CBB]],"**COMPUTE",misc[[#This Row],[Compute]],"**MODULE",misc[[#This Row],[Module]],splitchar,"**CORE**DTLB*CR*MC2*STATUS**")</f>
        <v>*SOCKET0**CBB**COMPUTE**MODULE__**CORE**DTLB*CR*MC2*STATUS**</v>
      </c>
      <c r="Z173">
        <f>COUNTIFS(core_mc[TestName],misc[[#This Row],[CORE_DTLB_String]],core_mc[VisualId],MC_Check!$H$2)</f>
        <v>0</v>
      </c>
      <c r="AA173" t="str">
        <f>_xlfn.TEXTJOIN("",,"*SOCKET0**CBB",misc[[#This Row],[CBB]],"**COMPUTE",misc[[#This Row],[Compute]],"**MODULE",misc[[#This Row],[Module]],splitchar,"**ML2*CR*MC3*STATUS**")</f>
        <v>*SOCKET0**CBB**COMPUTE**MODULE__**ML2*CR*MC3*STATUS**</v>
      </c>
      <c r="AB173">
        <f>COUNTIFS(core_mc[TestName],misc[[#This Row],[Core_ML2_String]],core_mc[VisualId],MC_Check!$H$2)</f>
        <v>0</v>
      </c>
      <c r="AC173" t="str">
        <f>_xlfn.TEXTJOIN("",,"*SOCKET0**CBB",misc[[#This Row],[CBB]],"**COMPUTE",misc[[#This Row],[Compute]],"**MODULE",misc[[#This Row],[Module]],splitchar,"SPARE")</f>
        <v>*SOCKET0**CBB**COMPUTE**MODULE__SPARE</v>
      </c>
      <c r="AD173">
        <f>COUNTIFS(core_mc[TestName],misc[[#This Row],[Core_L2_String - SPARE]],core_mc[VisualId],MC_Check!$H$2)</f>
        <v>0</v>
      </c>
      <c r="AE173">
        <f>misc[[#This Row],[Core_DTLB_Count]]+misc[[#This Row],[Core_DCU_Count]]+misc[[#This Row],[Core_IFU_Count]]+misc[[#This Row],[Core_ROB_Count]]+misc[[#This Row],[Core_L2_Count - SPARE]]+misc[[#This Row],[Core_ML2_Count]]</f>
        <v>0</v>
      </c>
      <c r="AF173" t="str">
        <f>_xlfn.TEXTJOIN(", ",,IF(misc[[#This Row],[Core_IFU_Count]]&gt;0,"IFU",""),IF(misc[[#This Row],[Core_DCU_Count]]&gt;0,"DCU",""),IF(misc[[#This Row],[Core_DTLB_Count]]&gt;0,"DTLB",""),IF(misc[[#This Row],[Core_ROB_Count]]&gt;0,"ROB",""),IF(misc[[#This Row],[Core_ML2_Count]]&gt;0,"ML2",""),IF(misc[[#This Row],[Core_L2_Count - SPARE]]&gt;0,"L2",""))</f>
        <v/>
      </c>
      <c r="AG173" t="str">
        <f>_xlfn.TEXTJOIN("",,"*SOCKET0**CBB",misc[[#This Row],[CBB]],"**BASE**I_CCF**ENV",misc[[#This Row],[ENV]],splitchar,"CBREGS_ALL",misc[[#This Row],[CBO]],splitchar,"SPARE")</f>
        <v>*SOCKET0**CBB**BASE**I_CCF**ENV__CBREGS_ALL__SPARE</v>
      </c>
      <c r="AH173">
        <f>COUNTIFS(cha_mc[TestName],misc[[#This Row],[LLC_MCA_String - Not Used]],cha_mc[VisualId],MC_Check!$H$2)</f>
        <v>0</v>
      </c>
    </row>
    <row r="174" spans="8:34" x14ac:dyDescent="0.3">
      <c r="H174" s="61"/>
      <c r="I174" s="61"/>
      <c r="J174" s="61"/>
      <c r="K174" s="61"/>
      <c r="L174" s="61"/>
      <c r="M174" s="61" t="str">
        <f>_xlfn.TEXTJOIN("",,misc[[#This Row],[ROW]],misc[[#This Row],[ROW]])</f>
        <v/>
      </c>
      <c r="N174" s="5" t="b">
        <f>misc[[#This Row],[Core_Hitter_Count]]&gt;0</f>
        <v>0</v>
      </c>
      <c r="O174" t="b">
        <f>misc[[#This Row],[LLC_Hitter_Count]]&gt;0</f>
        <v>0</v>
      </c>
      <c r="P174" t="b">
        <f>misc[[#This Row],[CHA_Hitter_Count]]&gt;0</f>
        <v>0</v>
      </c>
      <c r="Q174" t="str">
        <f>_xlfn.TEXTJOIN("",,"*SOCKET0**CBB",misc[[#This Row],[CBB]],"**BASE**I_CCF_ENV",misc[[#This Row],[ENV]],splitchar,"CBREGS_ALL",misc[[#This Row],[CBO]],splitchar,"MC_STATUS*")</f>
        <v>*SOCKET0**CBB**BASE**I_CCF_ENV__CBREGS_ALL__MC_STATUS*</v>
      </c>
      <c r="R174">
        <f>COUNTIFS(cha_mc[TestName],misc[[#This Row],[CBO_MCA_String]],cha_mc[VisualId],MC_Check!$H$2)</f>
        <v>0</v>
      </c>
      <c r="S174" t="str">
        <f>_xlfn.TEXTJOIN("",,"*SOCKET0**CBB",misc[[#This Row],[CBB]],"**COMPUTE",misc[[#This Row],[Compute]],"**MODULE",misc[[#This Row],[Module]],splitchar,"**CORE**IFU*CR*MC0*STATUS**")</f>
        <v>*SOCKET0**CBB**COMPUTE**MODULE__**CORE**IFU*CR*MC0*STATUS**</v>
      </c>
      <c r="T174">
        <f>COUNTIFS(core_mc[TestName],misc[[#This Row],[IFU_MCA_String]],core_mc[VisualId],MC_Check!$H$2)</f>
        <v>0</v>
      </c>
      <c r="U174" t="str">
        <f>_xlfn.TEXTJOIN("",,"*SOCKET0**CBB",misc[[#This Row],[CBB]],"**COMPUTE",misc[[#This Row],[Compute]],"**MODULE",misc[[#This Row],[Module]],splitchar,"**CORE**ROB1*CR*MC*STATUS**")</f>
        <v>*SOCKET0**CBB**COMPUTE**MODULE__**CORE**ROB1*CR*MC*STATUS**</v>
      </c>
      <c r="V174">
        <f>COUNTIFS(core_mc[TestName],misc[[#This Row],[ROB_MCA_String]],core_mc[VisualId],MC_Check!$H$2)</f>
        <v>0</v>
      </c>
      <c r="W174" t="str">
        <f>_xlfn.TEXTJOIN("",,"*SOCKET0**CBB",misc[[#This Row],[CBB]],"**COMPUTE",misc[[#This Row],[Compute]],"**MODULE",misc[[#This Row],[Module]],splitchar,"**CORE**DCU*CR*MC1*STATUS**")</f>
        <v>*SOCKET0**CBB**COMPUTE**MODULE__**CORE**DCU*CR*MC1*STATUS**</v>
      </c>
      <c r="X174">
        <f>COUNTIFS(core_mc[TestName],misc[[#This Row],[DCU_MCA_String]],core_mc[VisualId],MC_Check!$H$2)</f>
        <v>0</v>
      </c>
      <c r="Y174" t="str">
        <f>_xlfn.TEXTJOIN("",,"*SOCKET0**CBB",misc[[#This Row],[CBB]],"**COMPUTE",misc[[#This Row],[Compute]],"**MODULE",misc[[#This Row],[Module]],splitchar,"**CORE**DTLB*CR*MC2*STATUS**")</f>
        <v>*SOCKET0**CBB**COMPUTE**MODULE__**CORE**DTLB*CR*MC2*STATUS**</v>
      </c>
      <c r="Z174">
        <f>COUNTIFS(core_mc[TestName],misc[[#This Row],[CORE_DTLB_String]],core_mc[VisualId],MC_Check!$H$2)</f>
        <v>0</v>
      </c>
      <c r="AA174" t="str">
        <f>_xlfn.TEXTJOIN("",,"*SOCKET0**CBB",misc[[#This Row],[CBB]],"**COMPUTE",misc[[#This Row],[Compute]],"**MODULE",misc[[#This Row],[Module]],splitchar,"**ML2*CR*MC3*STATUS**")</f>
        <v>*SOCKET0**CBB**COMPUTE**MODULE__**ML2*CR*MC3*STATUS**</v>
      </c>
      <c r="AB174">
        <f>COUNTIFS(core_mc[TestName],misc[[#This Row],[Core_ML2_String]],core_mc[VisualId],MC_Check!$H$2)</f>
        <v>0</v>
      </c>
      <c r="AC174" t="str">
        <f>_xlfn.TEXTJOIN("",,"*SOCKET0**CBB",misc[[#This Row],[CBB]],"**COMPUTE",misc[[#This Row],[Compute]],"**MODULE",misc[[#This Row],[Module]],splitchar,"SPARE")</f>
        <v>*SOCKET0**CBB**COMPUTE**MODULE__SPARE</v>
      </c>
      <c r="AD174">
        <f>COUNTIFS(core_mc[TestName],misc[[#This Row],[Core_L2_String - SPARE]],core_mc[VisualId],MC_Check!$H$2)</f>
        <v>0</v>
      </c>
      <c r="AE174">
        <f>misc[[#This Row],[Core_DTLB_Count]]+misc[[#This Row],[Core_DCU_Count]]+misc[[#This Row],[Core_IFU_Count]]+misc[[#This Row],[Core_ROB_Count]]+misc[[#This Row],[Core_L2_Count - SPARE]]+misc[[#This Row],[Core_ML2_Count]]</f>
        <v>0</v>
      </c>
      <c r="AF174" t="str">
        <f>_xlfn.TEXTJOIN(", ",,IF(misc[[#This Row],[Core_IFU_Count]]&gt;0,"IFU",""),IF(misc[[#This Row],[Core_DCU_Count]]&gt;0,"DCU",""),IF(misc[[#This Row],[Core_DTLB_Count]]&gt;0,"DTLB",""),IF(misc[[#This Row],[Core_ROB_Count]]&gt;0,"ROB",""),IF(misc[[#This Row],[Core_ML2_Count]]&gt;0,"ML2",""),IF(misc[[#This Row],[Core_L2_Count - SPARE]]&gt;0,"L2",""))</f>
        <v/>
      </c>
      <c r="AG174" t="str">
        <f>_xlfn.TEXTJOIN("",,"*SOCKET0**CBB",misc[[#This Row],[CBB]],"**BASE**I_CCF**ENV",misc[[#This Row],[ENV]],splitchar,"CBREGS_ALL",misc[[#This Row],[CBO]],splitchar,"SPARE")</f>
        <v>*SOCKET0**CBB**BASE**I_CCF**ENV__CBREGS_ALL__SPARE</v>
      </c>
      <c r="AH174">
        <f>COUNTIFS(cha_mc[TestName],misc[[#This Row],[LLC_MCA_String - Not Used]],cha_mc[VisualId],MC_Check!$H$2)</f>
        <v>0</v>
      </c>
    </row>
    <row r="175" spans="8:34" x14ac:dyDescent="0.3">
      <c r="H175" s="61"/>
      <c r="I175" s="61"/>
      <c r="J175" s="61"/>
      <c r="K175" s="61"/>
      <c r="L175" s="61"/>
      <c r="M175" s="61" t="str">
        <f>_xlfn.TEXTJOIN("",,misc[[#This Row],[ROW]],misc[[#This Row],[ROW]])</f>
        <v/>
      </c>
      <c r="N175" s="5" t="b">
        <f>misc[[#This Row],[Core_Hitter_Count]]&gt;0</f>
        <v>0</v>
      </c>
      <c r="O175" t="b">
        <f>misc[[#This Row],[LLC_Hitter_Count]]&gt;0</f>
        <v>0</v>
      </c>
      <c r="P175" t="b">
        <f>misc[[#This Row],[CHA_Hitter_Count]]&gt;0</f>
        <v>0</v>
      </c>
      <c r="Q175" t="str">
        <f>_xlfn.TEXTJOIN("",,"*SOCKET0**CBB",misc[[#This Row],[CBB]],"**BASE**I_CCF_ENV",misc[[#This Row],[ENV]],splitchar,"CBREGS_ALL",misc[[#This Row],[CBO]],splitchar,"MC_STATUS*")</f>
        <v>*SOCKET0**CBB**BASE**I_CCF_ENV__CBREGS_ALL__MC_STATUS*</v>
      </c>
      <c r="R175">
        <f>COUNTIFS(cha_mc[TestName],misc[[#This Row],[CBO_MCA_String]],cha_mc[VisualId],MC_Check!$H$2)</f>
        <v>0</v>
      </c>
      <c r="S175" t="str">
        <f>_xlfn.TEXTJOIN("",,"*SOCKET0**CBB",misc[[#This Row],[CBB]],"**COMPUTE",misc[[#This Row],[Compute]],"**MODULE",misc[[#This Row],[Module]],splitchar,"**CORE**IFU*CR*MC0*STATUS**")</f>
        <v>*SOCKET0**CBB**COMPUTE**MODULE__**CORE**IFU*CR*MC0*STATUS**</v>
      </c>
      <c r="T175">
        <f>COUNTIFS(core_mc[TestName],misc[[#This Row],[IFU_MCA_String]],core_mc[VisualId],MC_Check!$H$2)</f>
        <v>0</v>
      </c>
      <c r="U175" t="str">
        <f>_xlfn.TEXTJOIN("",,"*SOCKET0**CBB",misc[[#This Row],[CBB]],"**COMPUTE",misc[[#This Row],[Compute]],"**MODULE",misc[[#This Row],[Module]],splitchar,"**CORE**ROB1*CR*MC*STATUS**")</f>
        <v>*SOCKET0**CBB**COMPUTE**MODULE__**CORE**ROB1*CR*MC*STATUS**</v>
      </c>
      <c r="V175">
        <f>COUNTIFS(core_mc[TestName],misc[[#This Row],[ROB_MCA_String]],core_mc[VisualId],MC_Check!$H$2)</f>
        <v>0</v>
      </c>
      <c r="W175" t="str">
        <f>_xlfn.TEXTJOIN("",,"*SOCKET0**CBB",misc[[#This Row],[CBB]],"**COMPUTE",misc[[#This Row],[Compute]],"**MODULE",misc[[#This Row],[Module]],splitchar,"**CORE**DCU*CR*MC1*STATUS**")</f>
        <v>*SOCKET0**CBB**COMPUTE**MODULE__**CORE**DCU*CR*MC1*STATUS**</v>
      </c>
      <c r="X175">
        <f>COUNTIFS(core_mc[TestName],misc[[#This Row],[DCU_MCA_String]],core_mc[VisualId],MC_Check!$H$2)</f>
        <v>0</v>
      </c>
      <c r="Y175" t="str">
        <f>_xlfn.TEXTJOIN("",,"*SOCKET0**CBB",misc[[#This Row],[CBB]],"**COMPUTE",misc[[#This Row],[Compute]],"**MODULE",misc[[#This Row],[Module]],splitchar,"**CORE**DTLB*CR*MC2*STATUS**")</f>
        <v>*SOCKET0**CBB**COMPUTE**MODULE__**CORE**DTLB*CR*MC2*STATUS**</v>
      </c>
      <c r="Z175">
        <f>COUNTIFS(core_mc[TestName],misc[[#This Row],[CORE_DTLB_String]],core_mc[VisualId],MC_Check!$H$2)</f>
        <v>0</v>
      </c>
      <c r="AA175" t="str">
        <f>_xlfn.TEXTJOIN("",,"*SOCKET0**CBB",misc[[#This Row],[CBB]],"**COMPUTE",misc[[#This Row],[Compute]],"**MODULE",misc[[#This Row],[Module]],splitchar,"**ML2*CR*MC3*STATUS**")</f>
        <v>*SOCKET0**CBB**COMPUTE**MODULE__**ML2*CR*MC3*STATUS**</v>
      </c>
      <c r="AB175">
        <f>COUNTIFS(core_mc[TestName],misc[[#This Row],[Core_ML2_String]],core_mc[VisualId],MC_Check!$H$2)</f>
        <v>0</v>
      </c>
      <c r="AC175" t="str">
        <f>_xlfn.TEXTJOIN("",,"*SOCKET0**CBB",misc[[#This Row],[CBB]],"**COMPUTE",misc[[#This Row],[Compute]],"**MODULE",misc[[#This Row],[Module]],splitchar,"SPARE")</f>
        <v>*SOCKET0**CBB**COMPUTE**MODULE__SPARE</v>
      </c>
      <c r="AD175">
        <f>COUNTIFS(core_mc[TestName],misc[[#This Row],[Core_L2_String - SPARE]],core_mc[VisualId],MC_Check!$H$2)</f>
        <v>0</v>
      </c>
      <c r="AE175">
        <f>misc[[#This Row],[Core_DTLB_Count]]+misc[[#This Row],[Core_DCU_Count]]+misc[[#This Row],[Core_IFU_Count]]+misc[[#This Row],[Core_ROB_Count]]+misc[[#This Row],[Core_L2_Count - SPARE]]+misc[[#This Row],[Core_ML2_Count]]</f>
        <v>0</v>
      </c>
      <c r="AF175" t="str">
        <f>_xlfn.TEXTJOIN(", ",,IF(misc[[#This Row],[Core_IFU_Count]]&gt;0,"IFU",""),IF(misc[[#This Row],[Core_DCU_Count]]&gt;0,"DCU",""),IF(misc[[#This Row],[Core_DTLB_Count]]&gt;0,"DTLB",""),IF(misc[[#This Row],[Core_ROB_Count]]&gt;0,"ROB",""),IF(misc[[#This Row],[Core_ML2_Count]]&gt;0,"ML2",""),IF(misc[[#This Row],[Core_L2_Count - SPARE]]&gt;0,"L2",""))</f>
        <v/>
      </c>
      <c r="AG175" t="str">
        <f>_xlfn.TEXTJOIN("",,"*SOCKET0**CBB",misc[[#This Row],[CBB]],"**BASE**I_CCF**ENV",misc[[#This Row],[ENV]],splitchar,"CBREGS_ALL",misc[[#This Row],[CBO]],splitchar,"SPARE")</f>
        <v>*SOCKET0**CBB**BASE**I_CCF**ENV__CBREGS_ALL__SPARE</v>
      </c>
      <c r="AH175">
        <f>COUNTIFS(cha_mc[TestName],misc[[#This Row],[LLC_MCA_String - Not Used]],cha_mc[VisualId],MC_Check!$H$2)</f>
        <v>0</v>
      </c>
    </row>
    <row r="176" spans="8:34" x14ac:dyDescent="0.3">
      <c r="H176" s="61"/>
      <c r="I176" s="61"/>
      <c r="J176" s="61"/>
      <c r="K176" s="61"/>
      <c r="L176" s="61"/>
      <c r="M176" s="61" t="str">
        <f>_xlfn.TEXTJOIN("",,misc[[#This Row],[ROW]],misc[[#This Row],[ROW]])</f>
        <v/>
      </c>
      <c r="N176" s="5" t="b">
        <f>misc[[#This Row],[Core_Hitter_Count]]&gt;0</f>
        <v>0</v>
      </c>
      <c r="O176" t="b">
        <f>misc[[#This Row],[LLC_Hitter_Count]]&gt;0</f>
        <v>0</v>
      </c>
      <c r="P176" t="b">
        <f>misc[[#This Row],[CHA_Hitter_Count]]&gt;0</f>
        <v>0</v>
      </c>
      <c r="Q176" t="str">
        <f>_xlfn.TEXTJOIN("",,"*SOCKET0**CBB",misc[[#This Row],[CBB]],"**BASE**I_CCF_ENV",misc[[#This Row],[ENV]],splitchar,"CBREGS_ALL",misc[[#This Row],[CBO]],splitchar,"MC_STATUS*")</f>
        <v>*SOCKET0**CBB**BASE**I_CCF_ENV__CBREGS_ALL__MC_STATUS*</v>
      </c>
      <c r="R176">
        <f>COUNTIFS(cha_mc[TestName],misc[[#This Row],[CBO_MCA_String]],cha_mc[VisualId],MC_Check!$H$2)</f>
        <v>0</v>
      </c>
      <c r="S176" t="str">
        <f>_xlfn.TEXTJOIN("",,"*SOCKET0**CBB",misc[[#This Row],[CBB]],"**COMPUTE",misc[[#This Row],[Compute]],"**MODULE",misc[[#This Row],[Module]],splitchar,"**CORE**IFU*CR*MC0*STATUS**")</f>
        <v>*SOCKET0**CBB**COMPUTE**MODULE__**CORE**IFU*CR*MC0*STATUS**</v>
      </c>
      <c r="T176">
        <f>COUNTIFS(core_mc[TestName],misc[[#This Row],[IFU_MCA_String]],core_mc[VisualId],MC_Check!$H$2)</f>
        <v>0</v>
      </c>
      <c r="U176" t="str">
        <f>_xlfn.TEXTJOIN("",,"*SOCKET0**CBB",misc[[#This Row],[CBB]],"**COMPUTE",misc[[#This Row],[Compute]],"**MODULE",misc[[#This Row],[Module]],splitchar,"**CORE**ROB1*CR*MC*STATUS**")</f>
        <v>*SOCKET0**CBB**COMPUTE**MODULE__**CORE**ROB1*CR*MC*STATUS**</v>
      </c>
      <c r="V176">
        <f>COUNTIFS(core_mc[TestName],misc[[#This Row],[ROB_MCA_String]],core_mc[VisualId],MC_Check!$H$2)</f>
        <v>0</v>
      </c>
      <c r="W176" t="str">
        <f>_xlfn.TEXTJOIN("",,"*SOCKET0**CBB",misc[[#This Row],[CBB]],"**COMPUTE",misc[[#This Row],[Compute]],"**MODULE",misc[[#This Row],[Module]],splitchar,"**CORE**DCU*CR*MC1*STATUS**")</f>
        <v>*SOCKET0**CBB**COMPUTE**MODULE__**CORE**DCU*CR*MC1*STATUS**</v>
      </c>
      <c r="X176">
        <f>COUNTIFS(core_mc[TestName],misc[[#This Row],[DCU_MCA_String]],core_mc[VisualId],MC_Check!$H$2)</f>
        <v>0</v>
      </c>
      <c r="Y176" t="str">
        <f>_xlfn.TEXTJOIN("",,"*SOCKET0**CBB",misc[[#This Row],[CBB]],"**COMPUTE",misc[[#This Row],[Compute]],"**MODULE",misc[[#This Row],[Module]],splitchar,"**CORE**DTLB*CR*MC2*STATUS**")</f>
        <v>*SOCKET0**CBB**COMPUTE**MODULE__**CORE**DTLB*CR*MC2*STATUS**</v>
      </c>
      <c r="Z176">
        <f>COUNTIFS(core_mc[TestName],misc[[#This Row],[CORE_DTLB_String]],core_mc[VisualId],MC_Check!$H$2)</f>
        <v>0</v>
      </c>
      <c r="AA176" t="str">
        <f>_xlfn.TEXTJOIN("",,"*SOCKET0**CBB",misc[[#This Row],[CBB]],"**COMPUTE",misc[[#This Row],[Compute]],"**MODULE",misc[[#This Row],[Module]],splitchar,"**ML2*CR*MC3*STATUS**")</f>
        <v>*SOCKET0**CBB**COMPUTE**MODULE__**ML2*CR*MC3*STATUS**</v>
      </c>
      <c r="AB176">
        <f>COUNTIFS(core_mc[TestName],misc[[#This Row],[Core_ML2_String]],core_mc[VisualId],MC_Check!$H$2)</f>
        <v>0</v>
      </c>
      <c r="AC176" t="str">
        <f>_xlfn.TEXTJOIN("",,"*SOCKET0**CBB",misc[[#This Row],[CBB]],"**COMPUTE",misc[[#This Row],[Compute]],"**MODULE",misc[[#This Row],[Module]],splitchar,"SPARE")</f>
        <v>*SOCKET0**CBB**COMPUTE**MODULE__SPARE</v>
      </c>
      <c r="AD176">
        <f>COUNTIFS(core_mc[TestName],misc[[#This Row],[Core_L2_String - SPARE]],core_mc[VisualId],MC_Check!$H$2)</f>
        <v>0</v>
      </c>
      <c r="AE176">
        <f>misc[[#This Row],[Core_DTLB_Count]]+misc[[#This Row],[Core_DCU_Count]]+misc[[#This Row],[Core_IFU_Count]]+misc[[#This Row],[Core_ROB_Count]]+misc[[#This Row],[Core_L2_Count - SPARE]]+misc[[#This Row],[Core_ML2_Count]]</f>
        <v>0</v>
      </c>
      <c r="AF176" t="str">
        <f>_xlfn.TEXTJOIN(", ",,IF(misc[[#This Row],[Core_IFU_Count]]&gt;0,"IFU",""),IF(misc[[#This Row],[Core_DCU_Count]]&gt;0,"DCU",""),IF(misc[[#This Row],[Core_DTLB_Count]]&gt;0,"DTLB",""),IF(misc[[#This Row],[Core_ROB_Count]]&gt;0,"ROB",""),IF(misc[[#This Row],[Core_ML2_Count]]&gt;0,"ML2",""),IF(misc[[#This Row],[Core_L2_Count - SPARE]]&gt;0,"L2",""))</f>
        <v/>
      </c>
      <c r="AG176" t="str">
        <f>_xlfn.TEXTJOIN("",,"*SOCKET0**CBB",misc[[#This Row],[CBB]],"**BASE**I_CCF**ENV",misc[[#This Row],[ENV]],splitchar,"CBREGS_ALL",misc[[#This Row],[CBO]],splitchar,"SPARE")</f>
        <v>*SOCKET0**CBB**BASE**I_CCF**ENV__CBREGS_ALL__SPARE</v>
      </c>
      <c r="AH176">
        <f>COUNTIFS(cha_mc[TestName],misc[[#This Row],[LLC_MCA_String - Not Used]],cha_mc[VisualId],MC_Check!$H$2)</f>
        <v>0</v>
      </c>
    </row>
    <row r="177" spans="8:34" x14ac:dyDescent="0.3">
      <c r="H177" s="61"/>
      <c r="I177" s="61"/>
      <c r="J177" s="61"/>
      <c r="K177" s="61"/>
      <c r="L177" s="61"/>
      <c r="M177" s="61" t="str">
        <f>_xlfn.TEXTJOIN("",,misc[[#This Row],[ROW]],misc[[#This Row],[ROW]])</f>
        <v/>
      </c>
      <c r="N177" s="5" t="b">
        <f>misc[[#This Row],[Core_Hitter_Count]]&gt;0</f>
        <v>0</v>
      </c>
      <c r="O177" t="b">
        <f>misc[[#This Row],[LLC_Hitter_Count]]&gt;0</f>
        <v>0</v>
      </c>
      <c r="P177" t="b">
        <f>misc[[#This Row],[CHA_Hitter_Count]]&gt;0</f>
        <v>0</v>
      </c>
      <c r="Q177" t="str">
        <f>_xlfn.TEXTJOIN("",,"*SOCKET0**CBB",misc[[#This Row],[CBB]],"**BASE**I_CCF_ENV",misc[[#This Row],[ENV]],splitchar,"CBREGS_ALL",misc[[#This Row],[CBO]],splitchar,"MC_STATUS*")</f>
        <v>*SOCKET0**CBB**BASE**I_CCF_ENV__CBREGS_ALL__MC_STATUS*</v>
      </c>
      <c r="R177">
        <f>COUNTIFS(cha_mc[TestName],misc[[#This Row],[CBO_MCA_String]],cha_mc[VisualId],MC_Check!$H$2)</f>
        <v>0</v>
      </c>
      <c r="S177" t="str">
        <f>_xlfn.TEXTJOIN("",,"*SOCKET0**CBB",misc[[#This Row],[CBB]],"**COMPUTE",misc[[#This Row],[Compute]],"**MODULE",misc[[#This Row],[Module]],splitchar,"**CORE**IFU*CR*MC0*STATUS**")</f>
        <v>*SOCKET0**CBB**COMPUTE**MODULE__**CORE**IFU*CR*MC0*STATUS**</v>
      </c>
      <c r="T177">
        <f>COUNTIFS(core_mc[TestName],misc[[#This Row],[IFU_MCA_String]],core_mc[VisualId],MC_Check!$H$2)</f>
        <v>0</v>
      </c>
      <c r="U177" t="str">
        <f>_xlfn.TEXTJOIN("",,"*SOCKET0**CBB",misc[[#This Row],[CBB]],"**COMPUTE",misc[[#This Row],[Compute]],"**MODULE",misc[[#This Row],[Module]],splitchar,"**CORE**ROB1*CR*MC*STATUS**")</f>
        <v>*SOCKET0**CBB**COMPUTE**MODULE__**CORE**ROB1*CR*MC*STATUS**</v>
      </c>
      <c r="V177">
        <f>COUNTIFS(core_mc[TestName],misc[[#This Row],[ROB_MCA_String]],core_mc[VisualId],MC_Check!$H$2)</f>
        <v>0</v>
      </c>
      <c r="W177" t="str">
        <f>_xlfn.TEXTJOIN("",,"*SOCKET0**CBB",misc[[#This Row],[CBB]],"**COMPUTE",misc[[#This Row],[Compute]],"**MODULE",misc[[#This Row],[Module]],splitchar,"**CORE**DCU*CR*MC1*STATUS**")</f>
        <v>*SOCKET0**CBB**COMPUTE**MODULE__**CORE**DCU*CR*MC1*STATUS**</v>
      </c>
      <c r="X177">
        <f>COUNTIFS(core_mc[TestName],misc[[#This Row],[DCU_MCA_String]],core_mc[VisualId],MC_Check!$H$2)</f>
        <v>0</v>
      </c>
      <c r="Y177" t="str">
        <f>_xlfn.TEXTJOIN("",,"*SOCKET0**CBB",misc[[#This Row],[CBB]],"**COMPUTE",misc[[#This Row],[Compute]],"**MODULE",misc[[#This Row],[Module]],splitchar,"**CORE**DTLB*CR*MC2*STATUS**")</f>
        <v>*SOCKET0**CBB**COMPUTE**MODULE__**CORE**DTLB*CR*MC2*STATUS**</v>
      </c>
      <c r="Z177">
        <f>COUNTIFS(core_mc[TestName],misc[[#This Row],[CORE_DTLB_String]],core_mc[VisualId],MC_Check!$H$2)</f>
        <v>0</v>
      </c>
      <c r="AA177" t="str">
        <f>_xlfn.TEXTJOIN("",,"*SOCKET0**CBB",misc[[#This Row],[CBB]],"**COMPUTE",misc[[#This Row],[Compute]],"**MODULE",misc[[#This Row],[Module]],splitchar,"**ML2*CR*MC3*STATUS**")</f>
        <v>*SOCKET0**CBB**COMPUTE**MODULE__**ML2*CR*MC3*STATUS**</v>
      </c>
      <c r="AB177">
        <f>COUNTIFS(core_mc[TestName],misc[[#This Row],[Core_ML2_String]],core_mc[VisualId],MC_Check!$H$2)</f>
        <v>0</v>
      </c>
      <c r="AC177" t="str">
        <f>_xlfn.TEXTJOIN("",,"*SOCKET0**CBB",misc[[#This Row],[CBB]],"**COMPUTE",misc[[#This Row],[Compute]],"**MODULE",misc[[#This Row],[Module]],splitchar,"SPARE")</f>
        <v>*SOCKET0**CBB**COMPUTE**MODULE__SPARE</v>
      </c>
      <c r="AD177">
        <f>COUNTIFS(core_mc[TestName],misc[[#This Row],[Core_L2_String - SPARE]],core_mc[VisualId],MC_Check!$H$2)</f>
        <v>0</v>
      </c>
      <c r="AE177">
        <f>misc[[#This Row],[Core_DTLB_Count]]+misc[[#This Row],[Core_DCU_Count]]+misc[[#This Row],[Core_IFU_Count]]+misc[[#This Row],[Core_ROB_Count]]+misc[[#This Row],[Core_L2_Count - SPARE]]+misc[[#This Row],[Core_ML2_Count]]</f>
        <v>0</v>
      </c>
      <c r="AF177" t="str">
        <f>_xlfn.TEXTJOIN(", ",,IF(misc[[#This Row],[Core_IFU_Count]]&gt;0,"IFU",""),IF(misc[[#This Row],[Core_DCU_Count]]&gt;0,"DCU",""),IF(misc[[#This Row],[Core_DTLB_Count]]&gt;0,"DTLB",""),IF(misc[[#This Row],[Core_ROB_Count]]&gt;0,"ROB",""),IF(misc[[#This Row],[Core_ML2_Count]]&gt;0,"ML2",""),IF(misc[[#This Row],[Core_L2_Count - SPARE]]&gt;0,"L2",""))</f>
        <v/>
      </c>
      <c r="AG177" t="str">
        <f>_xlfn.TEXTJOIN("",,"*SOCKET0**CBB",misc[[#This Row],[CBB]],"**BASE**I_CCF**ENV",misc[[#This Row],[ENV]],splitchar,"CBREGS_ALL",misc[[#This Row],[CBO]],splitchar,"SPARE")</f>
        <v>*SOCKET0**CBB**BASE**I_CCF**ENV__CBREGS_ALL__SPARE</v>
      </c>
      <c r="AH177">
        <f>COUNTIFS(cha_mc[TestName],misc[[#This Row],[LLC_MCA_String - Not Used]],cha_mc[VisualId],MC_Check!$H$2)</f>
        <v>0</v>
      </c>
    </row>
    <row r="178" spans="8:34" x14ac:dyDescent="0.3">
      <c r="H178" s="61"/>
      <c r="I178" s="61"/>
      <c r="M178" s="61" t="str">
        <f>_xlfn.TEXTJOIN("",,misc[[#This Row],[ROW]],misc[[#This Row],[ROW]])</f>
        <v/>
      </c>
      <c r="N178" s="5" t="b">
        <f>misc[[#This Row],[Core_Hitter_Count]]&gt;0</f>
        <v>0</v>
      </c>
      <c r="O178" t="b">
        <f>misc[[#This Row],[LLC_Hitter_Count]]&gt;0</f>
        <v>0</v>
      </c>
      <c r="P178" t="b">
        <f>misc[[#This Row],[CHA_Hitter_Count]]&gt;0</f>
        <v>0</v>
      </c>
      <c r="Q178" t="str">
        <f>_xlfn.TEXTJOIN("",,"*SOCKET0**CBB",misc[[#This Row],[CBB]],"**BASE**I_CCF_ENV",misc[[#This Row],[ENV]],splitchar,"CBREGS_ALL",misc[[#This Row],[CBO]],splitchar,"MC_STATUS*")</f>
        <v>*SOCKET0**CBB**BASE**I_CCF_ENV__CBREGS_ALL__MC_STATUS*</v>
      </c>
      <c r="R178">
        <f>COUNTIFS(cha_mc[TestName],misc[[#This Row],[CBO_MCA_String]],cha_mc[VisualId],MC_Check!$H$2)</f>
        <v>0</v>
      </c>
      <c r="S178" t="str">
        <f>_xlfn.TEXTJOIN("",,"*SOCKET0**CBB",misc[[#This Row],[CBB]],"**COMPUTE",misc[[#This Row],[Compute]],"**MODULE",misc[[#This Row],[Module]],splitchar,"**CORE**IFU*CR*MC0*STATUS**")</f>
        <v>*SOCKET0**CBB**COMPUTE**MODULE__**CORE**IFU*CR*MC0*STATUS**</v>
      </c>
      <c r="T178">
        <f>COUNTIFS(core_mc[TestName],misc[[#This Row],[IFU_MCA_String]],core_mc[VisualId],MC_Check!$H$2)</f>
        <v>0</v>
      </c>
      <c r="U178" t="str">
        <f>_xlfn.TEXTJOIN("",,"*SOCKET0**CBB",misc[[#This Row],[CBB]],"**COMPUTE",misc[[#This Row],[Compute]],"**MODULE",misc[[#This Row],[Module]],splitchar,"**CORE**ROB1*CR*MC*STATUS**")</f>
        <v>*SOCKET0**CBB**COMPUTE**MODULE__**CORE**ROB1*CR*MC*STATUS**</v>
      </c>
      <c r="V178">
        <f>COUNTIFS(core_mc[TestName],misc[[#This Row],[ROB_MCA_String]],core_mc[VisualId],MC_Check!$H$2)</f>
        <v>0</v>
      </c>
      <c r="W178" t="str">
        <f>_xlfn.TEXTJOIN("",,"*SOCKET0**CBB",misc[[#This Row],[CBB]],"**COMPUTE",misc[[#This Row],[Compute]],"**MODULE",misc[[#This Row],[Module]],splitchar,"**CORE**DCU*CR*MC1*STATUS**")</f>
        <v>*SOCKET0**CBB**COMPUTE**MODULE__**CORE**DCU*CR*MC1*STATUS**</v>
      </c>
      <c r="X178">
        <f>COUNTIFS(core_mc[TestName],misc[[#This Row],[DCU_MCA_String]],core_mc[VisualId],MC_Check!$H$2)</f>
        <v>0</v>
      </c>
      <c r="Y178" t="str">
        <f>_xlfn.TEXTJOIN("",,"*SOCKET0**CBB",misc[[#This Row],[CBB]],"**COMPUTE",misc[[#This Row],[Compute]],"**MODULE",misc[[#This Row],[Module]],splitchar,"**CORE**DTLB*CR*MC2*STATUS**")</f>
        <v>*SOCKET0**CBB**COMPUTE**MODULE__**CORE**DTLB*CR*MC2*STATUS**</v>
      </c>
      <c r="Z178">
        <f>COUNTIFS(core_mc[TestName],misc[[#This Row],[CORE_DTLB_String]],core_mc[VisualId],MC_Check!$H$2)</f>
        <v>0</v>
      </c>
      <c r="AA178" t="str">
        <f>_xlfn.TEXTJOIN("",,"*SOCKET0**CBB",misc[[#This Row],[CBB]],"**COMPUTE",misc[[#This Row],[Compute]],"**MODULE",misc[[#This Row],[Module]],splitchar,"**ML2*CR*MC3*STATUS**")</f>
        <v>*SOCKET0**CBB**COMPUTE**MODULE__**ML2*CR*MC3*STATUS**</v>
      </c>
      <c r="AB178">
        <f>COUNTIFS(core_mc[TestName],misc[[#This Row],[Core_ML2_String]],core_mc[VisualId],MC_Check!$H$2)</f>
        <v>0</v>
      </c>
      <c r="AC178" t="str">
        <f>_xlfn.TEXTJOIN("",,"*SOCKET0**CBB",misc[[#This Row],[CBB]],"**COMPUTE",misc[[#This Row],[Compute]],"**MODULE",misc[[#This Row],[Module]],splitchar,"SPARE")</f>
        <v>*SOCKET0**CBB**COMPUTE**MODULE__SPARE</v>
      </c>
      <c r="AD178">
        <f>COUNTIFS(core_mc[TestName],misc[[#This Row],[Core_L2_String - SPARE]],core_mc[VisualId],MC_Check!$H$2)</f>
        <v>0</v>
      </c>
      <c r="AE178">
        <f>misc[[#This Row],[Core_DTLB_Count]]+misc[[#This Row],[Core_DCU_Count]]+misc[[#This Row],[Core_IFU_Count]]+misc[[#This Row],[Core_ROB_Count]]+misc[[#This Row],[Core_L2_Count - SPARE]]+misc[[#This Row],[Core_ML2_Count]]</f>
        <v>0</v>
      </c>
      <c r="AF178" t="str">
        <f>_xlfn.TEXTJOIN(", ",,IF(misc[[#This Row],[Core_IFU_Count]]&gt;0,"IFU",""),IF(misc[[#This Row],[Core_DCU_Count]]&gt;0,"DCU",""),IF(misc[[#This Row],[Core_DTLB_Count]]&gt;0,"DTLB",""),IF(misc[[#This Row],[Core_ROB_Count]]&gt;0,"ROB",""),IF(misc[[#This Row],[Core_ML2_Count]]&gt;0,"ML2",""),IF(misc[[#This Row],[Core_L2_Count - SPARE]]&gt;0,"L2",""))</f>
        <v/>
      </c>
      <c r="AG178" t="str">
        <f>_xlfn.TEXTJOIN("",,"*SOCKET0**CBB",misc[[#This Row],[CBB]],"**BASE**I_CCF**ENV",misc[[#This Row],[ENV]],splitchar,"CBREGS_ALL",misc[[#This Row],[CBO]],splitchar,"SPARE")</f>
        <v>*SOCKET0**CBB**BASE**I_CCF**ENV__CBREGS_ALL__SPARE</v>
      </c>
      <c r="AH178">
        <f>COUNTIFS(cha_mc[TestName],misc[[#This Row],[LLC_MCA_String - Not Used]],cha_mc[VisualId],MC_Check!$H$2)</f>
        <v>0</v>
      </c>
    </row>
    <row r="179" spans="8:34" x14ac:dyDescent="0.3">
      <c r="H179" s="61"/>
      <c r="I179" s="61"/>
      <c r="M179" s="61" t="str">
        <f>_xlfn.TEXTJOIN("",,misc[[#This Row],[ROW]],misc[[#This Row],[ROW]])</f>
        <v/>
      </c>
      <c r="N179" s="5" t="b">
        <f>misc[[#This Row],[Core_Hitter_Count]]&gt;0</f>
        <v>0</v>
      </c>
      <c r="O179" t="b">
        <f>misc[[#This Row],[LLC_Hitter_Count]]&gt;0</f>
        <v>0</v>
      </c>
      <c r="P179" t="b">
        <f>misc[[#This Row],[CHA_Hitter_Count]]&gt;0</f>
        <v>0</v>
      </c>
      <c r="Q179" t="str">
        <f>_xlfn.TEXTJOIN("",,"*SOCKET0**CBB",misc[[#This Row],[CBB]],"**BASE**I_CCF_ENV",misc[[#This Row],[ENV]],splitchar,"CBREGS_ALL",misc[[#This Row],[CBO]],splitchar,"MC_STATUS*")</f>
        <v>*SOCKET0**CBB**BASE**I_CCF_ENV__CBREGS_ALL__MC_STATUS*</v>
      </c>
      <c r="R179">
        <f>COUNTIFS(cha_mc[TestName],misc[[#This Row],[CBO_MCA_String]],cha_mc[VisualId],MC_Check!$H$2)</f>
        <v>0</v>
      </c>
      <c r="S179" t="str">
        <f>_xlfn.TEXTJOIN("",,"*SOCKET0**CBB",misc[[#This Row],[CBB]],"**COMPUTE",misc[[#This Row],[Compute]],"**MODULE",misc[[#This Row],[Module]],splitchar,"**CORE**IFU*CR*MC0*STATUS**")</f>
        <v>*SOCKET0**CBB**COMPUTE**MODULE__**CORE**IFU*CR*MC0*STATUS**</v>
      </c>
      <c r="T179">
        <f>COUNTIFS(core_mc[TestName],misc[[#This Row],[IFU_MCA_String]],core_mc[VisualId],MC_Check!$H$2)</f>
        <v>0</v>
      </c>
      <c r="U179" t="str">
        <f>_xlfn.TEXTJOIN("",,"*SOCKET0**CBB",misc[[#This Row],[CBB]],"**COMPUTE",misc[[#This Row],[Compute]],"**MODULE",misc[[#This Row],[Module]],splitchar,"**CORE**ROB1*CR*MC*STATUS**")</f>
        <v>*SOCKET0**CBB**COMPUTE**MODULE__**CORE**ROB1*CR*MC*STATUS**</v>
      </c>
      <c r="V179">
        <f>COUNTIFS(core_mc[TestName],misc[[#This Row],[ROB_MCA_String]],core_mc[VisualId],MC_Check!$H$2)</f>
        <v>0</v>
      </c>
      <c r="W179" t="str">
        <f>_xlfn.TEXTJOIN("",,"*SOCKET0**CBB",misc[[#This Row],[CBB]],"**COMPUTE",misc[[#This Row],[Compute]],"**MODULE",misc[[#This Row],[Module]],splitchar,"**CORE**DCU*CR*MC1*STATUS**")</f>
        <v>*SOCKET0**CBB**COMPUTE**MODULE__**CORE**DCU*CR*MC1*STATUS**</v>
      </c>
      <c r="X179">
        <f>COUNTIFS(core_mc[TestName],misc[[#This Row],[DCU_MCA_String]],core_mc[VisualId],MC_Check!$H$2)</f>
        <v>0</v>
      </c>
      <c r="Y179" t="str">
        <f>_xlfn.TEXTJOIN("",,"*SOCKET0**CBB",misc[[#This Row],[CBB]],"**COMPUTE",misc[[#This Row],[Compute]],"**MODULE",misc[[#This Row],[Module]],splitchar,"**CORE**DTLB*CR*MC2*STATUS**")</f>
        <v>*SOCKET0**CBB**COMPUTE**MODULE__**CORE**DTLB*CR*MC2*STATUS**</v>
      </c>
      <c r="Z179">
        <f>COUNTIFS(core_mc[TestName],misc[[#This Row],[CORE_DTLB_String]],core_mc[VisualId],MC_Check!$H$2)</f>
        <v>0</v>
      </c>
      <c r="AA179" t="str">
        <f>_xlfn.TEXTJOIN("",,"*SOCKET0**CBB",misc[[#This Row],[CBB]],"**COMPUTE",misc[[#This Row],[Compute]],"**MODULE",misc[[#This Row],[Module]],splitchar,"**ML2*CR*MC3*STATUS**")</f>
        <v>*SOCKET0**CBB**COMPUTE**MODULE__**ML2*CR*MC3*STATUS**</v>
      </c>
      <c r="AB179">
        <f>COUNTIFS(core_mc[TestName],misc[[#This Row],[Core_ML2_String]],core_mc[VisualId],MC_Check!$H$2)</f>
        <v>0</v>
      </c>
      <c r="AC179" t="str">
        <f>_xlfn.TEXTJOIN("",,"*SOCKET0**CBB",misc[[#This Row],[CBB]],"**COMPUTE",misc[[#This Row],[Compute]],"**MODULE",misc[[#This Row],[Module]],splitchar,"SPARE")</f>
        <v>*SOCKET0**CBB**COMPUTE**MODULE__SPARE</v>
      </c>
      <c r="AD179">
        <f>COUNTIFS(core_mc[TestName],misc[[#This Row],[Core_L2_String - SPARE]],core_mc[VisualId],MC_Check!$H$2)</f>
        <v>0</v>
      </c>
      <c r="AE179">
        <f>misc[[#This Row],[Core_DTLB_Count]]+misc[[#This Row],[Core_DCU_Count]]+misc[[#This Row],[Core_IFU_Count]]+misc[[#This Row],[Core_ROB_Count]]+misc[[#This Row],[Core_L2_Count - SPARE]]+misc[[#This Row],[Core_ML2_Count]]</f>
        <v>0</v>
      </c>
      <c r="AF179" t="str">
        <f>_xlfn.TEXTJOIN(", ",,IF(misc[[#This Row],[Core_IFU_Count]]&gt;0,"IFU",""),IF(misc[[#This Row],[Core_DCU_Count]]&gt;0,"DCU",""),IF(misc[[#This Row],[Core_DTLB_Count]]&gt;0,"DTLB",""),IF(misc[[#This Row],[Core_ROB_Count]]&gt;0,"ROB",""),IF(misc[[#This Row],[Core_ML2_Count]]&gt;0,"ML2",""),IF(misc[[#This Row],[Core_L2_Count - SPARE]]&gt;0,"L2",""))</f>
        <v/>
      </c>
      <c r="AG179" t="str">
        <f>_xlfn.TEXTJOIN("",,"*SOCKET0**CBB",misc[[#This Row],[CBB]],"**BASE**I_CCF**ENV",misc[[#This Row],[ENV]],splitchar,"CBREGS_ALL",misc[[#This Row],[CBO]],splitchar,"SPARE")</f>
        <v>*SOCKET0**CBB**BASE**I_CCF**ENV__CBREGS_ALL__SPARE</v>
      </c>
      <c r="AH179">
        <f>COUNTIFS(cha_mc[TestName],misc[[#This Row],[LLC_MCA_String - Not Used]],cha_mc[VisualId],MC_Check!$H$2)</f>
        <v>0</v>
      </c>
    </row>
    <row r="180" spans="8:34" x14ac:dyDescent="0.3">
      <c r="H180" s="61"/>
      <c r="I180" s="61"/>
      <c r="M180" s="61" t="str">
        <f>_xlfn.TEXTJOIN("",,misc[[#This Row],[ROW]],misc[[#This Row],[ROW]])</f>
        <v/>
      </c>
      <c r="N180" s="5" t="b">
        <f>misc[[#This Row],[Core_Hitter_Count]]&gt;0</f>
        <v>0</v>
      </c>
      <c r="O180" t="b">
        <f>misc[[#This Row],[LLC_Hitter_Count]]&gt;0</f>
        <v>0</v>
      </c>
      <c r="P180" t="b">
        <f>misc[[#This Row],[CHA_Hitter_Count]]&gt;0</f>
        <v>0</v>
      </c>
      <c r="Q180" t="str">
        <f>_xlfn.TEXTJOIN("",,"*SOCKET0**CBB",misc[[#This Row],[CBB]],"**BASE**I_CCF_ENV",misc[[#This Row],[ENV]],splitchar,"CBREGS_ALL",misc[[#This Row],[CBO]],splitchar,"MC_STATUS*")</f>
        <v>*SOCKET0**CBB**BASE**I_CCF_ENV__CBREGS_ALL__MC_STATUS*</v>
      </c>
      <c r="R180">
        <f>COUNTIFS(cha_mc[TestName],misc[[#This Row],[CBO_MCA_String]],cha_mc[VisualId],MC_Check!$H$2)</f>
        <v>0</v>
      </c>
      <c r="S180" t="str">
        <f>_xlfn.TEXTJOIN("",,"*SOCKET0**CBB",misc[[#This Row],[CBB]],"**COMPUTE",misc[[#This Row],[Compute]],"**MODULE",misc[[#This Row],[Module]],splitchar,"**CORE**IFU*CR*MC0*STATUS**")</f>
        <v>*SOCKET0**CBB**COMPUTE**MODULE__**CORE**IFU*CR*MC0*STATUS**</v>
      </c>
      <c r="T180">
        <f>COUNTIFS(core_mc[TestName],misc[[#This Row],[IFU_MCA_String]],core_mc[VisualId],MC_Check!$H$2)</f>
        <v>0</v>
      </c>
      <c r="U180" t="str">
        <f>_xlfn.TEXTJOIN("",,"*SOCKET0**CBB",misc[[#This Row],[CBB]],"**COMPUTE",misc[[#This Row],[Compute]],"**MODULE",misc[[#This Row],[Module]],splitchar,"**CORE**ROB1*CR*MC*STATUS**")</f>
        <v>*SOCKET0**CBB**COMPUTE**MODULE__**CORE**ROB1*CR*MC*STATUS**</v>
      </c>
      <c r="V180">
        <f>COUNTIFS(core_mc[TestName],misc[[#This Row],[ROB_MCA_String]],core_mc[VisualId],MC_Check!$H$2)</f>
        <v>0</v>
      </c>
      <c r="W180" t="str">
        <f>_xlfn.TEXTJOIN("",,"*SOCKET0**CBB",misc[[#This Row],[CBB]],"**COMPUTE",misc[[#This Row],[Compute]],"**MODULE",misc[[#This Row],[Module]],splitchar,"**CORE**DCU*CR*MC1*STATUS**")</f>
        <v>*SOCKET0**CBB**COMPUTE**MODULE__**CORE**DCU*CR*MC1*STATUS**</v>
      </c>
      <c r="X180">
        <f>COUNTIFS(core_mc[TestName],misc[[#This Row],[DCU_MCA_String]],core_mc[VisualId],MC_Check!$H$2)</f>
        <v>0</v>
      </c>
      <c r="Y180" t="str">
        <f>_xlfn.TEXTJOIN("",,"*SOCKET0**CBB",misc[[#This Row],[CBB]],"**COMPUTE",misc[[#This Row],[Compute]],"**MODULE",misc[[#This Row],[Module]],splitchar,"**CORE**DTLB*CR*MC2*STATUS**")</f>
        <v>*SOCKET0**CBB**COMPUTE**MODULE__**CORE**DTLB*CR*MC2*STATUS**</v>
      </c>
      <c r="Z180">
        <f>COUNTIFS(core_mc[TestName],misc[[#This Row],[CORE_DTLB_String]],core_mc[VisualId],MC_Check!$H$2)</f>
        <v>0</v>
      </c>
      <c r="AA180" t="str">
        <f>_xlfn.TEXTJOIN("",,"*SOCKET0**CBB",misc[[#This Row],[CBB]],"**COMPUTE",misc[[#This Row],[Compute]],"**MODULE",misc[[#This Row],[Module]],splitchar,"**ML2*CR*MC3*STATUS**")</f>
        <v>*SOCKET0**CBB**COMPUTE**MODULE__**ML2*CR*MC3*STATUS**</v>
      </c>
      <c r="AB180">
        <f>COUNTIFS(core_mc[TestName],misc[[#This Row],[Core_ML2_String]],core_mc[VisualId],MC_Check!$H$2)</f>
        <v>0</v>
      </c>
      <c r="AC180" t="str">
        <f>_xlfn.TEXTJOIN("",,"*SOCKET0**CBB",misc[[#This Row],[CBB]],"**COMPUTE",misc[[#This Row],[Compute]],"**MODULE",misc[[#This Row],[Module]],splitchar,"SPARE")</f>
        <v>*SOCKET0**CBB**COMPUTE**MODULE__SPARE</v>
      </c>
      <c r="AD180">
        <f>COUNTIFS(core_mc[TestName],misc[[#This Row],[Core_L2_String - SPARE]],core_mc[VisualId],MC_Check!$H$2)</f>
        <v>0</v>
      </c>
      <c r="AE180">
        <f>misc[[#This Row],[Core_DTLB_Count]]+misc[[#This Row],[Core_DCU_Count]]+misc[[#This Row],[Core_IFU_Count]]+misc[[#This Row],[Core_ROB_Count]]+misc[[#This Row],[Core_L2_Count - SPARE]]+misc[[#This Row],[Core_ML2_Count]]</f>
        <v>0</v>
      </c>
      <c r="AF180" t="str">
        <f>_xlfn.TEXTJOIN(", ",,IF(misc[[#This Row],[Core_IFU_Count]]&gt;0,"IFU",""),IF(misc[[#This Row],[Core_DCU_Count]]&gt;0,"DCU",""),IF(misc[[#This Row],[Core_DTLB_Count]]&gt;0,"DTLB",""),IF(misc[[#This Row],[Core_ROB_Count]]&gt;0,"ROB",""),IF(misc[[#This Row],[Core_ML2_Count]]&gt;0,"ML2",""),IF(misc[[#This Row],[Core_L2_Count - SPARE]]&gt;0,"L2",""))</f>
        <v/>
      </c>
      <c r="AG180" t="str">
        <f>_xlfn.TEXTJOIN("",,"*SOCKET0**CBB",misc[[#This Row],[CBB]],"**BASE**I_CCF**ENV",misc[[#This Row],[ENV]],splitchar,"CBREGS_ALL",misc[[#This Row],[CBO]],splitchar,"SPARE")</f>
        <v>*SOCKET0**CBB**BASE**I_CCF**ENV__CBREGS_ALL__SPARE</v>
      </c>
      <c r="AH180">
        <f>COUNTIFS(cha_mc[TestName],misc[[#This Row],[LLC_MCA_String - Not Used]],cha_mc[VisualId],MC_Check!$H$2)</f>
        <v>0</v>
      </c>
    </row>
    <row r="181" spans="8:34" x14ac:dyDescent="0.3">
      <c r="H181" s="61"/>
      <c r="I181" s="61"/>
      <c r="J181" s="61"/>
      <c r="K181" s="61"/>
      <c r="L181" s="61"/>
      <c r="M181" s="61" t="str">
        <f>_xlfn.TEXTJOIN("",,misc[[#This Row],[ROW]],misc[[#This Row],[ROW]])</f>
        <v/>
      </c>
      <c r="N181" s="5" t="b">
        <f>misc[[#This Row],[Core_Hitter_Count]]&gt;0</f>
        <v>0</v>
      </c>
      <c r="O181" t="b">
        <f>misc[[#This Row],[LLC_Hitter_Count]]&gt;0</f>
        <v>0</v>
      </c>
      <c r="P181" t="b">
        <f>misc[[#This Row],[CHA_Hitter_Count]]&gt;0</f>
        <v>0</v>
      </c>
      <c r="Q181" t="str">
        <f>_xlfn.TEXTJOIN("",,"*SOCKET0**CBB",misc[[#This Row],[CBB]],"**BASE**I_CCF_ENV",misc[[#This Row],[ENV]],splitchar,"CBREGS_ALL",misc[[#This Row],[CBO]],splitchar,"MC_STATUS*")</f>
        <v>*SOCKET0**CBB**BASE**I_CCF_ENV__CBREGS_ALL__MC_STATUS*</v>
      </c>
      <c r="R181">
        <f>COUNTIFS(cha_mc[TestName],misc[[#This Row],[CBO_MCA_String]],cha_mc[VisualId],MC_Check!$H$2)</f>
        <v>0</v>
      </c>
      <c r="S181" t="str">
        <f>_xlfn.TEXTJOIN("",,"*SOCKET0**CBB",misc[[#This Row],[CBB]],"**COMPUTE",misc[[#This Row],[Compute]],"**MODULE",misc[[#This Row],[Module]],splitchar,"**CORE**IFU*CR*MC0*STATUS**")</f>
        <v>*SOCKET0**CBB**COMPUTE**MODULE__**CORE**IFU*CR*MC0*STATUS**</v>
      </c>
      <c r="T181">
        <f>COUNTIFS(core_mc[TestName],misc[[#This Row],[IFU_MCA_String]],core_mc[VisualId],MC_Check!$H$2)</f>
        <v>0</v>
      </c>
      <c r="U181" t="str">
        <f>_xlfn.TEXTJOIN("",,"*SOCKET0**CBB",misc[[#This Row],[CBB]],"**COMPUTE",misc[[#This Row],[Compute]],"**MODULE",misc[[#This Row],[Module]],splitchar,"**CORE**ROB1*CR*MC*STATUS**")</f>
        <v>*SOCKET0**CBB**COMPUTE**MODULE__**CORE**ROB1*CR*MC*STATUS**</v>
      </c>
      <c r="V181">
        <f>COUNTIFS(core_mc[TestName],misc[[#This Row],[ROB_MCA_String]],core_mc[VisualId],MC_Check!$H$2)</f>
        <v>0</v>
      </c>
      <c r="W181" t="str">
        <f>_xlfn.TEXTJOIN("",,"*SOCKET0**CBB",misc[[#This Row],[CBB]],"**COMPUTE",misc[[#This Row],[Compute]],"**MODULE",misc[[#This Row],[Module]],splitchar,"**CORE**DCU*CR*MC1*STATUS**")</f>
        <v>*SOCKET0**CBB**COMPUTE**MODULE__**CORE**DCU*CR*MC1*STATUS**</v>
      </c>
      <c r="X181">
        <f>COUNTIFS(core_mc[TestName],misc[[#This Row],[DCU_MCA_String]],core_mc[VisualId],MC_Check!$H$2)</f>
        <v>0</v>
      </c>
      <c r="Y181" t="str">
        <f>_xlfn.TEXTJOIN("",,"*SOCKET0**CBB",misc[[#This Row],[CBB]],"**COMPUTE",misc[[#This Row],[Compute]],"**MODULE",misc[[#This Row],[Module]],splitchar,"**CORE**DTLB*CR*MC2*STATUS**")</f>
        <v>*SOCKET0**CBB**COMPUTE**MODULE__**CORE**DTLB*CR*MC2*STATUS**</v>
      </c>
      <c r="Z181">
        <f>COUNTIFS(core_mc[TestName],misc[[#This Row],[CORE_DTLB_String]],core_mc[VisualId],MC_Check!$H$2)</f>
        <v>0</v>
      </c>
      <c r="AA181" t="str">
        <f>_xlfn.TEXTJOIN("",,"*SOCKET0**CBB",misc[[#This Row],[CBB]],"**COMPUTE",misc[[#This Row],[Compute]],"**MODULE",misc[[#This Row],[Module]],splitchar,"**ML2*CR*MC3*STATUS**")</f>
        <v>*SOCKET0**CBB**COMPUTE**MODULE__**ML2*CR*MC3*STATUS**</v>
      </c>
      <c r="AB181">
        <f>COUNTIFS(core_mc[TestName],misc[[#This Row],[Core_ML2_String]],core_mc[VisualId],MC_Check!$H$2)</f>
        <v>0</v>
      </c>
      <c r="AC181" t="str">
        <f>_xlfn.TEXTJOIN("",,"*SOCKET0**CBB",misc[[#This Row],[CBB]],"**COMPUTE",misc[[#This Row],[Compute]],"**MODULE",misc[[#This Row],[Module]],splitchar,"SPARE")</f>
        <v>*SOCKET0**CBB**COMPUTE**MODULE__SPARE</v>
      </c>
      <c r="AD181">
        <f>COUNTIFS(core_mc[TestName],misc[[#This Row],[Core_L2_String - SPARE]],core_mc[VisualId],MC_Check!$H$2)</f>
        <v>0</v>
      </c>
      <c r="AE181">
        <f>misc[[#This Row],[Core_DTLB_Count]]+misc[[#This Row],[Core_DCU_Count]]+misc[[#This Row],[Core_IFU_Count]]+misc[[#This Row],[Core_ROB_Count]]+misc[[#This Row],[Core_L2_Count - SPARE]]+misc[[#This Row],[Core_ML2_Count]]</f>
        <v>0</v>
      </c>
      <c r="AF181" t="str">
        <f>_xlfn.TEXTJOIN(", ",,IF(misc[[#This Row],[Core_IFU_Count]]&gt;0,"IFU",""),IF(misc[[#This Row],[Core_DCU_Count]]&gt;0,"DCU",""),IF(misc[[#This Row],[Core_DTLB_Count]]&gt;0,"DTLB",""),IF(misc[[#This Row],[Core_ROB_Count]]&gt;0,"ROB",""),IF(misc[[#This Row],[Core_ML2_Count]]&gt;0,"ML2",""),IF(misc[[#This Row],[Core_L2_Count - SPARE]]&gt;0,"L2",""))</f>
        <v/>
      </c>
      <c r="AG181" t="str">
        <f>_xlfn.TEXTJOIN("",,"*SOCKET0**CBB",misc[[#This Row],[CBB]],"**BASE**I_CCF**ENV",misc[[#This Row],[ENV]],splitchar,"CBREGS_ALL",misc[[#This Row],[CBO]],splitchar,"SPARE")</f>
        <v>*SOCKET0**CBB**BASE**I_CCF**ENV__CBREGS_ALL__SPARE</v>
      </c>
      <c r="AH181">
        <f>COUNTIFS(cha_mc[TestName],misc[[#This Row],[LLC_MCA_String - Not Used]],cha_mc[VisualId],MC_Check!$H$2)</f>
        <v>0</v>
      </c>
    </row>
    <row r="182" spans="8:34" x14ac:dyDescent="0.3">
      <c r="H182" s="61"/>
      <c r="I182" s="61"/>
      <c r="J182" s="61"/>
      <c r="K182" s="61"/>
      <c r="L182" s="61"/>
      <c r="M182" s="61" t="str">
        <f>_xlfn.TEXTJOIN("",,misc[[#This Row],[ROW]],misc[[#This Row],[ROW]])</f>
        <v/>
      </c>
      <c r="N182" s="5" t="b">
        <f>misc[[#This Row],[Core_Hitter_Count]]&gt;0</f>
        <v>0</v>
      </c>
      <c r="O182" t="b">
        <f>misc[[#This Row],[LLC_Hitter_Count]]&gt;0</f>
        <v>0</v>
      </c>
      <c r="P182" t="b">
        <f>misc[[#This Row],[CHA_Hitter_Count]]&gt;0</f>
        <v>0</v>
      </c>
      <c r="Q182" t="str">
        <f>_xlfn.TEXTJOIN("",,"*SOCKET0**CBB",misc[[#This Row],[CBB]],"**BASE**I_CCF_ENV",misc[[#This Row],[ENV]],splitchar,"CBREGS_ALL",misc[[#This Row],[CBO]],splitchar,"MC_STATUS*")</f>
        <v>*SOCKET0**CBB**BASE**I_CCF_ENV__CBREGS_ALL__MC_STATUS*</v>
      </c>
      <c r="R182">
        <f>COUNTIFS(cha_mc[TestName],misc[[#This Row],[CBO_MCA_String]],cha_mc[VisualId],MC_Check!$H$2)</f>
        <v>0</v>
      </c>
      <c r="S182" t="str">
        <f>_xlfn.TEXTJOIN("",,"*SOCKET0**CBB",misc[[#This Row],[CBB]],"**COMPUTE",misc[[#This Row],[Compute]],"**MODULE",misc[[#This Row],[Module]],splitchar,"**CORE**IFU*CR*MC0*STATUS**")</f>
        <v>*SOCKET0**CBB**COMPUTE**MODULE__**CORE**IFU*CR*MC0*STATUS**</v>
      </c>
      <c r="T182">
        <f>COUNTIFS(core_mc[TestName],misc[[#This Row],[IFU_MCA_String]],core_mc[VisualId],MC_Check!$H$2)</f>
        <v>0</v>
      </c>
      <c r="U182" t="str">
        <f>_xlfn.TEXTJOIN("",,"*SOCKET0**CBB",misc[[#This Row],[CBB]],"**COMPUTE",misc[[#This Row],[Compute]],"**MODULE",misc[[#This Row],[Module]],splitchar,"**CORE**ROB1*CR*MC*STATUS**")</f>
        <v>*SOCKET0**CBB**COMPUTE**MODULE__**CORE**ROB1*CR*MC*STATUS**</v>
      </c>
      <c r="V182">
        <f>COUNTIFS(core_mc[TestName],misc[[#This Row],[ROB_MCA_String]],core_mc[VisualId],MC_Check!$H$2)</f>
        <v>0</v>
      </c>
      <c r="W182" t="str">
        <f>_xlfn.TEXTJOIN("",,"*SOCKET0**CBB",misc[[#This Row],[CBB]],"**COMPUTE",misc[[#This Row],[Compute]],"**MODULE",misc[[#This Row],[Module]],splitchar,"**CORE**DCU*CR*MC1*STATUS**")</f>
        <v>*SOCKET0**CBB**COMPUTE**MODULE__**CORE**DCU*CR*MC1*STATUS**</v>
      </c>
      <c r="X182">
        <f>COUNTIFS(core_mc[TestName],misc[[#This Row],[DCU_MCA_String]],core_mc[VisualId],MC_Check!$H$2)</f>
        <v>0</v>
      </c>
      <c r="Y182" t="str">
        <f>_xlfn.TEXTJOIN("",,"*SOCKET0**CBB",misc[[#This Row],[CBB]],"**COMPUTE",misc[[#This Row],[Compute]],"**MODULE",misc[[#This Row],[Module]],splitchar,"**CORE**DTLB*CR*MC2*STATUS**")</f>
        <v>*SOCKET0**CBB**COMPUTE**MODULE__**CORE**DTLB*CR*MC2*STATUS**</v>
      </c>
      <c r="Z182">
        <f>COUNTIFS(core_mc[TestName],misc[[#This Row],[CORE_DTLB_String]],core_mc[VisualId],MC_Check!$H$2)</f>
        <v>0</v>
      </c>
      <c r="AA182" t="str">
        <f>_xlfn.TEXTJOIN("",,"*SOCKET0**CBB",misc[[#This Row],[CBB]],"**COMPUTE",misc[[#This Row],[Compute]],"**MODULE",misc[[#This Row],[Module]],splitchar,"**ML2*CR*MC3*STATUS**")</f>
        <v>*SOCKET0**CBB**COMPUTE**MODULE__**ML2*CR*MC3*STATUS**</v>
      </c>
      <c r="AB182">
        <f>COUNTIFS(core_mc[TestName],misc[[#This Row],[Core_ML2_String]],core_mc[VisualId],MC_Check!$H$2)</f>
        <v>0</v>
      </c>
      <c r="AC182" t="str">
        <f>_xlfn.TEXTJOIN("",,"*SOCKET0**CBB",misc[[#This Row],[CBB]],"**COMPUTE",misc[[#This Row],[Compute]],"**MODULE",misc[[#This Row],[Module]],splitchar,"SPARE")</f>
        <v>*SOCKET0**CBB**COMPUTE**MODULE__SPARE</v>
      </c>
      <c r="AD182">
        <f>COUNTIFS(core_mc[TestName],misc[[#This Row],[Core_L2_String - SPARE]],core_mc[VisualId],MC_Check!$H$2)</f>
        <v>0</v>
      </c>
      <c r="AE182">
        <f>misc[[#This Row],[Core_DTLB_Count]]+misc[[#This Row],[Core_DCU_Count]]+misc[[#This Row],[Core_IFU_Count]]+misc[[#This Row],[Core_ROB_Count]]+misc[[#This Row],[Core_L2_Count - SPARE]]+misc[[#This Row],[Core_ML2_Count]]</f>
        <v>0</v>
      </c>
      <c r="AF182" t="str">
        <f>_xlfn.TEXTJOIN(", ",,IF(misc[[#This Row],[Core_IFU_Count]]&gt;0,"IFU",""),IF(misc[[#This Row],[Core_DCU_Count]]&gt;0,"DCU",""),IF(misc[[#This Row],[Core_DTLB_Count]]&gt;0,"DTLB",""),IF(misc[[#This Row],[Core_ROB_Count]]&gt;0,"ROB",""),IF(misc[[#This Row],[Core_ML2_Count]]&gt;0,"ML2",""),IF(misc[[#This Row],[Core_L2_Count - SPARE]]&gt;0,"L2",""))</f>
        <v/>
      </c>
      <c r="AG182" t="str">
        <f>_xlfn.TEXTJOIN("",,"*SOCKET0**CBB",misc[[#This Row],[CBB]],"**BASE**I_CCF**ENV",misc[[#This Row],[ENV]],splitchar,"CBREGS_ALL",misc[[#This Row],[CBO]],splitchar,"SPARE")</f>
        <v>*SOCKET0**CBB**BASE**I_CCF**ENV__CBREGS_ALL__SPARE</v>
      </c>
      <c r="AH182">
        <f>COUNTIFS(cha_mc[TestName],misc[[#This Row],[LLC_MCA_String - Not Used]],cha_mc[VisualId],MC_Check!$H$2)</f>
        <v>0</v>
      </c>
    </row>
  </sheetData>
  <mergeCells count="1">
    <mergeCell ref="A1:C1"/>
  </mergeCells>
  <phoneticPr fontId="2" type="noConversion"/>
  <pageMargins left="0.7" right="0.7" top="0.75" bottom="0.75" header="0.3" footer="0.3"/>
  <tableParts count="7">
    <tablePart r:id="rId1"/>
    <tablePart r:id="rId2"/>
    <tablePart r:id="rId3"/>
    <tablePart r:id="rId4"/>
    <tablePart r:id="rId5"/>
    <tablePart r:id="rId6"/>
    <tablePart r:id="rId7"/>
  </tableParts>
</worksheet>
</file>

<file path=docMetadata/LabelInfo.xml><?xml version="1.0" encoding="utf-8"?>
<clbl:labelList xmlns:clbl="http://schemas.microsoft.com/office/2020/mipLabelMetadata">
  <clbl:label id="{46c98d88-e344-4ed4-8496-4ed7712e255d}" enabled="0" method="" siteId="{46c98d88-e344-4ed4-8496-4ed7712e255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</vt:i4>
      </vt:variant>
    </vt:vector>
  </HeadingPairs>
  <TitlesOfParts>
    <vt:vector size="6" baseType="lpstr">
      <vt:lpstr>CHA</vt:lpstr>
      <vt:lpstr>CORE</vt:lpstr>
      <vt:lpstr>PPV</vt:lpstr>
      <vt:lpstr>MC_Check</vt:lpstr>
      <vt:lpstr>ErrorData</vt:lpstr>
      <vt:lpstr>splitchar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Espinoza Ballestero, Gabriel</dc:creator>
  <cp:lastModifiedBy>Espinoza Ballestero, Gabriel</cp:lastModifiedBy>
  <dcterms:created xsi:type="dcterms:W3CDTF">2024-08-22T21:24:30Z</dcterms:created>
  <dcterms:modified xsi:type="dcterms:W3CDTF">2025-11-21T15:02:16Z</dcterms:modified>
</cp:coreProperties>
</file>