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Git\Automation\Automation\S2T\BASELINE\S2T\product_specific\dmr\LoggerFiles\"/>
    </mc:Choice>
  </mc:AlternateContent>
  <xr:revisionPtr revIDLastSave="0" documentId="13_ncr:1_{04F076B6-C5EA-4C56-8E8E-F51599F2BFFE}" xr6:coauthVersionLast="47" xr6:coauthVersionMax="47" xr10:uidLastSave="{00000000-0000-0000-0000-000000000000}"/>
  <bookViews>
    <workbookView xWindow="28680" yWindow="-120" windowWidth="38640" windowHeight="21120" xr2:uid="{3DA75837-8C0C-4B6E-9F29-CC335C1414E1}"/>
  </bookViews>
  <sheets>
    <sheet name="Template"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 i="2" l="1"/>
  <c r="K46" i="2"/>
  <c r="L46" i="2"/>
  <c r="M46" i="2"/>
  <c r="J47" i="2"/>
  <c r="K47" i="2"/>
  <c r="L47" i="2"/>
  <c r="M47" i="2"/>
  <c r="J48" i="2"/>
  <c r="K48" i="2"/>
  <c r="L48" i="2"/>
  <c r="M48" i="2"/>
  <c r="J49" i="2"/>
  <c r="K49" i="2"/>
  <c r="L49" i="2"/>
  <c r="M49" i="2"/>
  <c r="J50" i="2"/>
  <c r="K50" i="2"/>
  <c r="L50" i="2"/>
  <c r="M50" i="2"/>
  <c r="J51" i="2"/>
  <c r="K51" i="2"/>
  <c r="L51" i="2"/>
  <c r="M51" i="2"/>
  <c r="J52" i="2"/>
  <c r="K52" i="2"/>
  <c r="L52" i="2"/>
  <c r="M52" i="2"/>
  <c r="K45" i="2"/>
  <c r="L45" i="2"/>
  <c r="M45" i="2"/>
  <c r="J45" i="2"/>
  <c r="D46" i="2"/>
  <c r="E46" i="2"/>
  <c r="F46" i="2"/>
  <c r="G46" i="2"/>
  <c r="D47" i="2"/>
  <c r="E47" i="2"/>
  <c r="F47" i="2"/>
  <c r="G47" i="2"/>
  <c r="D48" i="2"/>
  <c r="E48" i="2"/>
  <c r="F48" i="2"/>
  <c r="G48" i="2"/>
  <c r="D49" i="2"/>
  <c r="E49" i="2"/>
  <c r="F49" i="2"/>
  <c r="G49" i="2"/>
  <c r="D50" i="2"/>
  <c r="E50" i="2"/>
  <c r="F50" i="2"/>
  <c r="G50" i="2"/>
  <c r="D51" i="2"/>
  <c r="E51" i="2"/>
  <c r="F51" i="2"/>
  <c r="G51" i="2"/>
  <c r="D52" i="2"/>
  <c r="E52" i="2"/>
  <c r="F52" i="2"/>
  <c r="G52" i="2"/>
  <c r="E45" i="2"/>
  <c r="F45" i="2"/>
  <c r="G45" i="2"/>
  <c r="D45" i="2"/>
  <c r="J33" i="2"/>
  <c r="K33" i="2"/>
  <c r="L33" i="2"/>
  <c r="M33" i="2"/>
  <c r="J34" i="2"/>
  <c r="K34" i="2"/>
  <c r="L34" i="2"/>
  <c r="M34" i="2"/>
  <c r="J35" i="2"/>
  <c r="K35" i="2"/>
  <c r="L35" i="2"/>
  <c r="M35" i="2"/>
  <c r="J36" i="2"/>
  <c r="K36" i="2"/>
  <c r="L36" i="2"/>
  <c r="M36" i="2"/>
  <c r="J37" i="2"/>
  <c r="K37" i="2"/>
  <c r="L37" i="2"/>
  <c r="M37" i="2"/>
  <c r="J38" i="2"/>
  <c r="K38" i="2"/>
  <c r="L38" i="2"/>
  <c r="M38" i="2"/>
  <c r="J39" i="2"/>
  <c r="K39" i="2"/>
  <c r="L39" i="2"/>
  <c r="M39" i="2"/>
  <c r="K32" i="2"/>
  <c r="L32" i="2"/>
  <c r="M32" i="2"/>
  <c r="J32" i="2"/>
  <c r="D33" i="2"/>
  <c r="E33" i="2"/>
  <c r="F33" i="2"/>
  <c r="G33" i="2"/>
  <c r="D34" i="2"/>
  <c r="E34" i="2"/>
  <c r="F34" i="2"/>
  <c r="G34" i="2"/>
  <c r="D35" i="2"/>
  <c r="E35" i="2"/>
  <c r="F35" i="2"/>
  <c r="G35" i="2"/>
  <c r="D36" i="2"/>
  <c r="E36" i="2"/>
  <c r="F36" i="2"/>
  <c r="G36" i="2"/>
  <c r="D37" i="2"/>
  <c r="E37" i="2"/>
  <c r="F37" i="2"/>
  <c r="G37" i="2"/>
  <c r="D38" i="2"/>
  <c r="E38" i="2"/>
  <c r="F38" i="2"/>
  <c r="G38" i="2"/>
  <c r="D39" i="2"/>
  <c r="E39" i="2"/>
  <c r="F39" i="2"/>
  <c r="G39" i="2"/>
  <c r="E32" i="2"/>
  <c r="F32" i="2"/>
  <c r="G32" i="2"/>
  <c r="D32" i="2"/>
  <c r="J20" i="2"/>
  <c r="K20" i="2"/>
  <c r="L20" i="2"/>
  <c r="M20" i="2"/>
  <c r="J21" i="2"/>
  <c r="K21" i="2"/>
  <c r="L21" i="2"/>
  <c r="M21" i="2"/>
  <c r="J22" i="2"/>
  <c r="K22" i="2"/>
  <c r="L22" i="2"/>
  <c r="M22" i="2"/>
  <c r="J23" i="2"/>
  <c r="K23" i="2"/>
  <c r="L23" i="2"/>
  <c r="M23" i="2"/>
  <c r="J24" i="2"/>
  <c r="K24" i="2"/>
  <c r="L24" i="2"/>
  <c r="M24" i="2"/>
  <c r="J25" i="2"/>
  <c r="K25" i="2"/>
  <c r="L25" i="2"/>
  <c r="M25" i="2"/>
  <c r="J26" i="2"/>
  <c r="K26" i="2"/>
  <c r="L26" i="2"/>
  <c r="M26" i="2"/>
  <c r="K19" i="2"/>
  <c r="L19" i="2"/>
  <c r="M19" i="2"/>
  <c r="J19" i="2"/>
  <c r="J7" i="2"/>
  <c r="K7" i="2"/>
  <c r="L7" i="2"/>
  <c r="M7" i="2"/>
  <c r="J8" i="2"/>
  <c r="K8" i="2"/>
  <c r="L8" i="2"/>
  <c r="M8" i="2"/>
  <c r="J9" i="2"/>
  <c r="K9" i="2"/>
  <c r="L9" i="2"/>
  <c r="M9" i="2"/>
  <c r="J10" i="2"/>
  <c r="K10" i="2"/>
  <c r="L10" i="2"/>
  <c r="M10" i="2"/>
  <c r="J11" i="2"/>
  <c r="K11" i="2"/>
  <c r="L11" i="2"/>
  <c r="M11" i="2"/>
  <c r="J12" i="2"/>
  <c r="K12" i="2"/>
  <c r="L12" i="2"/>
  <c r="M12" i="2"/>
  <c r="J13" i="2"/>
  <c r="K13" i="2"/>
  <c r="L13" i="2"/>
  <c r="M13" i="2"/>
  <c r="K6" i="2"/>
  <c r="L6" i="2"/>
  <c r="M6" i="2"/>
  <c r="J6" i="2"/>
  <c r="D7" i="2"/>
  <c r="E7" i="2"/>
  <c r="F7" i="2"/>
  <c r="G7" i="2"/>
  <c r="D8" i="2"/>
  <c r="E8" i="2"/>
  <c r="F8" i="2"/>
  <c r="G8" i="2"/>
  <c r="D9" i="2"/>
  <c r="E9" i="2"/>
  <c r="F9" i="2"/>
  <c r="G9" i="2"/>
  <c r="D10" i="2"/>
  <c r="E10" i="2"/>
  <c r="F10" i="2"/>
  <c r="G10" i="2"/>
  <c r="D11" i="2"/>
  <c r="E11" i="2"/>
  <c r="F11" i="2"/>
  <c r="G11" i="2"/>
  <c r="D12" i="2"/>
  <c r="E12" i="2"/>
  <c r="F12" i="2"/>
  <c r="G12" i="2"/>
  <c r="D13" i="2"/>
  <c r="E13" i="2"/>
  <c r="F13" i="2"/>
  <c r="G13" i="2"/>
  <c r="E6" i="2"/>
  <c r="F6" i="2"/>
  <c r="G6" i="2"/>
  <c r="D6" i="2"/>
  <c r="D20" i="2"/>
  <c r="E20" i="2"/>
  <c r="F20" i="2"/>
  <c r="G20" i="2"/>
  <c r="D21" i="2"/>
  <c r="E21" i="2"/>
  <c r="F21" i="2"/>
  <c r="G21" i="2"/>
  <c r="D22" i="2"/>
  <c r="E22" i="2"/>
  <c r="F22" i="2"/>
  <c r="G22" i="2"/>
  <c r="D23" i="2"/>
  <c r="E23" i="2"/>
  <c r="F23" i="2"/>
  <c r="G23" i="2"/>
  <c r="D24" i="2"/>
  <c r="E24" i="2"/>
  <c r="F24" i="2"/>
  <c r="G24" i="2"/>
  <c r="D25" i="2"/>
  <c r="E25" i="2"/>
  <c r="F25" i="2"/>
  <c r="G25" i="2"/>
  <c r="D26" i="2"/>
  <c r="E26" i="2"/>
  <c r="F26" i="2"/>
  <c r="G26" i="2"/>
  <c r="E19" i="2"/>
  <c r="F19" i="2"/>
  <c r="G19" i="2"/>
  <c r="D19" i="2"/>
  <c r="L57" i="1" l="1"/>
  <c r="L56" i="1"/>
  <c r="L40" i="1"/>
  <c r="L39" i="1"/>
  <c r="C29" i="1"/>
  <c r="C46" i="1" s="1"/>
  <c r="C27" i="1"/>
  <c r="C44" i="1" s="1"/>
  <c r="D13" i="1"/>
  <c r="D12" i="1"/>
  <c r="D11" i="1"/>
  <c r="E10" i="1"/>
  <c r="F11" i="1" s="1"/>
  <c r="D10" i="1"/>
  <c r="D30" i="1" l="1"/>
  <c r="D29" i="1"/>
  <c r="E12" i="1"/>
  <c r="D45" i="1"/>
  <c r="D44" i="1"/>
  <c r="D47" i="1"/>
  <c r="D46" i="1"/>
  <c r="D27" i="1"/>
  <c r="D28" i="1"/>
  <c r="F10" i="1"/>
  <c r="E27" i="1"/>
  <c r="E29" i="1"/>
  <c r="F13" i="1"/>
  <c r="F12" i="1"/>
  <c r="E14" i="1"/>
  <c r="E44" i="1" l="1"/>
  <c r="F28" i="1"/>
  <c r="F27" i="1"/>
  <c r="E16" i="1"/>
  <c r="F14" i="1"/>
  <c r="F15" i="1"/>
  <c r="E31" i="1"/>
  <c r="F29" i="1"/>
  <c r="E46" i="1"/>
  <c r="F30" i="1"/>
  <c r="F45" i="1" l="1"/>
  <c r="F44" i="1"/>
  <c r="F47" i="1"/>
  <c r="F46" i="1"/>
  <c r="E48" i="1"/>
  <c r="F32" i="1"/>
  <c r="F31" i="1"/>
  <c r="E33" i="1"/>
  <c r="F17" i="1"/>
  <c r="E18" i="1"/>
  <c r="F16" i="1"/>
  <c r="E35" i="1" l="1"/>
  <c r="F19" i="1"/>
  <c r="E20" i="1"/>
  <c r="F18" i="1"/>
  <c r="E50" i="1"/>
  <c r="F33" i="1"/>
  <c r="F34" i="1"/>
  <c r="F48" i="1"/>
  <c r="F49" i="1"/>
  <c r="F50" i="1" l="1"/>
  <c r="F51" i="1"/>
  <c r="F21" i="1"/>
  <c r="E22" i="1"/>
  <c r="E37" i="1"/>
  <c r="F20" i="1"/>
  <c r="E52" i="1"/>
  <c r="F35" i="1"/>
  <c r="F36" i="1"/>
  <c r="F52" i="1" l="1"/>
  <c r="F53" i="1"/>
  <c r="E54" i="1"/>
  <c r="F38" i="1"/>
  <c r="F37" i="1"/>
  <c r="G10" i="1"/>
  <c r="F23" i="1"/>
  <c r="E39" i="1"/>
  <c r="F22" i="1"/>
  <c r="E56" i="1" l="1"/>
  <c r="F39" i="1"/>
  <c r="F40" i="1"/>
  <c r="F54" i="1"/>
  <c r="F55" i="1"/>
  <c r="G12" i="1"/>
  <c r="H10" i="1"/>
  <c r="G27" i="1"/>
  <c r="H11" i="1"/>
  <c r="G44" i="1" l="1"/>
  <c r="H28" i="1"/>
  <c r="H27" i="1"/>
  <c r="H12" i="1"/>
  <c r="G29" i="1"/>
  <c r="G14" i="1"/>
  <c r="H13" i="1"/>
  <c r="F56" i="1"/>
  <c r="F57" i="1"/>
  <c r="G31" i="1" l="1"/>
  <c r="H14" i="1"/>
  <c r="H15" i="1"/>
  <c r="G16" i="1"/>
  <c r="G46" i="1"/>
  <c r="H29" i="1"/>
  <c r="H30" i="1"/>
  <c r="H44" i="1"/>
  <c r="H45" i="1"/>
  <c r="H47" i="1" l="1"/>
  <c r="H46" i="1"/>
  <c r="G33" i="1"/>
  <c r="H17" i="1"/>
  <c r="G18" i="1"/>
  <c r="H16" i="1"/>
  <c r="H31" i="1"/>
  <c r="G48" i="1"/>
  <c r="H32" i="1"/>
  <c r="H33" i="1" l="1"/>
  <c r="G50" i="1"/>
  <c r="H34" i="1"/>
  <c r="H49" i="1"/>
  <c r="H48" i="1"/>
  <c r="G35" i="1"/>
  <c r="G20" i="1"/>
  <c r="H19" i="1"/>
  <c r="H18" i="1"/>
  <c r="H35" i="1" l="1"/>
  <c r="H36" i="1"/>
  <c r="G52" i="1"/>
  <c r="H51" i="1"/>
  <c r="H50" i="1"/>
  <c r="G37" i="1"/>
  <c r="G22" i="1"/>
  <c r="H21" i="1"/>
  <c r="H20" i="1"/>
  <c r="G39" i="1" l="1"/>
  <c r="I10" i="1"/>
  <c r="H22" i="1"/>
  <c r="H23" i="1"/>
  <c r="H37" i="1"/>
  <c r="H38" i="1"/>
  <c r="G54" i="1"/>
  <c r="H53" i="1"/>
  <c r="H52" i="1"/>
  <c r="H55" i="1" l="1"/>
  <c r="H54" i="1"/>
  <c r="I27" i="1"/>
  <c r="J10" i="1"/>
  <c r="I12" i="1"/>
  <c r="J11" i="1"/>
  <c r="H39" i="1"/>
  <c r="G56" i="1"/>
  <c r="H40" i="1"/>
  <c r="H57" i="1" l="1"/>
  <c r="H56" i="1"/>
  <c r="J13" i="1"/>
  <c r="J12" i="1"/>
  <c r="I29" i="1"/>
  <c r="I14" i="1"/>
  <c r="J28" i="1"/>
  <c r="J27" i="1"/>
  <c r="I44" i="1"/>
  <c r="I31" i="1" l="1"/>
  <c r="I16" i="1"/>
  <c r="J15" i="1"/>
  <c r="J14" i="1"/>
  <c r="I46" i="1"/>
  <c r="J30" i="1"/>
  <c r="J29" i="1"/>
  <c r="J44" i="1"/>
  <c r="J45" i="1"/>
  <c r="J47" i="1" l="1"/>
  <c r="J46" i="1"/>
  <c r="I33" i="1"/>
  <c r="I18" i="1"/>
  <c r="J17" i="1"/>
  <c r="J16" i="1"/>
  <c r="J32" i="1"/>
  <c r="I48" i="1"/>
  <c r="J31" i="1"/>
  <c r="J48" i="1" l="1"/>
  <c r="J49" i="1"/>
  <c r="I35" i="1"/>
  <c r="I20" i="1"/>
  <c r="J19" i="1"/>
  <c r="J18" i="1"/>
  <c r="J34" i="1"/>
  <c r="I50" i="1"/>
  <c r="J33" i="1"/>
  <c r="J51" i="1" l="1"/>
  <c r="J50" i="1"/>
  <c r="I37" i="1"/>
  <c r="J21" i="1"/>
  <c r="J20" i="1"/>
  <c r="I22" i="1"/>
  <c r="J36" i="1"/>
  <c r="I52" i="1"/>
  <c r="J35" i="1"/>
  <c r="J52" i="1" l="1"/>
  <c r="J53" i="1"/>
  <c r="I39" i="1"/>
  <c r="K10" i="1"/>
  <c r="J23" i="1"/>
  <c r="J22" i="1"/>
  <c r="J38" i="1"/>
  <c r="J37" i="1"/>
  <c r="I54" i="1"/>
  <c r="K27" i="1" l="1"/>
  <c r="L10" i="1"/>
  <c r="K12" i="1"/>
  <c r="L11" i="1"/>
  <c r="J40" i="1"/>
  <c r="I56" i="1"/>
  <c r="J39" i="1"/>
  <c r="J55" i="1"/>
  <c r="J54" i="1"/>
  <c r="J57" i="1" l="1"/>
  <c r="J56" i="1"/>
  <c r="K29" i="1"/>
  <c r="K14" i="1"/>
  <c r="L12" i="1"/>
  <c r="L13" i="1"/>
  <c r="L28" i="1"/>
  <c r="L27" i="1"/>
  <c r="K44" i="1"/>
  <c r="L14" i="1" l="1"/>
  <c r="K16" i="1"/>
  <c r="L15" i="1"/>
  <c r="K31" i="1"/>
  <c r="L29" i="1"/>
  <c r="L30" i="1"/>
  <c r="K46" i="1"/>
  <c r="L44" i="1"/>
  <c r="L45" i="1"/>
  <c r="L16" i="1" l="1"/>
  <c r="K18" i="1"/>
  <c r="L17" i="1"/>
  <c r="K33" i="1"/>
  <c r="L47" i="1"/>
  <c r="L46" i="1"/>
  <c r="L32" i="1"/>
  <c r="K48" i="1"/>
  <c r="L31" i="1"/>
  <c r="L34" i="1" l="1"/>
  <c r="K50" i="1"/>
  <c r="L33" i="1"/>
  <c r="L48" i="1"/>
  <c r="L49" i="1"/>
  <c r="L18" i="1"/>
  <c r="K20" i="1"/>
  <c r="L19" i="1"/>
  <c r="K35" i="1"/>
  <c r="L50" i="1" l="1"/>
  <c r="L51" i="1"/>
  <c r="L20" i="1"/>
  <c r="K22" i="1"/>
  <c r="K37" i="1"/>
  <c r="L21" i="1"/>
  <c r="L36" i="1"/>
  <c r="K52" i="1"/>
  <c r="L35" i="1"/>
  <c r="L52" i="1" l="1"/>
  <c r="L53" i="1"/>
  <c r="L38" i="1"/>
  <c r="K54" i="1"/>
  <c r="L37" i="1"/>
  <c r="L22" i="1"/>
  <c r="M10" i="1"/>
  <c r="L23" i="1"/>
  <c r="N11" i="1" l="1"/>
  <c r="M27" i="1"/>
  <c r="N10" i="1"/>
  <c r="M12" i="1"/>
  <c r="L54" i="1"/>
  <c r="L55" i="1"/>
  <c r="M29" i="1" l="1"/>
  <c r="N12" i="1"/>
  <c r="M14" i="1"/>
  <c r="N13" i="1"/>
  <c r="M44" i="1"/>
  <c r="N28" i="1"/>
  <c r="N27" i="1"/>
  <c r="N44" i="1" l="1"/>
  <c r="N45" i="1"/>
  <c r="M31" i="1"/>
  <c r="M16" i="1"/>
  <c r="N15" i="1"/>
  <c r="N14" i="1"/>
  <c r="N30" i="1"/>
  <c r="N29" i="1"/>
  <c r="M46" i="1"/>
  <c r="N32" i="1" l="1"/>
  <c r="M48" i="1"/>
  <c r="N31" i="1"/>
  <c r="M18" i="1"/>
  <c r="N17" i="1"/>
  <c r="M33" i="1"/>
  <c r="N16" i="1"/>
  <c r="N47" i="1"/>
  <c r="N46" i="1"/>
  <c r="N34" i="1" l="1"/>
  <c r="M50" i="1"/>
  <c r="N33" i="1"/>
  <c r="M35" i="1"/>
  <c r="N19" i="1"/>
  <c r="N18" i="1"/>
  <c r="M20" i="1"/>
  <c r="N48" i="1"/>
  <c r="N49" i="1"/>
  <c r="N50" i="1" l="1"/>
  <c r="N51" i="1"/>
  <c r="M22" i="1"/>
  <c r="N21" i="1"/>
  <c r="N20" i="1"/>
  <c r="M37" i="1"/>
  <c r="N36" i="1"/>
  <c r="M52" i="1"/>
  <c r="N35" i="1"/>
  <c r="N52" i="1" l="1"/>
  <c r="N53" i="1"/>
  <c r="N38" i="1"/>
  <c r="M54" i="1"/>
  <c r="N37" i="1"/>
  <c r="N23" i="1"/>
  <c r="M39" i="1"/>
  <c r="N22" i="1"/>
  <c r="O10" i="1"/>
  <c r="N54" i="1" l="1"/>
  <c r="N55" i="1"/>
  <c r="N40" i="1"/>
  <c r="M56" i="1"/>
  <c r="N39" i="1"/>
  <c r="P11" i="1"/>
  <c r="O12" i="1"/>
  <c r="O27" i="1"/>
  <c r="P10" i="1"/>
  <c r="P12" i="1" l="1"/>
  <c r="O14" i="1"/>
  <c r="O29" i="1"/>
  <c r="P13" i="1"/>
  <c r="O44" i="1"/>
  <c r="P28" i="1"/>
  <c r="P27" i="1"/>
  <c r="N56" i="1"/>
  <c r="N57" i="1"/>
  <c r="O31" i="1" l="1"/>
  <c r="O16" i="1"/>
  <c r="P14" i="1"/>
  <c r="P15" i="1"/>
  <c r="P44" i="1"/>
  <c r="P45" i="1"/>
  <c r="P30" i="1"/>
  <c r="O46" i="1"/>
  <c r="P29" i="1"/>
  <c r="P46" i="1" l="1"/>
  <c r="P47" i="1"/>
  <c r="O33" i="1"/>
  <c r="P17" i="1"/>
  <c r="P16" i="1"/>
  <c r="O18" i="1"/>
  <c r="P31" i="1"/>
  <c r="O48" i="1"/>
  <c r="P32" i="1"/>
  <c r="P49" i="1" l="1"/>
  <c r="P48" i="1"/>
  <c r="O35" i="1"/>
  <c r="O20" i="1"/>
  <c r="P19" i="1"/>
  <c r="P18" i="1"/>
  <c r="P33" i="1"/>
  <c r="O50" i="1"/>
  <c r="P34" i="1"/>
  <c r="P50" i="1" l="1"/>
  <c r="P51" i="1"/>
  <c r="O37" i="1"/>
  <c r="O22" i="1"/>
  <c r="P21" i="1"/>
  <c r="P20" i="1"/>
  <c r="P35" i="1"/>
  <c r="O52" i="1"/>
  <c r="P36" i="1"/>
  <c r="P37" i="1" l="1"/>
  <c r="P38" i="1"/>
  <c r="O54" i="1"/>
  <c r="P53" i="1"/>
  <c r="P52" i="1"/>
  <c r="O39" i="1"/>
  <c r="P23" i="1"/>
  <c r="P22" i="1"/>
  <c r="Q10" i="1"/>
  <c r="O56" i="1" l="1"/>
  <c r="P40" i="1"/>
  <c r="P39" i="1"/>
  <c r="P54" i="1"/>
  <c r="P55" i="1"/>
  <c r="Q27" i="1"/>
  <c r="R11" i="1"/>
  <c r="R10" i="1"/>
  <c r="Q12" i="1"/>
  <c r="R27" i="1" l="1"/>
  <c r="Q44" i="1"/>
  <c r="R28" i="1"/>
  <c r="Q14" i="1"/>
  <c r="Q29" i="1"/>
  <c r="R13" i="1"/>
  <c r="R12" i="1"/>
  <c r="P57" i="1"/>
  <c r="P56" i="1"/>
  <c r="Q46" i="1" l="1"/>
  <c r="R29" i="1"/>
  <c r="R30" i="1"/>
  <c r="R45" i="1"/>
  <c r="R44" i="1"/>
  <c r="Q31" i="1"/>
  <c r="R15" i="1"/>
  <c r="R14" i="1"/>
  <c r="Q16" i="1"/>
  <c r="R31" i="1" l="1"/>
  <c r="R32" i="1"/>
  <c r="Q48" i="1"/>
  <c r="Q33" i="1"/>
  <c r="R17" i="1"/>
  <c r="Q18" i="1"/>
  <c r="R16" i="1"/>
  <c r="R46" i="1"/>
  <c r="R47" i="1"/>
  <c r="Q35" i="1" l="1"/>
  <c r="R19" i="1"/>
  <c r="Q20" i="1"/>
  <c r="R18" i="1"/>
  <c r="R33" i="1"/>
  <c r="Q50" i="1"/>
  <c r="R34" i="1"/>
  <c r="R49" i="1"/>
  <c r="R48" i="1"/>
  <c r="R51" i="1" l="1"/>
  <c r="R50" i="1"/>
  <c r="Q37" i="1"/>
  <c r="R21" i="1"/>
  <c r="Q22" i="1"/>
  <c r="R20" i="1"/>
  <c r="R35" i="1"/>
  <c r="R36" i="1"/>
  <c r="Q52" i="1"/>
  <c r="Q39" i="1" l="1"/>
  <c r="R23" i="1"/>
  <c r="S10" i="1"/>
  <c r="R22" i="1"/>
  <c r="R38" i="1"/>
  <c r="Q54" i="1"/>
  <c r="R37" i="1"/>
  <c r="R53" i="1"/>
  <c r="R52" i="1"/>
  <c r="R55" i="1" l="1"/>
  <c r="R54" i="1"/>
  <c r="S27" i="1"/>
  <c r="T10" i="1"/>
  <c r="T11" i="1"/>
  <c r="S12" i="1"/>
  <c r="R39" i="1"/>
  <c r="R40" i="1"/>
  <c r="Q56" i="1"/>
  <c r="S29" i="1" l="1"/>
  <c r="S14" i="1"/>
  <c r="T13" i="1"/>
  <c r="T12" i="1"/>
  <c r="S44" i="1"/>
  <c r="T28" i="1"/>
  <c r="T27" i="1"/>
  <c r="R57" i="1"/>
  <c r="R56" i="1"/>
  <c r="T15" i="1" l="1"/>
  <c r="T14" i="1"/>
  <c r="S16" i="1"/>
  <c r="S31" i="1"/>
  <c r="T45" i="1"/>
  <c r="T44" i="1"/>
  <c r="T29" i="1"/>
  <c r="T30" i="1"/>
  <c r="S46" i="1"/>
  <c r="S48" i="1" l="1"/>
  <c r="T32" i="1"/>
  <c r="T31" i="1"/>
  <c r="T17" i="1"/>
  <c r="T16" i="1"/>
  <c r="S18" i="1"/>
  <c r="S33" i="1"/>
  <c r="T47" i="1"/>
  <c r="T46" i="1"/>
  <c r="T19" i="1" l="1"/>
  <c r="T18" i="1"/>
  <c r="S20" i="1"/>
  <c r="S35" i="1"/>
  <c r="S50" i="1"/>
  <c r="T34" i="1"/>
  <c r="T33" i="1"/>
  <c r="T49" i="1"/>
  <c r="T48" i="1"/>
  <c r="T51" i="1" l="1"/>
  <c r="T50" i="1"/>
  <c r="S52" i="1"/>
  <c r="T35" i="1"/>
  <c r="T36" i="1"/>
  <c r="T21" i="1"/>
  <c r="T20" i="1"/>
  <c r="S22" i="1"/>
  <c r="S37" i="1"/>
  <c r="T23" i="1" l="1"/>
  <c r="T22" i="1"/>
  <c r="U10" i="1"/>
  <c r="S39" i="1"/>
  <c r="T53" i="1"/>
  <c r="T52" i="1"/>
  <c r="S54" i="1"/>
  <c r="T37" i="1"/>
  <c r="T38" i="1"/>
  <c r="T55" i="1" l="1"/>
  <c r="T54" i="1"/>
  <c r="T39" i="1"/>
  <c r="T40" i="1"/>
  <c r="S56" i="1"/>
  <c r="V11" i="1"/>
  <c r="U12" i="1"/>
  <c r="U27" i="1"/>
  <c r="V10" i="1"/>
  <c r="U29" i="1" l="1"/>
  <c r="V13" i="1"/>
  <c r="V12" i="1"/>
  <c r="U44" i="1"/>
  <c r="V27" i="1"/>
  <c r="V28" i="1"/>
  <c r="T57" i="1"/>
  <c r="T56" i="1"/>
  <c r="V45" i="1" l="1"/>
  <c r="V44" i="1"/>
  <c r="V30" i="1"/>
  <c r="U46" i="1"/>
  <c r="V29" i="1"/>
  <c r="V47" i="1" l="1"/>
  <c r="V46" i="1"/>
</calcChain>
</file>

<file path=xl/sharedStrings.xml><?xml version="1.0" encoding="utf-8"?>
<sst xmlns="http://schemas.openxmlformats.org/spreadsheetml/2006/main" count="323" uniqueCount="54">
  <si>
    <t>MC0</t>
  </si>
  <si>
    <t>MC2</t>
  </si>
  <si>
    <t>MC1</t>
  </si>
  <si>
    <t>MC3</t>
  </si>
  <si>
    <t>Test:</t>
  </si>
  <si>
    <t>ioDIE0</t>
  </si>
  <si>
    <t>upi0</t>
  </si>
  <si>
    <t>hiop2 / stack4</t>
  </si>
  <si>
    <t>hiop4 / stack1</t>
  </si>
  <si>
    <t>UBOX</t>
  </si>
  <si>
    <t>upi1</t>
  </si>
  <si>
    <t>hiop1 / stack0</t>
  </si>
  <si>
    <t>hiop3 / stack2</t>
  </si>
  <si>
    <t>hiop5 / stack5</t>
  </si>
  <si>
    <t>hiop6 / stack3</t>
  </si>
  <si>
    <t>MDF</t>
  </si>
  <si>
    <t>cDIE0</t>
  </si>
  <si>
    <t>MC4</t>
  </si>
  <si>
    <t>MC5</t>
  </si>
  <si>
    <t>MC6</t>
  </si>
  <si>
    <t>MC7</t>
  </si>
  <si>
    <t>SPK</t>
  </si>
  <si>
    <t>cDIE1</t>
  </si>
  <si>
    <t>cDIE2</t>
  </si>
  <si>
    <t>ioDIE1</t>
  </si>
  <si>
    <t>hiop6 / stack9</t>
  </si>
  <si>
    <t>upi5</t>
  </si>
  <si>
    <t>pxp5 / PE5</t>
  </si>
  <si>
    <t>hiop3 / stack10</t>
  </si>
  <si>
    <t>hiop1 / stack8</t>
  </si>
  <si>
    <t>upi3</t>
  </si>
  <si>
    <t>hiop4 / stack11</t>
  </si>
  <si>
    <t>pxp5 / PE4</t>
  </si>
  <si>
    <t>upi4</t>
  </si>
  <si>
    <t>upi2</t>
  </si>
  <si>
    <t>TOP</t>
  </si>
  <si>
    <t>BASE</t>
  </si>
  <si>
    <t>XB</t>
  </si>
  <si>
    <t>CBB</t>
  </si>
  <si>
    <t>COMPUTE</t>
  </si>
  <si>
    <t>R/C</t>
  </si>
  <si>
    <t>CLUSTER</t>
  </si>
  <si>
    <t>DCM (CORE)</t>
  </si>
  <si>
    <t>UXI SWITCH</t>
  </si>
  <si>
    <t>D2D</t>
  </si>
  <si>
    <t>IMH1</t>
  </si>
  <si>
    <t>D2D0</t>
  </si>
  <si>
    <t>D2D1</t>
  </si>
  <si>
    <t>D2D2</t>
  </si>
  <si>
    <t>D2D3</t>
  </si>
  <si>
    <t>UXI</t>
  </si>
  <si>
    <t>SCA</t>
  </si>
  <si>
    <t>HIO</t>
  </si>
  <si>
    <t>IMH0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</si>
</sst>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scheme val="minor"/>
    </font>
    <font>
      <sz val="8"/>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196B24"/>
        <bgColor indexed="64"/>
      </patternFill>
    </fill>
    <fill>
      <patternFill patternType="solid">
        <fgColor rgb="FF156082"/>
        <bgColor indexed="64"/>
      </patternFill>
    </fill>
    <fill>
      <patternFill patternType="solid">
        <fgColor theme="2" tint="-0.89999084444715716"/>
        <bgColor indexed="64"/>
      </patternFill>
    </fill>
    <fill>
      <patternFill patternType="solid">
        <fgColor theme="2" tint="-0.749992370372631"/>
        <bgColor indexed="64"/>
      </patternFill>
    </fill>
    <fill>
      <patternFill patternType="solid">
        <fgColor theme="0"/>
        <bgColor indexed="64"/>
      </patternFill>
    </fill>
    <fill>
      <patternFill patternType="solid">
        <fgColor theme="6" tint="-0.499984740745262"/>
        <bgColor indexed="64"/>
      </patternFill>
    </fill>
    <fill>
      <patternFill patternType="solid">
        <fgColor theme="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diagonal/>
    </border>
  </borders>
  <cellStyleXfs count="1">
    <xf numFmtId="0" fontId="0" fillId="0" borderId="0"/>
  </cellStyleXfs>
  <cellXfs count="46">
    <xf numFmtId="0" fontId="0" fillId="0" borderId="0" xfId="0"/>
    <xf numFmtId="0" fontId="0" fillId="2"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1" fillId="0" borderId="1" xfId="0" applyFont="1" applyBorder="1" applyAlignment="1">
      <alignment horizontal="center"/>
    </xf>
    <xf numFmtId="0" fontId="0" fillId="3" borderId="1" xfId="0" applyFill="1" applyBorder="1" applyAlignment="1">
      <alignment horizontal="center" vertical="center"/>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5" fillId="6" borderId="2"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0"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3" xfId="0" applyFont="1" applyFill="1" applyBorder="1" applyAlignment="1">
      <alignment horizontal="center" vertical="center"/>
    </xf>
    <xf numFmtId="0" fontId="5" fillId="6" borderId="0"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8" xfId="0" applyFont="1" applyFill="1" applyBorder="1" applyAlignment="1">
      <alignment horizontal="center" vertical="center"/>
    </xf>
    <xf numFmtId="0" fontId="5" fillId="7"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8" xfId="0" applyFill="1" applyBorder="1" applyAlignment="1">
      <alignment horizontal="center" vertical="center"/>
    </xf>
    <xf numFmtId="0" fontId="0" fillId="6" borderId="1" xfId="0" applyFill="1" applyBorder="1" applyAlignment="1">
      <alignment horizontal="center" vertical="center" wrapText="1"/>
    </xf>
    <xf numFmtId="0" fontId="3" fillId="8" borderId="14" xfId="0" applyFont="1" applyFill="1" applyBorder="1" applyAlignment="1">
      <alignment horizontal="center"/>
    </xf>
    <xf numFmtId="0" fontId="5" fillId="9" borderId="17" xfId="0" applyFont="1" applyFill="1" applyBorder="1" applyAlignment="1">
      <alignment horizontal="center" vertical="center" textRotation="180"/>
    </xf>
    <xf numFmtId="0" fontId="5" fillId="9" borderId="18" xfId="0" applyFont="1" applyFill="1" applyBorder="1" applyAlignment="1">
      <alignment horizontal="center" vertical="center" textRotation="180"/>
    </xf>
    <xf numFmtId="0" fontId="5" fillId="9" borderId="16" xfId="0" applyFont="1" applyFill="1" applyBorder="1" applyAlignment="1">
      <alignment horizontal="center" vertical="center" textRotation="180"/>
    </xf>
    <xf numFmtId="0" fontId="0" fillId="10" borderId="0" xfId="0" applyFill="1"/>
    <xf numFmtId="0" fontId="0" fillId="10" borderId="0" xfId="0" applyFill="1" applyAlignment="1">
      <alignment horizontal="center"/>
    </xf>
    <xf numFmtId="0" fontId="3" fillId="11" borderId="1" xfId="0" applyFont="1" applyFill="1" applyBorder="1" applyAlignment="1">
      <alignment horizontal="center"/>
    </xf>
    <xf numFmtId="0" fontId="5" fillId="11" borderId="15" xfId="0" applyFont="1" applyFill="1" applyBorder="1" applyAlignment="1">
      <alignment horizontal="center" vertical="center"/>
    </xf>
    <xf numFmtId="0" fontId="5" fillId="11" borderId="1" xfId="0" applyFont="1" applyFill="1" applyBorder="1" applyAlignment="1">
      <alignment horizontal="center" vertical="center"/>
    </xf>
    <xf numFmtId="0" fontId="4" fillId="11" borderId="1" xfId="0" applyFont="1" applyFill="1" applyBorder="1" applyAlignment="1">
      <alignment horizontal="center"/>
    </xf>
    <xf numFmtId="0" fontId="0" fillId="11" borderId="1" xfId="0" applyFill="1" applyBorder="1" applyAlignment="1">
      <alignment horizontal="center" vertical="center"/>
    </xf>
    <xf numFmtId="0" fontId="3" fillId="12" borderId="14" xfId="0" applyFont="1" applyFill="1" applyBorder="1" applyAlignment="1">
      <alignment horizontal="center"/>
    </xf>
    <xf numFmtId="0" fontId="0" fillId="12" borderId="1" xfId="0" applyFill="1" applyBorder="1" applyAlignment="1">
      <alignment horizontal="center" vertical="center"/>
    </xf>
    <xf numFmtId="0" fontId="4" fillId="11" borderId="4" xfId="0" applyFont="1" applyFill="1" applyBorder="1" applyAlignment="1">
      <alignment horizontal="center"/>
    </xf>
    <xf numFmtId="0" fontId="4" fillId="11" borderId="5" xfId="0" applyFont="1" applyFill="1" applyBorder="1" applyAlignment="1">
      <alignment horizontal="center"/>
    </xf>
    <xf numFmtId="0" fontId="4" fillId="11" borderId="19" xfId="0" applyFont="1" applyFill="1" applyBorder="1" applyAlignment="1">
      <alignment horizontal="center"/>
    </xf>
    <xf numFmtId="0" fontId="4" fillId="11" borderId="0" xfId="0" applyFont="1" applyFill="1" applyBorder="1" applyAlignment="1">
      <alignment horizontal="center"/>
    </xf>
  </cellXfs>
  <cellStyles count="1">
    <cellStyle name="Normal" xfId="0" builtinId="0"/>
  </cellStyles>
  <dxfs count="63">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s>
  <tableStyles count="0" defaultTableStyle="TableStyleMedium2" defaultPivotStyle="PivotStyleLight16"/>
  <colors>
    <mruColors>
      <color rgb="FF196B24"/>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1685-645C-40B1-8265-9ED577332CF5}">
  <dimension ref="A1:AA95"/>
  <sheetViews>
    <sheetView tabSelected="1" zoomScaleNormal="100" workbookViewId="0">
      <selection sqref="A1:T1"/>
    </sheetView>
  </sheetViews>
  <sheetFormatPr defaultRowHeight="14.4" x14ac:dyDescent="0.3"/>
  <cols>
    <col min="1" max="1" width="3.21875" customWidth="1"/>
    <col min="2" max="2" width="6.33203125" bestFit="1" customWidth="1"/>
    <col min="3" max="3" width="8.5546875" customWidth="1"/>
    <col min="4" max="13" width="8.5546875" bestFit="1" customWidth="1"/>
    <col min="14" max="14" width="6.33203125" bestFit="1" customWidth="1"/>
  </cols>
  <sheetData>
    <row r="1" spans="1:27" x14ac:dyDescent="0.3">
      <c r="A1" s="33"/>
      <c r="B1" s="33"/>
      <c r="C1" s="33"/>
      <c r="D1" s="33"/>
      <c r="E1" s="33"/>
      <c r="F1" s="33"/>
      <c r="G1" s="33"/>
      <c r="H1" s="33"/>
      <c r="I1" s="33"/>
      <c r="J1" s="33"/>
      <c r="K1" s="33"/>
      <c r="L1" s="33"/>
      <c r="M1" s="33"/>
      <c r="N1" s="33"/>
      <c r="O1" s="33"/>
      <c r="P1" s="33"/>
      <c r="Q1" s="33"/>
      <c r="R1" s="33"/>
      <c r="S1" s="33"/>
      <c r="T1" s="33"/>
      <c r="U1" s="33"/>
      <c r="V1" s="33"/>
      <c r="W1" s="33"/>
      <c r="X1" s="33"/>
      <c r="Y1" s="33"/>
      <c r="Z1" s="33"/>
      <c r="AA1" s="33"/>
    </row>
    <row r="2" spans="1:27" x14ac:dyDescent="0.3">
      <c r="A2" s="33"/>
      <c r="B2" s="35" t="s">
        <v>4</v>
      </c>
      <c r="C2" s="35"/>
      <c r="D2" s="35"/>
      <c r="E2" s="35"/>
      <c r="F2" s="35"/>
      <c r="G2" s="35"/>
      <c r="H2" s="35"/>
      <c r="I2" s="35"/>
      <c r="J2" s="35"/>
      <c r="K2" s="35"/>
      <c r="L2" s="35"/>
      <c r="M2" s="35"/>
      <c r="N2" s="35"/>
      <c r="O2" s="38"/>
      <c r="P2" s="38"/>
      <c r="Q2" s="38"/>
      <c r="R2" s="38"/>
      <c r="S2" s="38"/>
      <c r="T2" s="38"/>
      <c r="U2" s="33"/>
      <c r="V2" s="33"/>
      <c r="W2" s="33"/>
      <c r="X2" s="33"/>
      <c r="Y2" s="33"/>
      <c r="Z2" s="33"/>
    </row>
    <row r="3" spans="1:27" ht="15" thickBot="1" x14ac:dyDescent="0.35">
      <c r="A3" s="33"/>
      <c r="B3" s="36"/>
      <c r="C3" s="37"/>
      <c r="D3" s="37"/>
      <c r="E3" s="37"/>
      <c r="F3" s="37"/>
      <c r="G3" s="37"/>
      <c r="H3" s="37"/>
      <c r="I3" s="37"/>
      <c r="J3" s="37"/>
      <c r="K3" s="37"/>
      <c r="L3" s="37"/>
      <c r="M3" s="37"/>
      <c r="N3" s="37"/>
      <c r="O3" s="42"/>
      <c r="P3" s="43"/>
      <c r="Q3" s="43"/>
      <c r="R3" s="43"/>
      <c r="S3" s="43"/>
      <c r="T3" s="43"/>
      <c r="U3" s="33"/>
      <c r="V3" s="33"/>
      <c r="W3" s="33"/>
      <c r="X3" s="33"/>
      <c r="Y3" s="33"/>
      <c r="Z3" s="33"/>
    </row>
    <row r="4" spans="1:27" ht="15" thickBot="1" x14ac:dyDescent="0.35">
      <c r="A4" s="33"/>
      <c r="B4" s="29" t="s">
        <v>38</v>
      </c>
      <c r="C4" s="14" t="s">
        <v>42</v>
      </c>
      <c r="D4" s="14"/>
      <c r="E4" s="14"/>
      <c r="F4" s="14"/>
      <c r="G4" s="14"/>
      <c r="H4" s="15"/>
      <c r="I4" s="17" t="s">
        <v>41</v>
      </c>
      <c r="J4" s="18"/>
      <c r="K4" s="18"/>
      <c r="L4" s="18"/>
      <c r="M4" s="18"/>
      <c r="N4" s="19"/>
      <c r="O4" s="44"/>
      <c r="P4" s="45"/>
      <c r="Q4" s="45"/>
      <c r="R4" s="45"/>
      <c r="S4" s="45"/>
      <c r="T4" s="45"/>
      <c r="U4" s="33"/>
      <c r="V4" s="33"/>
      <c r="W4" s="33"/>
      <c r="X4" s="33"/>
      <c r="Y4" s="33"/>
      <c r="Z4" s="33"/>
    </row>
    <row r="5" spans="1:27" ht="15" thickBot="1" x14ac:dyDescent="0.35">
      <c r="A5" s="33"/>
      <c r="B5" s="29">
        <v>0</v>
      </c>
      <c r="C5" s="13" t="s">
        <v>40</v>
      </c>
      <c r="D5" s="13">
        <v>0</v>
      </c>
      <c r="E5" s="13">
        <v>1</v>
      </c>
      <c r="F5" s="13">
        <v>2</v>
      </c>
      <c r="G5" s="13">
        <v>3</v>
      </c>
      <c r="H5" s="13" t="s">
        <v>35</v>
      </c>
      <c r="I5" s="16" t="s">
        <v>36</v>
      </c>
      <c r="J5" s="16">
        <v>0</v>
      </c>
      <c r="K5" s="16">
        <v>1</v>
      </c>
      <c r="L5" s="16">
        <v>2</v>
      </c>
      <c r="M5" s="16">
        <v>3</v>
      </c>
      <c r="N5" s="16" t="s">
        <v>40</v>
      </c>
      <c r="O5" s="44"/>
      <c r="P5" s="45"/>
      <c r="Q5" s="45"/>
      <c r="R5" s="45"/>
      <c r="S5" s="45"/>
      <c r="T5" s="45"/>
      <c r="U5" s="33"/>
      <c r="V5" s="33"/>
      <c r="W5" s="33"/>
      <c r="X5" s="33"/>
      <c r="Y5" s="33"/>
      <c r="Z5" s="33"/>
    </row>
    <row r="6" spans="1:27" ht="15" customHeight="1" thickBot="1" x14ac:dyDescent="0.35">
      <c r="A6" s="33"/>
      <c r="B6" s="30" t="s">
        <v>39</v>
      </c>
      <c r="C6" s="13">
        <v>0</v>
      </c>
      <c r="D6" s="3" t="str">
        <f>"MOD"&amp;(($C6*4)+(D$5))+($B$5*32)</f>
        <v>MOD0</v>
      </c>
      <c r="E6" s="3" t="str">
        <f t="shared" ref="E6:G13" si="0">"MOD"&amp;(($C6*4)+(E$5))+($B$5*32)</f>
        <v>MOD1</v>
      </c>
      <c r="F6" s="3" t="str">
        <f t="shared" si="0"/>
        <v>MOD2</v>
      </c>
      <c r="G6" s="3" t="str">
        <f t="shared" si="0"/>
        <v>MOD3</v>
      </c>
      <c r="H6" s="13" t="s">
        <v>37</v>
      </c>
      <c r="I6" s="16" t="s">
        <v>37</v>
      </c>
      <c r="J6" s="3" t="str">
        <f>"CBO"&amp;(($N6*4)+(J$5))+($B$5*32)</f>
        <v>CBO0</v>
      </c>
      <c r="K6" s="3" t="str">
        <f t="shared" ref="K6:M13" si="1">"CBO"&amp;(($N6*4)+(K$5))+($B$5*32)</f>
        <v>CBO1</v>
      </c>
      <c r="L6" s="3" t="str">
        <f t="shared" si="1"/>
        <v>CBO2</v>
      </c>
      <c r="M6" s="3" t="str">
        <f t="shared" si="1"/>
        <v>CBO3</v>
      </c>
      <c r="N6" s="16">
        <v>0</v>
      </c>
      <c r="O6" s="44"/>
      <c r="P6" s="45"/>
      <c r="Q6" s="45"/>
      <c r="R6" s="45"/>
      <c r="S6" s="45"/>
      <c r="T6" s="45"/>
      <c r="U6" s="33"/>
      <c r="V6" s="33"/>
      <c r="W6" s="33"/>
      <c r="X6" s="33"/>
      <c r="Y6" s="33"/>
      <c r="Z6" s="33"/>
    </row>
    <row r="7" spans="1:27" ht="15" thickBot="1" x14ac:dyDescent="0.35">
      <c r="A7" s="33"/>
      <c r="B7" s="31"/>
      <c r="C7" s="13">
        <v>1</v>
      </c>
      <c r="D7" s="3" t="str">
        <f t="shared" ref="D7:D13" si="2">"MOD"&amp;(($C7*4)+(D$5))+($B$5*32)</f>
        <v>MOD4</v>
      </c>
      <c r="E7" s="3" t="str">
        <f t="shared" si="0"/>
        <v>MOD5</v>
      </c>
      <c r="F7" s="3" t="str">
        <f t="shared" si="0"/>
        <v>MOD6</v>
      </c>
      <c r="G7" s="3" t="str">
        <f t="shared" si="0"/>
        <v>MOD7</v>
      </c>
      <c r="H7" s="13" t="s">
        <v>37</v>
      </c>
      <c r="I7" s="16" t="s">
        <v>37</v>
      </c>
      <c r="J7" s="3" t="str">
        <f t="shared" ref="J7:J13" si="3">"CBO"&amp;(($N7*4)+(J$5))+($B$5*32)</f>
        <v>CBO4</v>
      </c>
      <c r="K7" s="3" t="str">
        <f t="shared" si="1"/>
        <v>CBO5</v>
      </c>
      <c r="L7" s="3" t="str">
        <f t="shared" si="1"/>
        <v>CBO6</v>
      </c>
      <c r="M7" s="3" t="str">
        <f t="shared" si="1"/>
        <v>CBO7</v>
      </c>
      <c r="N7" s="16">
        <v>1</v>
      </c>
      <c r="O7" s="44"/>
      <c r="P7" s="45"/>
      <c r="Q7" s="45"/>
      <c r="R7" s="45"/>
      <c r="S7" s="45"/>
      <c r="T7" s="45"/>
      <c r="U7" s="33"/>
      <c r="V7" s="33"/>
      <c r="W7" s="33"/>
      <c r="X7" s="33"/>
      <c r="Y7" s="33"/>
      <c r="Z7" s="33"/>
    </row>
    <row r="8" spans="1:27" ht="15" thickBot="1" x14ac:dyDescent="0.35">
      <c r="A8" s="33"/>
      <c r="B8" s="31"/>
      <c r="C8" s="13">
        <v>2</v>
      </c>
      <c r="D8" s="3" t="str">
        <f t="shared" si="2"/>
        <v>MOD8</v>
      </c>
      <c r="E8" s="3" t="str">
        <f t="shared" si="0"/>
        <v>MOD9</v>
      </c>
      <c r="F8" s="3" t="str">
        <f t="shared" si="0"/>
        <v>MOD10</v>
      </c>
      <c r="G8" s="3" t="str">
        <f t="shared" si="0"/>
        <v>MOD11</v>
      </c>
      <c r="H8" s="13" t="s">
        <v>37</v>
      </c>
      <c r="I8" s="16" t="s">
        <v>37</v>
      </c>
      <c r="J8" s="3" t="str">
        <f t="shared" si="3"/>
        <v>CBO8</v>
      </c>
      <c r="K8" s="3" t="str">
        <f t="shared" si="1"/>
        <v>CBO9</v>
      </c>
      <c r="L8" s="3" t="str">
        <f t="shared" si="1"/>
        <v>CBO10</v>
      </c>
      <c r="M8" s="3" t="str">
        <f t="shared" si="1"/>
        <v>CBO11</v>
      </c>
      <c r="N8" s="16">
        <v>2</v>
      </c>
      <c r="O8" s="44"/>
      <c r="P8" s="45"/>
      <c r="Q8" s="45"/>
      <c r="R8" s="45"/>
      <c r="S8" s="45"/>
      <c r="T8" s="45"/>
      <c r="U8" s="33"/>
      <c r="V8" s="33"/>
      <c r="W8" s="33"/>
      <c r="X8" s="33"/>
      <c r="Y8" s="33"/>
      <c r="Z8" s="33"/>
    </row>
    <row r="9" spans="1:27" ht="15" thickBot="1" x14ac:dyDescent="0.35">
      <c r="A9" s="33"/>
      <c r="B9" s="31"/>
      <c r="C9" s="13">
        <v>3</v>
      </c>
      <c r="D9" s="3" t="str">
        <f t="shared" si="2"/>
        <v>MOD12</v>
      </c>
      <c r="E9" s="3" t="str">
        <f t="shared" si="0"/>
        <v>MOD13</v>
      </c>
      <c r="F9" s="3" t="str">
        <f t="shared" si="0"/>
        <v>MOD14</v>
      </c>
      <c r="G9" s="3" t="str">
        <f t="shared" si="0"/>
        <v>MOD15</v>
      </c>
      <c r="H9" s="13" t="s">
        <v>37</v>
      </c>
      <c r="I9" s="16" t="s">
        <v>37</v>
      </c>
      <c r="J9" s="3" t="str">
        <f t="shared" si="3"/>
        <v>CBO12</v>
      </c>
      <c r="K9" s="3" t="str">
        <f t="shared" si="1"/>
        <v>CBO13</v>
      </c>
      <c r="L9" s="3" t="str">
        <f t="shared" si="1"/>
        <v>CBO14</v>
      </c>
      <c r="M9" s="3" t="str">
        <f t="shared" si="1"/>
        <v>CBO15</v>
      </c>
      <c r="N9" s="16">
        <v>3</v>
      </c>
      <c r="O9" s="44"/>
      <c r="P9" s="45"/>
      <c r="Q9" s="45"/>
      <c r="R9" s="45"/>
      <c r="S9" s="45"/>
      <c r="T9" s="45"/>
      <c r="U9" s="33"/>
      <c r="V9" s="33"/>
      <c r="W9" s="33"/>
      <c r="X9" s="33"/>
      <c r="Y9" s="33"/>
      <c r="Z9" s="33"/>
    </row>
    <row r="10" spans="1:27" ht="15" thickBot="1" x14ac:dyDescent="0.35">
      <c r="A10" s="33"/>
      <c r="B10" s="31"/>
      <c r="C10" s="13">
        <v>4</v>
      </c>
      <c r="D10" s="3" t="str">
        <f t="shared" si="2"/>
        <v>MOD16</v>
      </c>
      <c r="E10" s="3" t="str">
        <f t="shared" si="0"/>
        <v>MOD17</v>
      </c>
      <c r="F10" s="3" t="str">
        <f t="shared" si="0"/>
        <v>MOD18</v>
      </c>
      <c r="G10" s="3" t="str">
        <f t="shared" si="0"/>
        <v>MOD19</v>
      </c>
      <c r="H10" s="13" t="s">
        <v>37</v>
      </c>
      <c r="I10" s="16" t="s">
        <v>37</v>
      </c>
      <c r="J10" s="3" t="str">
        <f t="shared" si="3"/>
        <v>CBO16</v>
      </c>
      <c r="K10" s="3" t="str">
        <f t="shared" si="1"/>
        <v>CBO17</v>
      </c>
      <c r="L10" s="3" t="str">
        <f t="shared" si="1"/>
        <v>CBO18</v>
      </c>
      <c r="M10" s="3" t="str">
        <f t="shared" si="1"/>
        <v>CBO19</v>
      </c>
      <c r="N10" s="16">
        <v>4</v>
      </c>
      <c r="O10" s="44"/>
      <c r="P10" s="45"/>
      <c r="Q10" s="45"/>
      <c r="R10" s="45"/>
      <c r="S10" s="45"/>
      <c r="T10" s="45"/>
      <c r="U10" s="33"/>
      <c r="V10" s="33"/>
      <c r="W10" s="33"/>
      <c r="X10" s="33"/>
      <c r="Y10" s="33"/>
      <c r="Z10" s="33"/>
    </row>
    <row r="11" spans="1:27" ht="15" thickBot="1" x14ac:dyDescent="0.35">
      <c r="A11" s="33"/>
      <c r="B11" s="31"/>
      <c r="C11" s="13">
        <v>5</v>
      </c>
      <c r="D11" s="3" t="str">
        <f t="shared" si="2"/>
        <v>MOD20</v>
      </c>
      <c r="E11" s="3" t="str">
        <f t="shared" si="0"/>
        <v>MOD21</v>
      </c>
      <c r="F11" s="3" t="str">
        <f t="shared" si="0"/>
        <v>MOD22</v>
      </c>
      <c r="G11" s="3" t="str">
        <f t="shared" si="0"/>
        <v>MOD23</v>
      </c>
      <c r="H11" s="13" t="s">
        <v>37</v>
      </c>
      <c r="I11" s="16" t="s">
        <v>37</v>
      </c>
      <c r="J11" s="3" t="str">
        <f t="shared" si="3"/>
        <v>CBO20</v>
      </c>
      <c r="K11" s="3" t="str">
        <f t="shared" si="1"/>
        <v>CBO21</v>
      </c>
      <c r="L11" s="3" t="str">
        <f t="shared" si="1"/>
        <v>CBO22</v>
      </c>
      <c r="M11" s="3" t="str">
        <f t="shared" si="1"/>
        <v>CBO23</v>
      </c>
      <c r="N11" s="16">
        <v>5</v>
      </c>
      <c r="O11" s="44"/>
      <c r="P11" s="45"/>
      <c r="Q11" s="45"/>
      <c r="R11" s="45"/>
      <c r="S11" s="45"/>
      <c r="T11" s="45"/>
      <c r="U11" s="33"/>
      <c r="V11" s="33"/>
      <c r="W11" s="33"/>
      <c r="X11" s="33"/>
      <c r="Y11" s="33"/>
      <c r="Z11" s="33"/>
    </row>
    <row r="12" spans="1:27" ht="15" thickBot="1" x14ac:dyDescent="0.35">
      <c r="A12" s="33"/>
      <c r="B12" s="31"/>
      <c r="C12" s="13">
        <v>6</v>
      </c>
      <c r="D12" s="3" t="str">
        <f t="shared" si="2"/>
        <v>MOD24</v>
      </c>
      <c r="E12" s="3" t="str">
        <f t="shared" si="0"/>
        <v>MOD25</v>
      </c>
      <c r="F12" s="3" t="str">
        <f t="shared" si="0"/>
        <v>MOD26</v>
      </c>
      <c r="G12" s="3" t="str">
        <f t="shared" si="0"/>
        <v>MOD27</v>
      </c>
      <c r="H12" s="13" t="s">
        <v>37</v>
      </c>
      <c r="I12" s="16" t="s">
        <v>37</v>
      </c>
      <c r="J12" s="3" t="str">
        <f t="shared" si="3"/>
        <v>CBO24</v>
      </c>
      <c r="K12" s="3" t="str">
        <f t="shared" si="1"/>
        <v>CBO25</v>
      </c>
      <c r="L12" s="3" t="str">
        <f t="shared" si="1"/>
        <v>CBO26</v>
      </c>
      <c r="M12" s="3" t="str">
        <f t="shared" si="1"/>
        <v>CBO27</v>
      </c>
      <c r="N12" s="16">
        <v>6</v>
      </c>
      <c r="O12" s="44"/>
      <c r="P12" s="45"/>
      <c r="Q12" s="45"/>
      <c r="R12" s="45"/>
      <c r="S12" s="45"/>
      <c r="T12" s="45"/>
      <c r="U12" s="33"/>
      <c r="V12" s="33"/>
      <c r="W12" s="33"/>
      <c r="X12" s="33"/>
      <c r="Y12" s="33"/>
      <c r="Z12" s="33"/>
    </row>
    <row r="13" spans="1:27" x14ac:dyDescent="0.3">
      <c r="A13" s="33"/>
      <c r="B13" s="31"/>
      <c r="C13" s="13">
        <v>7</v>
      </c>
      <c r="D13" s="3" t="str">
        <f t="shared" si="2"/>
        <v>MOD28</v>
      </c>
      <c r="E13" s="3" t="str">
        <f t="shared" si="0"/>
        <v>MOD29</v>
      </c>
      <c r="F13" s="3" t="str">
        <f t="shared" si="0"/>
        <v>MOD30</v>
      </c>
      <c r="G13" s="3" t="str">
        <f t="shared" si="0"/>
        <v>MOD31</v>
      </c>
      <c r="H13" s="13" t="s">
        <v>37</v>
      </c>
      <c r="I13" s="16" t="s">
        <v>37</v>
      </c>
      <c r="J13" s="3" t="str">
        <f t="shared" si="3"/>
        <v>CBO28</v>
      </c>
      <c r="K13" s="3" t="str">
        <f t="shared" si="1"/>
        <v>CBO29</v>
      </c>
      <c r="L13" s="3" t="str">
        <f t="shared" si="1"/>
        <v>CBO30</v>
      </c>
      <c r="M13" s="3" t="str">
        <f t="shared" si="1"/>
        <v>CBO31</v>
      </c>
      <c r="N13" s="16">
        <v>7</v>
      </c>
      <c r="O13" s="44"/>
      <c r="P13" s="45"/>
      <c r="Q13" s="45"/>
      <c r="R13" s="45"/>
      <c r="S13" s="45"/>
      <c r="T13" s="45"/>
      <c r="U13" s="33"/>
      <c r="V13" s="33"/>
      <c r="W13" s="33"/>
      <c r="X13" s="33"/>
      <c r="Y13" s="33"/>
      <c r="Z13" s="33"/>
    </row>
    <row r="14" spans="1:27" x14ac:dyDescent="0.3">
      <c r="A14" s="33"/>
      <c r="B14" s="31"/>
      <c r="C14" s="20"/>
      <c r="D14" s="26"/>
      <c r="E14" s="26"/>
      <c r="F14" s="26"/>
      <c r="G14" s="26"/>
      <c r="H14" s="20"/>
      <c r="I14" s="21"/>
      <c r="J14" s="22" t="s">
        <v>43</v>
      </c>
      <c r="K14" s="23"/>
      <c r="L14" s="23"/>
      <c r="M14" s="24"/>
      <c r="N14" s="21"/>
      <c r="O14" s="44"/>
      <c r="P14" s="45"/>
      <c r="Q14" s="45"/>
      <c r="R14" s="45"/>
      <c r="S14" s="45"/>
      <c r="T14" s="45"/>
      <c r="U14" s="33"/>
      <c r="V14" s="33"/>
      <c r="W14" s="33"/>
      <c r="X14" s="33"/>
      <c r="Y14" s="33"/>
      <c r="Z14" s="33"/>
    </row>
    <row r="15" spans="1:27" ht="15" thickBot="1" x14ac:dyDescent="0.35">
      <c r="A15" s="33"/>
      <c r="B15" s="32"/>
      <c r="C15" s="27"/>
      <c r="D15" s="28"/>
      <c r="E15" s="28"/>
      <c r="F15" s="28"/>
      <c r="G15" s="28"/>
      <c r="H15" s="28"/>
      <c r="I15" s="21"/>
      <c r="J15" s="25" t="s">
        <v>44</v>
      </c>
      <c r="K15" s="25" t="s">
        <v>44</v>
      </c>
      <c r="L15" s="25" t="s">
        <v>44</v>
      </c>
      <c r="M15" s="25" t="s">
        <v>44</v>
      </c>
      <c r="N15" s="21"/>
      <c r="O15" s="44"/>
      <c r="P15" s="45"/>
      <c r="Q15" s="45"/>
      <c r="R15" s="45"/>
      <c r="S15" s="45"/>
      <c r="T15" s="45"/>
      <c r="U15" s="33"/>
      <c r="V15" s="33"/>
      <c r="W15" s="33"/>
      <c r="X15" s="33"/>
      <c r="Y15" s="33"/>
      <c r="Z15" s="33"/>
    </row>
    <row r="16" spans="1:27" ht="15" thickBot="1" x14ac:dyDescent="0.35">
      <c r="A16" s="33"/>
      <c r="B16" s="36"/>
      <c r="C16" s="37"/>
      <c r="D16" s="37"/>
      <c r="E16" s="37"/>
      <c r="F16" s="37"/>
      <c r="G16" s="37"/>
      <c r="H16" s="37"/>
      <c r="I16" s="37"/>
      <c r="J16" s="37"/>
      <c r="K16" s="37"/>
      <c r="L16" s="37"/>
      <c r="M16" s="37"/>
      <c r="N16" s="37"/>
      <c r="O16" s="44"/>
      <c r="P16" s="45"/>
      <c r="Q16" s="45"/>
      <c r="R16" s="45"/>
      <c r="S16" s="45"/>
      <c r="T16" s="45"/>
      <c r="U16" s="33"/>
      <c r="V16" s="33"/>
      <c r="W16" s="33"/>
      <c r="X16" s="33"/>
      <c r="Y16" s="33"/>
      <c r="Z16" s="33"/>
    </row>
    <row r="17" spans="1:26" ht="15" thickBot="1" x14ac:dyDescent="0.35">
      <c r="A17" s="33"/>
      <c r="B17" s="29" t="s">
        <v>38</v>
      </c>
      <c r="C17" s="14" t="s">
        <v>42</v>
      </c>
      <c r="D17" s="14"/>
      <c r="E17" s="14"/>
      <c r="F17" s="14"/>
      <c r="G17" s="14"/>
      <c r="H17" s="15"/>
      <c r="I17" s="17" t="s">
        <v>41</v>
      </c>
      <c r="J17" s="18"/>
      <c r="K17" s="18"/>
      <c r="L17" s="18"/>
      <c r="M17" s="18"/>
      <c r="N17" s="19"/>
      <c r="O17" s="44"/>
      <c r="P17" s="45"/>
      <c r="Q17" s="45"/>
      <c r="R17" s="45"/>
      <c r="S17" s="45"/>
      <c r="T17" s="45"/>
      <c r="U17" s="33"/>
      <c r="V17" s="33"/>
      <c r="W17" s="33"/>
      <c r="X17" s="33"/>
      <c r="Y17" s="33"/>
      <c r="Z17" s="33"/>
    </row>
    <row r="18" spans="1:26" ht="15" thickBot="1" x14ac:dyDescent="0.35">
      <c r="A18" s="33"/>
      <c r="B18" s="29">
        <v>1</v>
      </c>
      <c r="C18" s="13" t="s">
        <v>40</v>
      </c>
      <c r="D18" s="13">
        <v>0</v>
      </c>
      <c r="E18" s="13">
        <v>1</v>
      </c>
      <c r="F18" s="13">
        <v>2</v>
      </c>
      <c r="G18" s="13">
        <v>3</v>
      </c>
      <c r="H18" s="13" t="s">
        <v>35</v>
      </c>
      <c r="I18" s="16" t="s">
        <v>36</v>
      </c>
      <c r="J18" s="16">
        <v>0</v>
      </c>
      <c r="K18" s="16">
        <v>1</v>
      </c>
      <c r="L18" s="16">
        <v>2</v>
      </c>
      <c r="M18" s="16">
        <v>3</v>
      </c>
      <c r="N18" s="16" t="s">
        <v>40</v>
      </c>
      <c r="O18" s="44"/>
      <c r="P18" s="45"/>
      <c r="Q18" s="45"/>
      <c r="R18" s="45"/>
      <c r="S18" s="45"/>
      <c r="T18" s="45"/>
      <c r="U18" s="33"/>
      <c r="V18" s="33"/>
      <c r="W18" s="33"/>
      <c r="X18" s="33"/>
      <c r="Y18" s="33"/>
      <c r="Z18" s="33"/>
    </row>
    <row r="19" spans="1:26" ht="15" customHeight="1" thickBot="1" x14ac:dyDescent="0.35">
      <c r="A19" s="33"/>
      <c r="B19" s="30" t="s">
        <v>39</v>
      </c>
      <c r="C19" s="13">
        <v>0</v>
      </c>
      <c r="D19" s="3" t="str">
        <f>"MOD"&amp;(($C19*4)+(D$18))+($B$18*32)</f>
        <v>MOD32</v>
      </c>
      <c r="E19" s="3" t="str">
        <f t="shared" ref="E19:G26" si="4">"MOD"&amp;(($C19*4)+(E$18))+($B$18*32)</f>
        <v>MOD33</v>
      </c>
      <c r="F19" s="3" t="str">
        <f t="shared" si="4"/>
        <v>MOD34</v>
      </c>
      <c r="G19" s="3" t="str">
        <f t="shared" si="4"/>
        <v>MOD35</v>
      </c>
      <c r="H19" s="13" t="s">
        <v>37</v>
      </c>
      <c r="I19" s="16" t="s">
        <v>37</v>
      </c>
      <c r="J19" s="3" t="str">
        <f>"CBO"&amp;(($N19*4)+(J$18))+($B$18*32)</f>
        <v>CBO32</v>
      </c>
      <c r="K19" s="3" t="str">
        <f t="shared" ref="K19:M26" si="5">"CBO"&amp;(($N19*4)+(K$18))+($B$18*32)</f>
        <v>CBO33</v>
      </c>
      <c r="L19" s="3" t="str">
        <f t="shared" si="5"/>
        <v>CBO34</v>
      </c>
      <c r="M19" s="3" t="str">
        <f t="shared" si="5"/>
        <v>CBO35</v>
      </c>
      <c r="N19" s="16">
        <v>0</v>
      </c>
      <c r="O19" s="44"/>
      <c r="P19" s="45"/>
      <c r="Q19" s="45"/>
      <c r="R19" s="45"/>
      <c r="S19" s="45"/>
      <c r="T19" s="45"/>
      <c r="U19" s="33"/>
      <c r="V19" s="33"/>
      <c r="W19" s="33"/>
      <c r="X19" s="33"/>
      <c r="Y19" s="33"/>
      <c r="Z19" s="33"/>
    </row>
    <row r="20" spans="1:26" ht="15" thickBot="1" x14ac:dyDescent="0.35">
      <c r="A20" s="33"/>
      <c r="B20" s="31"/>
      <c r="C20" s="13">
        <v>1</v>
      </c>
      <c r="D20" s="3" t="str">
        <f t="shared" ref="D20:D26" si="6">"MOD"&amp;(($C20*4)+(D$18))+($B$18*32)</f>
        <v>MOD36</v>
      </c>
      <c r="E20" s="3" t="str">
        <f t="shared" si="4"/>
        <v>MOD37</v>
      </c>
      <c r="F20" s="3" t="str">
        <f t="shared" si="4"/>
        <v>MOD38</v>
      </c>
      <c r="G20" s="3" t="str">
        <f t="shared" si="4"/>
        <v>MOD39</v>
      </c>
      <c r="H20" s="13" t="s">
        <v>37</v>
      </c>
      <c r="I20" s="16" t="s">
        <v>37</v>
      </c>
      <c r="J20" s="3" t="str">
        <f t="shared" ref="J20:J26" si="7">"CBO"&amp;(($N20*4)+(J$18))+($B$18*32)</f>
        <v>CBO36</v>
      </c>
      <c r="K20" s="3" t="str">
        <f t="shared" si="5"/>
        <v>CBO37</v>
      </c>
      <c r="L20" s="3" t="str">
        <f t="shared" si="5"/>
        <v>CBO38</v>
      </c>
      <c r="M20" s="3" t="str">
        <f t="shared" si="5"/>
        <v>CBO39</v>
      </c>
      <c r="N20" s="16">
        <v>1</v>
      </c>
      <c r="O20" s="44"/>
      <c r="P20" s="45"/>
      <c r="Q20" s="45"/>
      <c r="R20" s="45"/>
      <c r="S20" s="45"/>
      <c r="T20" s="45"/>
      <c r="U20" s="33"/>
      <c r="V20" s="33"/>
      <c r="W20" s="33"/>
      <c r="X20" s="33"/>
      <c r="Y20" s="33"/>
      <c r="Z20" s="33"/>
    </row>
    <row r="21" spans="1:26" ht="15" thickBot="1" x14ac:dyDescent="0.35">
      <c r="A21" s="33"/>
      <c r="B21" s="31"/>
      <c r="C21" s="13">
        <v>2</v>
      </c>
      <c r="D21" s="3" t="str">
        <f t="shared" si="6"/>
        <v>MOD40</v>
      </c>
      <c r="E21" s="3" t="str">
        <f t="shared" si="4"/>
        <v>MOD41</v>
      </c>
      <c r="F21" s="3" t="str">
        <f t="shared" si="4"/>
        <v>MOD42</v>
      </c>
      <c r="G21" s="3" t="str">
        <f t="shared" si="4"/>
        <v>MOD43</v>
      </c>
      <c r="H21" s="13" t="s">
        <v>37</v>
      </c>
      <c r="I21" s="16" t="s">
        <v>37</v>
      </c>
      <c r="J21" s="3" t="str">
        <f t="shared" si="7"/>
        <v>CBO40</v>
      </c>
      <c r="K21" s="3" t="str">
        <f t="shared" si="5"/>
        <v>CBO41</v>
      </c>
      <c r="L21" s="3" t="str">
        <f t="shared" si="5"/>
        <v>CBO42</v>
      </c>
      <c r="M21" s="3" t="str">
        <f t="shared" si="5"/>
        <v>CBO43</v>
      </c>
      <c r="N21" s="16">
        <v>2</v>
      </c>
      <c r="O21" s="44"/>
      <c r="P21" s="45"/>
      <c r="Q21" s="45"/>
      <c r="R21" s="45"/>
      <c r="S21" s="45"/>
      <c r="T21" s="45"/>
      <c r="U21" s="33"/>
      <c r="V21" s="33"/>
      <c r="W21" s="33"/>
      <c r="X21" s="33"/>
      <c r="Y21" s="33"/>
      <c r="Z21" s="33"/>
    </row>
    <row r="22" spans="1:26" ht="15" thickBot="1" x14ac:dyDescent="0.35">
      <c r="A22" s="33"/>
      <c r="B22" s="31"/>
      <c r="C22" s="13">
        <v>3</v>
      </c>
      <c r="D22" s="3" t="str">
        <f t="shared" si="6"/>
        <v>MOD44</v>
      </c>
      <c r="E22" s="3" t="str">
        <f t="shared" si="4"/>
        <v>MOD45</v>
      </c>
      <c r="F22" s="3" t="str">
        <f t="shared" si="4"/>
        <v>MOD46</v>
      </c>
      <c r="G22" s="3" t="str">
        <f t="shared" si="4"/>
        <v>MOD47</v>
      </c>
      <c r="H22" s="13" t="s">
        <v>37</v>
      </c>
      <c r="I22" s="16" t="s">
        <v>37</v>
      </c>
      <c r="J22" s="3" t="str">
        <f t="shared" si="7"/>
        <v>CBO44</v>
      </c>
      <c r="K22" s="3" t="str">
        <f t="shared" si="5"/>
        <v>CBO45</v>
      </c>
      <c r="L22" s="3" t="str">
        <f t="shared" si="5"/>
        <v>CBO46</v>
      </c>
      <c r="M22" s="3" t="str">
        <f t="shared" si="5"/>
        <v>CBO47</v>
      </c>
      <c r="N22" s="16">
        <v>3</v>
      </c>
      <c r="O22" s="44"/>
      <c r="P22" s="45"/>
      <c r="Q22" s="45"/>
      <c r="R22" s="45"/>
      <c r="S22" s="45"/>
      <c r="T22" s="45"/>
      <c r="U22" s="33"/>
      <c r="V22" s="33"/>
      <c r="W22" s="33"/>
      <c r="X22" s="33"/>
      <c r="Y22" s="33"/>
      <c r="Z22" s="33"/>
    </row>
    <row r="23" spans="1:26" ht="15" thickBot="1" x14ac:dyDescent="0.35">
      <c r="A23" s="33"/>
      <c r="B23" s="31"/>
      <c r="C23" s="13">
        <v>4</v>
      </c>
      <c r="D23" s="3" t="str">
        <f t="shared" si="6"/>
        <v>MOD48</v>
      </c>
      <c r="E23" s="3" t="str">
        <f t="shared" si="4"/>
        <v>MOD49</v>
      </c>
      <c r="F23" s="3" t="str">
        <f t="shared" si="4"/>
        <v>MOD50</v>
      </c>
      <c r="G23" s="3" t="str">
        <f t="shared" si="4"/>
        <v>MOD51</v>
      </c>
      <c r="H23" s="13" t="s">
        <v>37</v>
      </c>
      <c r="I23" s="16" t="s">
        <v>37</v>
      </c>
      <c r="J23" s="3" t="str">
        <f t="shared" si="7"/>
        <v>CBO48</v>
      </c>
      <c r="K23" s="3" t="str">
        <f t="shared" si="5"/>
        <v>CBO49</v>
      </c>
      <c r="L23" s="3" t="str">
        <f t="shared" si="5"/>
        <v>CBO50</v>
      </c>
      <c r="M23" s="3" t="str">
        <f t="shared" si="5"/>
        <v>CBO51</v>
      </c>
      <c r="N23" s="16">
        <v>4</v>
      </c>
      <c r="O23" s="44"/>
      <c r="P23" s="45"/>
      <c r="Q23" s="45"/>
      <c r="R23" s="45"/>
      <c r="S23" s="45"/>
      <c r="T23" s="45"/>
      <c r="U23" s="33"/>
      <c r="V23" s="33"/>
      <c r="W23" s="33"/>
      <c r="X23" s="33"/>
      <c r="Y23" s="33"/>
      <c r="Z23" s="33"/>
    </row>
    <row r="24" spans="1:26" ht="15" thickBot="1" x14ac:dyDescent="0.35">
      <c r="A24" s="33"/>
      <c r="B24" s="31"/>
      <c r="C24" s="13">
        <v>5</v>
      </c>
      <c r="D24" s="3" t="str">
        <f t="shared" si="6"/>
        <v>MOD52</v>
      </c>
      <c r="E24" s="3" t="str">
        <f t="shared" si="4"/>
        <v>MOD53</v>
      </c>
      <c r="F24" s="3" t="str">
        <f t="shared" si="4"/>
        <v>MOD54</v>
      </c>
      <c r="G24" s="3" t="str">
        <f t="shared" si="4"/>
        <v>MOD55</v>
      </c>
      <c r="H24" s="13" t="s">
        <v>37</v>
      </c>
      <c r="I24" s="16" t="s">
        <v>37</v>
      </c>
      <c r="J24" s="3" t="str">
        <f t="shared" si="7"/>
        <v>CBO52</v>
      </c>
      <c r="K24" s="3" t="str">
        <f t="shared" si="5"/>
        <v>CBO53</v>
      </c>
      <c r="L24" s="3" t="str">
        <f t="shared" si="5"/>
        <v>CBO54</v>
      </c>
      <c r="M24" s="3" t="str">
        <f t="shared" si="5"/>
        <v>CBO55</v>
      </c>
      <c r="N24" s="16">
        <v>5</v>
      </c>
      <c r="O24" s="44"/>
      <c r="P24" s="45"/>
      <c r="Q24" s="45"/>
      <c r="R24" s="45"/>
      <c r="S24" s="45"/>
      <c r="T24" s="45"/>
      <c r="U24" s="33"/>
      <c r="V24" s="33"/>
      <c r="W24" s="33"/>
      <c r="X24" s="33"/>
      <c r="Y24" s="33"/>
      <c r="Z24" s="33"/>
    </row>
    <row r="25" spans="1:26" ht="15" thickBot="1" x14ac:dyDescent="0.35">
      <c r="A25" s="33"/>
      <c r="B25" s="31"/>
      <c r="C25" s="13">
        <v>6</v>
      </c>
      <c r="D25" s="3" t="str">
        <f t="shared" si="6"/>
        <v>MOD56</v>
      </c>
      <c r="E25" s="3" t="str">
        <f t="shared" si="4"/>
        <v>MOD57</v>
      </c>
      <c r="F25" s="3" t="str">
        <f t="shared" si="4"/>
        <v>MOD58</v>
      </c>
      <c r="G25" s="3" t="str">
        <f t="shared" si="4"/>
        <v>MOD59</v>
      </c>
      <c r="H25" s="13" t="s">
        <v>37</v>
      </c>
      <c r="I25" s="16" t="s">
        <v>37</v>
      </c>
      <c r="J25" s="3" t="str">
        <f t="shared" si="7"/>
        <v>CBO56</v>
      </c>
      <c r="K25" s="3" t="str">
        <f t="shared" si="5"/>
        <v>CBO57</v>
      </c>
      <c r="L25" s="3" t="str">
        <f t="shared" si="5"/>
        <v>CBO58</v>
      </c>
      <c r="M25" s="3" t="str">
        <f t="shared" si="5"/>
        <v>CBO59</v>
      </c>
      <c r="N25" s="16">
        <v>6</v>
      </c>
      <c r="O25" s="44"/>
      <c r="P25" s="45"/>
      <c r="Q25" s="45"/>
      <c r="R25" s="45"/>
      <c r="S25" s="45"/>
      <c r="T25" s="45"/>
      <c r="U25" s="33"/>
      <c r="V25" s="33"/>
      <c r="W25" s="33"/>
      <c r="X25" s="33"/>
      <c r="Y25" s="33"/>
      <c r="Z25" s="33"/>
    </row>
    <row r="26" spans="1:26" x14ac:dyDescent="0.3">
      <c r="A26" s="33"/>
      <c r="B26" s="31"/>
      <c r="C26" s="13">
        <v>7</v>
      </c>
      <c r="D26" s="3" t="str">
        <f t="shared" si="6"/>
        <v>MOD60</v>
      </c>
      <c r="E26" s="3" t="str">
        <f t="shared" si="4"/>
        <v>MOD61</v>
      </c>
      <c r="F26" s="3" t="str">
        <f t="shared" si="4"/>
        <v>MOD62</v>
      </c>
      <c r="G26" s="3" t="str">
        <f t="shared" si="4"/>
        <v>MOD63</v>
      </c>
      <c r="H26" s="13" t="s">
        <v>37</v>
      </c>
      <c r="I26" s="16" t="s">
        <v>37</v>
      </c>
      <c r="J26" s="3" t="str">
        <f t="shared" si="7"/>
        <v>CBO60</v>
      </c>
      <c r="K26" s="3" t="str">
        <f t="shared" si="5"/>
        <v>CBO61</v>
      </c>
      <c r="L26" s="3" t="str">
        <f t="shared" si="5"/>
        <v>CBO62</v>
      </c>
      <c r="M26" s="3" t="str">
        <f t="shared" si="5"/>
        <v>CBO63</v>
      </c>
      <c r="N26" s="16">
        <v>7</v>
      </c>
      <c r="O26" s="44"/>
      <c r="P26" s="45"/>
      <c r="Q26" s="45"/>
      <c r="R26" s="45"/>
      <c r="S26" s="45"/>
      <c r="T26" s="45"/>
      <c r="U26" s="33"/>
      <c r="V26" s="33"/>
      <c r="W26" s="33"/>
      <c r="X26" s="33"/>
      <c r="Y26" s="33"/>
      <c r="Z26" s="33"/>
    </row>
    <row r="27" spans="1:26" x14ac:dyDescent="0.3">
      <c r="A27" s="33"/>
      <c r="B27" s="31"/>
      <c r="C27" s="20"/>
      <c r="D27" s="26"/>
      <c r="E27" s="26"/>
      <c r="F27" s="26"/>
      <c r="G27" s="26"/>
      <c r="H27" s="20"/>
      <c r="I27" s="21"/>
      <c r="J27" s="22" t="s">
        <v>43</v>
      </c>
      <c r="K27" s="23"/>
      <c r="L27" s="23"/>
      <c r="M27" s="24"/>
      <c r="N27" s="21"/>
      <c r="O27" s="44"/>
      <c r="P27" s="45"/>
      <c r="Q27" s="45"/>
      <c r="R27" s="45"/>
      <c r="S27" s="45"/>
      <c r="T27" s="45"/>
      <c r="U27" s="33"/>
      <c r="V27" s="33"/>
      <c r="W27" s="33"/>
      <c r="X27" s="33"/>
      <c r="Y27" s="33"/>
      <c r="Z27" s="33"/>
    </row>
    <row r="28" spans="1:26" ht="15" thickBot="1" x14ac:dyDescent="0.35">
      <c r="A28" s="33"/>
      <c r="B28" s="32"/>
      <c r="C28" s="27"/>
      <c r="D28" s="28"/>
      <c r="E28" s="28"/>
      <c r="F28" s="28"/>
      <c r="G28" s="28"/>
      <c r="H28" s="28"/>
      <c r="I28" s="21"/>
      <c r="J28" s="25" t="s">
        <v>44</v>
      </c>
      <c r="K28" s="25" t="s">
        <v>44</v>
      </c>
      <c r="L28" s="25" t="s">
        <v>44</v>
      </c>
      <c r="M28" s="25" t="s">
        <v>44</v>
      </c>
      <c r="N28" s="21"/>
      <c r="O28" s="44"/>
      <c r="P28" s="45"/>
      <c r="Q28" s="45"/>
      <c r="R28" s="45"/>
      <c r="S28" s="45"/>
      <c r="T28" s="45"/>
      <c r="U28" s="33"/>
      <c r="V28" s="33"/>
      <c r="W28" s="33"/>
      <c r="X28" s="33"/>
      <c r="Y28" s="33"/>
      <c r="Z28" s="33"/>
    </row>
    <row r="29" spans="1:26" ht="15" thickBot="1" x14ac:dyDescent="0.35">
      <c r="A29" s="33"/>
      <c r="B29" s="36"/>
      <c r="C29" s="37"/>
      <c r="D29" s="37"/>
      <c r="E29" s="37"/>
      <c r="F29" s="37"/>
      <c r="G29" s="37"/>
      <c r="H29" s="37"/>
      <c r="I29" s="37"/>
      <c r="J29" s="37"/>
      <c r="K29" s="37"/>
      <c r="L29" s="37"/>
      <c r="M29" s="37"/>
      <c r="N29" s="37"/>
      <c r="O29" s="44"/>
      <c r="P29" s="45"/>
      <c r="Q29" s="45"/>
      <c r="R29" s="45"/>
      <c r="S29" s="45"/>
      <c r="T29" s="45"/>
      <c r="U29" s="33"/>
      <c r="V29" s="33"/>
      <c r="W29" s="33"/>
      <c r="X29" s="33"/>
      <c r="Y29" s="33"/>
      <c r="Z29" s="33"/>
    </row>
    <row r="30" spans="1:26" ht="15" thickBot="1" x14ac:dyDescent="0.35">
      <c r="A30" s="33"/>
      <c r="B30" s="29" t="s">
        <v>38</v>
      </c>
      <c r="C30" s="14" t="s">
        <v>42</v>
      </c>
      <c r="D30" s="14"/>
      <c r="E30" s="14"/>
      <c r="F30" s="14"/>
      <c r="G30" s="14"/>
      <c r="H30" s="15"/>
      <c r="I30" s="17" t="s">
        <v>41</v>
      </c>
      <c r="J30" s="18"/>
      <c r="K30" s="18"/>
      <c r="L30" s="18"/>
      <c r="M30" s="18"/>
      <c r="N30" s="19"/>
      <c r="O30" s="44"/>
      <c r="P30" s="45"/>
      <c r="Q30" s="45"/>
      <c r="R30" s="45"/>
      <c r="S30" s="45"/>
      <c r="T30" s="45"/>
      <c r="U30" s="33"/>
      <c r="V30" s="33"/>
      <c r="W30" s="33"/>
      <c r="X30" s="33"/>
      <c r="Y30" s="33"/>
      <c r="Z30" s="33"/>
    </row>
    <row r="31" spans="1:26" ht="15" thickBot="1" x14ac:dyDescent="0.35">
      <c r="A31" s="33"/>
      <c r="B31" s="29">
        <v>2</v>
      </c>
      <c r="C31" s="13" t="s">
        <v>40</v>
      </c>
      <c r="D31" s="13">
        <v>0</v>
      </c>
      <c r="E31" s="13">
        <v>1</v>
      </c>
      <c r="F31" s="13">
        <v>2</v>
      </c>
      <c r="G31" s="13">
        <v>3</v>
      </c>
      <c r="H31" s="13" t="s">
        <v>35</v>
      </c>
      <c r="I31" s="16" t="s">
        <v>36</v>
      </c>
      <c r="J31" s="16">
        <v>0</v>
      </c>
      <c r="K31" s="16">
        <v>1</v>
      </c>
      <c r="L31" s="16">
        <v>2</v>
      </c>
      <c r="M31" s="16">
        <v>3</v>
      </c>
      <c r="N31" s="16" t="s">
        <v>40</v>
      </c>
      <c r="O31" s="44"/>
      <c r="P31" s="45"/>
      <c r="Q31" s="45"/>
      <c r="R31" s="45"/>
      <c r="S31" s="45"/>
      <c r="T31" s="45"/>
      <c r="U31" s="33"/>
      <c r="V31" s="33"/>
      <c r="W31" s="33"/>
      <c r="X31" s="33"/>
      <c r="Y31" s="33"/>
      <c r="Z31" s="33"/>
    </row>
    <row r="32" spans="1:26" ht="15" customHeight="1" thickBot="1" x14ac:dyDescent="0.35">
      <c r="A32" s="33"/>
      <c r="B32" s="30" t="s">
        <v>39</v>
      </c>
      <c r="C32" s="13">
        <v>0</v>
      </c>
      <c r="D32" s="3" t="str">
        <f>"MOD"&amp;(($C32*4)+(D$31))+($B$31*32)</f>
        <v>MOD64</v>
      </c>
      <c r="E32" s="3" t="str">
        <f t="shared" ref="E32:G39" si="8">"MOD"&amp;(($C32*4)+(E$31))+($B$31*32)</f>
        <v>MOD65</v>
      </c>
      <c r="F32" s="3" t="str">
        <f t="shared" si="8"/>
        <v>MOD66</v>
      </c>
      <c r="G32" s="3" t="str">
        <f t="shared" si="8"/>
        <v>MOD67</v>
      </c>
      <c r="H32" s="13" t="s">
        <v>37</v>
      </c>
      <c r="I32" s="16" t="s">
        <v>37</v>
      </c>
      <c r="J32" s="3" t="str">
        <f>"CBO"&amp;(($N32*4)+(J$31))+($B$31*32)</f>
        <v>CBO64</v>
      </c>
      <c r="K32" s="3" t="str">
        <f t="shared" ref="K32:M39" si="9">"CBO"&amp;(($N32*4)+(K$31))+($B$31*32)</f>
        <v>CBO65</v>
      </c>
      <c r="L32" s="3" t="str">
        <f t="shared" si="9"/>
        <v>CBO66</v>
      </c>
      <c r="M32" s="3" t="str">
        <f t="shared" si="9"/>
        <v>CBO67</v>
      </c>
      <c r="N32" s="16">
        <v>0</v>
      </c>
      <c r="O32" s="44"/>
      <c r="P32" s="45"/>
      <c r="Q32" s="45"/>
      <c r="R32" s="45"/>
      <c r="S32" s="45"/>
      <c r="T32" s="45"/>
      <c r="U32" s="33"/>
      <c r="V32" s="33"/>
      <c r="W32" s="33"/>
      <c r="X32" s="33"/>
      <c r="Y32" s="33"/>
      <c r="Z32" s="33"/>
    </row>
    <row r="33" spans="1:26" ht="15" thickBot="1" x14ac:dyDescent="0.35">
      <c r="A33" s="33"/>
      <c r="B33" s="31"/>
      <c r="C33" s="13">
        <v>1</v>
      </c>
      <c r="D33" s="3" t="str">
        <f t="shared" ref="D33:D39" si="10">"MOD"&amp;(($C33*4)+(D$31))+($B$31*32)</f>
        <v>MOD68</v>
      </c>
      <c r="E33" s="3" t="str">
        <f t="shared" si="8"/>
        <v>MOD69</v>
      </c>
      <c r="F33" s="3" t="str">
        <f t="shared" si="8"/>
        <v>MOD70</v>
      </c>
      <c r="G33" s="3" t="str">
        <f t="shared" si="8"/>
        <v>MOD71</v>
      </c>
      <c r="H33" s="13" t="s">
        <v>37</v>
      </c>
      <c r="I33" s="16" t="s">
        <v>37</v>
      </c>
      <c r="J33" s="3" t="str">
        <f t="shared" ref="J33:J39" si="11">"CBO"&amp;(($N33*4)+(J$31))+($B$31*32)</f>
        <v>CBO68</v>
      </c>
      <c r="K33" s="3" t="str">
        <f t="shared" si="9"/>
        <v>CBO69</v>
      </c>
      <c r="L33" s="3" t="str">
        <f t="shared" si="9"/>
        <v>CBO70</v>
      </c>
      <c r="M33" s="3" t="str">
        <f t="shared" si="9"/>
        <v>CBO71</v>
      </c>
      <c r="N33" s="16">
        <v>1</v>
      </c>
      <c r="O33" s="44"/>
      <c r="P33" s="45"/>
      <c r="Q33" s="45"/>
      <c r="R33" s="45"/>
      <c r="S33" s="45"/>
      <c r="T33" s="45"/>
      <c r="U33" s="33"/>
      <c r="V33" s="33"/>
      <c r="W33" s="33"/>
      <c r="X33" s="33"/>
      <c r="Y33" s="33"/>
      <c r="Z33" s="33"/>
    </row>
    <row r="34" spans="1:26" ht="15" thickBot="1" x14ac:dyDescent="0.35">
      <c r="A34" s="33"/>
      <c r="B34" s="31"/>
      <c r="C34" s="13">
        <v>2</v>
      </c>
      <c r="D34" s="3" t="str">
        <f t="shared" si="10"/>
        <v>MOD72</v>
      </c>
      <c r="E34" s="3" t="str">
        <f t="shared" si="8"/>
        <v>MOD73</v>
      </c>
      <c r="F34" s="3" t="str">
        <f t="shared" si="8"/>
        <v>MOD74</v>
      </c>
      <c r="G34" s="3" t="str">
        <f t="shared" si="8"/>
        <v>MOD75</v>
      </c>
      <c r="H34" s="13" t="s">
        <v>37</v>
      </c>
      <c r="I34" s="16" t="s">
        <v>37</v>
      </c>
      <c r="J34" s="3" t="str">
        <f t="shared" si="11"/>
        <v>CBO72</v>
      </c>
      <c r="K34" s="3" t="str">
        <f t="shared" si="9"/>
        <v>CBO73</v>
      </c>
      <c r="L34" s="3" t="str">
        <f t="shared" si="9"/>
        <v>CBO74</v>
      </c>
      <c r="M34" s="3" t="str">
        <f t="shared" si="9"/>
        <v>CBO75</v>
      </c>
      <c r="N34" s="16">
        <v>2</v>
      </c>
      <c r="O34" s="44"/>
      <c r="P34" s="45"/>
      <c r="Q34" s="45"/>
      <c r="R34" s="45"/>
      <c r="S34" s="45"/>
      <c r="T34" s="45"/>
      <c r="U34" s="33"/>
      <c r="V34" s="33"/>
      <c r="W34" s="33"/>
      <c r="X34" s="33"/>
      <c r="Y34" s="33"/>
      <c r="Z34" s="33"/>
    </row>
    <row r="35" spans="1:26" ht="15" thickBot="1" x14ac:dyDescent="0.35">
      <c r="A35" s="33"/>
      <c r="B35" s="31"/>
      <c r="C35" s="13">
        <v>3</v>
      </c>
      <c r="D35" s="3" t="str">
        <f t="shared" si="10"/>
        <v>MOD76</v>
      </c>
      <c r="E35" s="3" t="str">
        <f t="shared" si="8"/>
        <v>MOD77</v>
      </c>
      <c r="F35" s="3" t="str">
        <f t="shared" si="8"/>
        <v>MOD78</v>
      </c>
      <c r="G35" s="3" t="str">
        <f t="shared" si="8"/>
        <v>MOD79</v>
      </c>
      <c r="H35" s="13" t="s">
        <v>37</v>
      </c>
      <c r="I35" s="16" t="s">
        <v>37</v>
      </c>
      <c r="J35" s="3" t="str">
        <f t="shared" si="11"/>
        <v>CBO76</v>
      </c>
      <c r="K35" s="3" t="str">
        <f t="shared" si="9"/>
        <v>CBO77</v>
      </c>
      <c r="L35" s="3" t="str">
        <f t="shared" si="9"/>
        <v>CBO78</v>
      </c>
      <c r="M35" s="3" t="str">
        <f t="shared" si="9"/>
        <v>CBO79</v>
      </c>
      <c r="N35" s="16">
        <v>3</v>
      </c>
      <c r="O35" s="44"/>
      <c r="P35" s="45"/>
      <c r="Q35" s="45"/>
      <c r="R35" s="45"/>
      <c r="S35" s="45"/>
      <c r="T35" s="45"/>
      <c r="U35" s="33"/>
      <c r="V35" s="33"/>
      <c r="W35" s="33"/>
      <c r="X35" s="33"/>
      <c r="Y35" s="33"/>
      <c r="Z35" s="33"/>
    </row>
    <row r="36" spans="1:26" ht="15" thickBot="1" x14ac:dyDescent="0.35">
      <c r="A36" s="33"/>
      <c r="B36" s="31"/>
      <c r="C36" s="13">
        <v>4</v>
      </c>
      <c r="D36" s="3" t="str">
        <f t="shared" si="10"/>
        <v>MOD80</v>
      </c>
      <c r="E36" s="3" t="str">
        <f t="shared" si="8"/>
        <v>MOD81</v>
      </c>
      <c r="F36" s="3" t="str">
        <f t="shared" si="8"/>
        <v>MOD82</v>
      </c>
      <c r="G36" s="3" t="str">
        <f t="shared" si="8"/>
        <v>MOD83</v>
      </c>
      <c r="H36" s="13" t="s">
        <v>37</v>
      </c>
      <c r="I36" s="16" t="s">
        <v>37</v>
      </c>
      <c r="J36" s="3" t="str">
        <f t="shared" si="11"/>
        <v>CBO80</v>
      </c>
      <c r="K36" s="3" t="str">
        <f t="shared" si="9"/>
        <v>CBO81</v>
      </c>
      <c r="L36" s="3" t="str">
        <f t="shared" si="9"/>
        <v>CBO82</v>
      </c>
      <c r="M36" s="3" t="str">
        <f t="shared" si="9"/>
        <v>CBO83</v>
      </c>
      <c r="N36" s="16">
        <v>4</v>
      </c>
      <c r="O36" s="44"/>
      <c r="P36" s="45"/>
      <c r="Q36" s="45"/>
      <c r="R36" s="45"/>
      <c r="S36" s="45"/>
      <c r="T36" s="45"/>
      <c r="U36" s="33"/>
      <c r="V36" s="33"/>
      <c r="W36" s="33"/>
      <c r="X36" s="33"/>
      <c r="Y36" s="33"/>
      <c r="Z36" s="33"/>
    </row>
    <row r="37" spans="1:26" ht="15" thickBot="1" x14ac:dyDescent="0.35">
      <c r="A37" s="33"/>
      <c r="B37" s="31"/>
      <c r="C37" s="13">
        <v>5</v>
      </c>
      <c r="D37" s="3" t="str">
        <f t="shared" si="10"/>
        <v>MOD84</v>
      </c>
      <c r="E37" s="3" t="str">
        <f t="shared" si="8"/>
        <v>MOD85</v>
      </c>
      <c r="F37" s="3" t="str">
        <f t="shared" si="8"/>
        <v>MOD86</v>
      </c>
      <c r="G37" s="3" t="str">
        <f t="shared" si="8"/>
        <v>MOD87</v>
      </c>
      <c r="H37" s="13" t="s">
        <v>37</v>
      </c>
      <c r="I37" s="16" t="s">
        <v>37</v>
      </c>
      <c r="J37" s="3" t="str">
        <f t="shared" si="11"/>
        <v>CBO84</v>
      </c>
      <c r="K37" s="3" t="str">
        <f t="shared" si="9"/>
        <v>CBO85</v>
      </c>
      <c r="L37" s="3" t="str">
        <f t="shared" si="9"/>
        <v>CBO86</v>
      </c>
      <c r="M37" s="3" t="str">
        <f t="shared" si="9"/>
        <v>CBO87</v>
      </c>
      <c r="N37" s="16">
        <v>5</v>
      </c>
      <c r="O37" s="44"/>
      <c r="P37" s="45"/>
      <c r="Q37" s="45"/>
      <c r="R37" s="45"/>
      <c r="S37" s="45"/>
      <c r="T37" s="45"/>
      <c r="U37" s="33"/>
      <c r="V37" s="33"/>
      <c r="W37" s="33"/>
      <c r="X37" s="33"/>
      <c r="Y37" s="33"/>
      <c r="Z37" s="33"/>
    </row>
    <row r="38" spans="1:26" ht="15" thickBot="1" x14ac:dyDescent="0.35">
      <c r="A38" s="33"/>
      <c r="B38" s="31"/>
      <c r="C38" s="13">
        <v>6</v>
      </c>
      <c r="D38" s="3" t="str">
        <f t="shared" si="10"/>
        <v>MOD88</v>
      </c>
      <c r="E38" s="3" t="str">
        <f t="shared" si="8"/>
        <v>MOD89</v>
      </c>
      <c r="F38" s="3" t="str">
        <f t="shared" si="8"/>
        <v>MOD90</v>
      </c>
      <c r="G38" s="3" t="str">
        <f t="shared" si="8"/>
        <v>MOD91</v>
      </c>
      <c r="H38" s="13" t="s">
        <v>37</v>
      </c>
      <c r="I38" s="16" t="s">
        <v>37</v>
      </c>
      <c r="J38" s="3" t="str">
        <f t="shared" si="11"/>
        <v>CBO88</v>
      </c>
      <c r="K38" s="3" t="str">
        <f t="shared" si="9"/>
        <v>CBO89</v>
      </c>
      <c r="L38" s="3" t="str">
        <f t="shared" si="9"/>
        <v>CBO90</v>
      </c>
      <c r="M38" s="3" t="str">
        <f t="shared" si="9"/>
        <v>CBO91</v>
      </c>
      <c r="N38" s="16">
        <v>6</v>
      </c>
      <c r="O38" s="44"/>
      <c r="P38" s="45"/>
      <c r="Q38" s="45"/>
      <c r="R38" s="45"/>
      <c r="S38" s="45"/>
      <c r="T38" s="45"/>
      <c r="U38" s="33"/>
      <c r="V38" s="33"/>
      <c r="W38" s="33"/>
      <c r="X38" s="33"/>
      <c r="Y38" s="33"/>
      <c r="Z38" s="33"/>
    </row>
    <row r="39" spans="1:26" x14ac:dyDescent="0.3">
      <c r="A39" s="33"/>
      <c r="B39" s="31"/>
      <c r="C39" s="13">
        <v>7</v>
      </c>
      <c r="D39" s="3" t="str">
        <f t="shared" si="10"/>
        <v>MOD92</v>
      </c>
      <c r="E39" s="3" t="str">
        <f t="shared" si="8"/>
        <v>MOD93</v>
      </c>
      <c r="F39" s="3" t="str">
        <f t="shared" si="8"/>
        <v>MOD94</v>
      </c>
      <c r="G39" s="3" t="str">
        <f t="shared" si="8"/>
        <v>MOD95</v>
      </c>
      <c r="H39" s="13" t="s">
        <v>37</v>
      </c>
      <c r="I39" s="16" t="s">
        <v>37</v>
      </c>
      <c r="J39" s="3" t="str">
        <f t="shared" si="11"/>
        <v>CBO92</v>
      </c>
      <c r="K39" s="3" t="str">
        <f t="shared" si="9"/>
        <v>CBO93</v>
      </c>
      <c r="L39" s="3" t="str">
        <f t="shared" si="9"/>
        <v>CBO94</v>
      </c>
      <c r="M39" s="3" t="str">
        <f t="shared" si="9"/>
        <v>CBO95</v>
      </c>
      <c r="N39" s="16">
        <v>7</v>
      </c>
      <c r="O39" s="44"/>
      <c r="P39" s="45"/>
      <c r="Q39" s="45"/>
      <c r="R39" s="45"/>
      <c r="S39" s="45"/>
      <c r="T39" s="45"/>
      <c r="U39" s="33"/>
      <c r="V39" s="33"/>
      <c r="W39" s="33"/>
      <c r="X39" s="33"/>
      <c r="Y39" s="33"/>
      <c r="Z39" s="33"/>
    </row>
    <row r="40" spans="1:26" x14ac:dyDescent="0.3">
      <c r="A40" s="33"/>
      <c r="B40" s="31"/>
      <c r="C40" s="20"/>
      <c r="D40" s="26"/>
      <c r="E40" s="26"/>
      <c r="F40" s="26"/>
      <c r="G40" s="26"/>
      <c r="H40" s="20"/>
      <c r="I40" s="21"/>
      <c r="J40" s="22" t="s">
        <v>43</v>
      </c>
      <c r="K40" s="23"/>
      <c r="L40" s="23"/>
      <c r="M40" s="24"/>
      <c r="N40" s="21"/>
      <c r="O40" s="44"/>
      <c r="P40" s="45"/>
      <c r="Q40" s="45"/>
      <c r="R40" s="45"/>
      <c r="S40" s="45"/>
      <c r="T40" s="45"/>
      <c r="U40" s="33"/>
      <c r="V40" s="33"/>
      <c r="W40" s="33"/>
      <c r="X40" s="33"/>
      <c r="Y40" s="33"/>
      <c r="Z40" s="33"/>
    </row>
    <row r="41" spans="1:26" ht="15" thickBot="1" x14ac:dyDescent="0.35">
      <c r="A41" s="33"/>
      <c r="B41" s="32"/>
      <c r="C41" s="27"/>
      <c r="D41" s="28"/>
      <c r="E41" s="28"/>
      <c r="F41" s="28"/>
      <c r="G41" s="28"/>
      <c r="H41" s="28"/>
      <c r="I41" s="21"/>
      <c r="J41" s="25" t="s">
        <v>44</v>
      </c>
      <c r="K41" s="25" t="s">
        <v>44</v>
      </c>
      <c r="L41" s="25" t="s">
        <v>44</v>
      </c>
      <c r="M41" s="25" t="s">
        <v>44</v>
      </c>
      <c r="N41" s="21"/>
      <c r="O41" s="44"/>
      <c r="P41" s="45"/>
      <c r="Q41" s="45"/>
      <c r="R41" s="45"/>
      <c r="S41" s="45"/>
      <c r="T41" s="45"/>
      <c r="U41" s="33"/>
      <c r="V41" s="33"/>
      <c r="W41" s="33"/>
      <c r="X41" s="33"/>
      <c r="Y41" s="33"/>
      <c r="Z41" s="33"/>
    </row>
    <row r="42" spans="1:26" ht="15" thickBot="1" x14ac:dyDescent="0.35">
      <c r="A42" s="33"/>
      <c r="B42" s="36"/>
      <c r="C42" s="37"/>
      <c r="D42" s="37"/>
      <c r="E42" s="37"/>
      <c r="F42" s="37"/>
      <c r="G42" s="37"/>
      <c r="H42" s="37"/>
      <c r="I42" s="37"/>
      <c r="J42" s="37"/>
      <c r="K42" s="37"/>
      <c r="L42" s="37"/>
      <c r="M42" s="37"/>
      <c r="N42" s="37"/>
      <c r="O42" s="44"/>
      <c r="P42" s="45"/>
      <c r="Q42" s="45"/>
      <c r="R42" s="45"/>
      <c r="S42" s="45"/>
      <c r="T42" s="45"/>
      <c r="U42" s="33"/>
      <c r="V42" s="33"/>
      <c r="W42" s="33"/>
      <c r="X42" s="33"/>
      <c r="Y42" s="33"/>
      <c r="Z42" s="33"/>
    </row>
    <row r="43" spans="1:26" ht="15" thickBot="1" x14ac:dyDescent="0.35">
      <c r="A43" s="33"/>
      <c r="B43" s="29" t="s">
        <v>38</v>
      </c>
      <c r="C43" s="14" t="s">
        <v>42</v>
      </c>
      <c r="D43" s="14"/>
      <c r="E43" s="14"/>
      <c r="F43" s="14"/>
      <c r="G43" s="14"/>
      <c r="H43" s="15"/>
      <c r="I43" s="17" t="s">
        <v>41</v>
      </c>
      <c r="J43" s="18"/>
      <c r="K43" s="18"/>
      <c r="L43" s="18"/>
      <c r="M43" s="18"/>
      <c r="N43" s="19"/>
      <c r="O43" s="44"/>
      <c r="P43" s="45"/>
      <c r="Q43" s="45"/>
      <c r="R43" s="45"/>
      <c r="S43" s="45"/>
      <c r="T43" s="45"/>
      <c r="U43" s="33"/>
      <c r="V43" s="33"/>
      <c r="W43" s="33"/>
      <c r="X43" s="33"/>
      <c r="Y43" s="33"/>
      <c r="Z43" s="33"/>
    </row>
    <row r="44" spans="1:26" ht="15" thickBot="1" x14ac:dyDescent="0.35">
      <c r="A44" s="33"/>
      <c r="B44" s="29">
        <v>3</v>
      </c>
      <c r="C44" s="13" t="s">
        <v>40</v>
      </c>
      <c r="D44" s="13">
        <v>0</v>
      </c>
      <c r="E44" s="13">
        <v>1</v>
      </c>
      <c r="F44" s="13">
        <v>2</v>
      </c>
      <c r="G44" s="13">
        <v>3</v>
      </c>
      <c r="H44" s="13" t="s">
        <v>35</v>
      </c>
      <c r="I44" s="16" t="s">
        <v>36</v>
      </c>
      <c r="J44" s="16">
        <v>0</v>
      </c>
      <c r="K44" s="16">
        <v>1</v>
      </c>
      <c r="L44" s="16">
        <v>2</v>
      </c>
      <c r="M44" s="16">
        <v>3</v>
      </c>
      <c r="N44" s="16" t="s">
        <v>40</v>
      </c>
      <c r="O44" s="44"/>
      <c r="P44" s="45"/>
      <c r="Q44" s="45"/>
      <c r="R44" s="45"/>
      <c r="S44" s="45"/>
      <c r="T44" s="45"/>
      <c r="U44" s="33"/>
      <c r="V44" s="33"/>
      <c r="W44" s="33"/>
      <c r="X44" s="33"/>
      <c r="Y44" s="33"/>
      <c r="Z44" s="33"/>
    </row>
    <row r="45" spans="1:26" ht="15" customHeight="1" thickBot="1" x14ac:dyDescent="0.35">
      <c r="A45" s="33"/>
      <c r="B45" s="30" t="s">
        <v>39</v>
      </c>
      <c r="C45" s="13">
        <v>0</v>
      </c>
      <c r="D45" s="3" t="str">
        <f>"MOD"&amp;(($C45*4)+(D$44))+($B$44*32)</f>
        <v>MOD96</v>
      </c>
      <c r="E45" s="3" t="str">
        <f t="shared" ref="E45:G52" si="12">"MOD"&amp;(($C45*4)+(E$44))+($B$44*32)</f>
        <v>MOD97</v>
      </c>
      <c r="F45" s="3" t="str">
        <f t="shared" si="12"/>
        <v>MOD98</v>
      </c>
      <c r="G45" s="3" t="str">
        <f t="shared" si="12"/>
        <v>MOD99</v>
      </c>
      <c r="H45" s="13" t="s">
        <v>37</v>
      </c>
      <c r="I45" s="16" t="s">
        <v>37</v>
      </c>
      <c r="J45" s="3" t="str">
        <f>"CBO"&amp;(($N45*4)+(J$44))+($B$44*32)</f>
        <v>CBO96</v>
      </c>
      <c r="K45" s="3" t="str">
        <f t="shared" ref="K45:M52" si="13">"CBO"&amp;(($N45*4)+(K$44))+($B$44*32)</f>
        <v>CBO97</v>
      </c>
      <c r="L45" s="3" t="str">
        <f t="shared" si="13"/>
        <v>CBO98</v>
      </c>
      <c r="M45" s="3" t="str">
        <f t="shared" si="13"/>
        <v>CBO99</v>
      </c>
      <c r="N45" s="16">
        <v>0</v>
      </c>
      <c r="O45" s="44"/>
      <c r="P45" s="45"/>
      <c r="Q45" s="45"/>
      <c r="R45" s="45"/>
      <c r="S45" s="45"/>
      <c r="T45" s="45"/>
      <c r="U45" s="33"/>
      <c r="V45" s="33"/>
      <c r="W45" s="33"/>
      <c r="X45" s="33"/>
      <c r="Y45" s="33"/>
      <c r="Z45" s="33"/>
    </row>
    <row r="46" spans="1:26" ht="15" thickBot="1" x14ac:dyDescent="0.35">
      <c r="A46" s="33"/>
      <c r="B46" s="31"/>
      <c r="C46" s="13">
        <v>1</v>
      </c>
      <c r="D46" s="3" t="str">
        <f t="shared" ref="D46:D52" si="14">"MOD"&amp;(($C46*4)+(D$44))+($B$44*32)</f>
        <v>MOD100</v>
      </c>
      <c r="E46" s="3" t="str">
        <f t="shared" si="12"/>
        <v>MOD101</v>
      </c>
      <c r="F46" s="3" t="str">
        <f t="shared" si="12"/>
        <v>MOD102</v>
      </c>
      <c r="G46" s="3" t="str">
        <f t="shared" si="12"/>
        <v>MOD103</v>
      </c>
      <c r="H46" s="13" t="s">
        <v>37</v>
      </c>
      <c r="I46" s="16" t="s">
        <v>37</v>
      </c>
      <c r="J46" s="3" t="str">
        <f t="shared" ref="J46:J52" si="15">"CBO"&amp;(($N46*4)+(J$44))+($B$44*32)</f>
        <v>CBO100</v>
      </c>
      <c r="K46" s="3" t="str">
        <f t="shared" si="13"/>
        <v>CBO101</v>
      </c>
      <c r="L46" s="3" t="str">
        <f t="shared" si="13"/>
        <v>CBO102</v>
      </c>
      <c r="M46" s="3" t="str">
        <f t="shared" si="13"/>
        <v>CBO103</v>
      </c>
      <c r="N46" s="16">
        <v>1</v>
      </c>
      <c r="O46" s="44"/>
      <c r="P46" s="45"/>
      <c r="Q46" s="45"/>
      <c r="R46" s="45"/>
      <c r="S46" s="45"/>
      <c r="T46" s="45"/>
      <c r="U46" s="33"/>
      <c r="V46" s="33"/>
      <c r="W46" s="33"/>
      <c r="X46" s="33"/>
      <c r="Y46" s="33"/>
      <c r="Z46" s="33"/>
    </row>
    <row r="47" spans="1:26" ht="15" thickBot="1" x14ac:dyDescent="0.35">
      <c r="A47" s="33"/>
      <c r="B47" s="31"/>
      <c r="C47" s="13">
        <v>2</v>
      </c>
      <c r="D47" s="3" t="str">
        <f t="shared" si="14"/>
        <v>MOD104</v>
      </c>
      <c r="E47" s="3" t="str">
        <f t="shared" si="12"/>
        <v>MOD105</v>
      </c>
      <c r="F47" s="3" t="str">
        <f t="shared" si="12"/>
        <v>MOD106</v>
      </c>
      <c r="G47" s="3" t="str">
        <f t="shared" si="12"/>
        <v>MOD107</v>
      </c>
      <c r="H47" s="13" t="s">
        <v>37</v>
      </c>
      <c r="I47" s="16" t="s">
        <v>37</v>
      </c>
      <c r="J47" s="3" t="str">
        <f t="shared" si="15"/>
        <v>CBO104</v>
      </c>
      <c r="K47" s="3" t="str">
        <f t="shared" si="13"/>
        <v>CBO105</v>
      </c>
      <c r="L47" s="3" t="str">
        <f t="shared" si="13"/>
        <v>CBO106</v>
      </c>
      <c r="M47" s="3" t="str">
        <f t="shared" si="13"/>
        <v>CBO107</v>
      </c>
      <c r="N47" s="16">
        <v>2</v>
      </c>
      <c r="O47" s="44"/>
      <c r="P47" s="45"/>
      <c r="Q47" s="45"/>
      <c r="R47" s="45"/>
      <c r="S47" s="45"/>
      <c r="T47" s="45"/>
      <c r="U47" s="33"/>
      <c r="V47" s="33"/>
      <c r="W47" s="33"/>
      <c r="X47" s="33"/>
      <c r="Y47" s="33"/>
      <c r="Z47" s="33"/>
    </row>
    <row r="48" spans="1:26" ht="15" thickBot="1" x14ac:dyDescent="0.35">
      <c r="A48" s="33"/>
      <c r="B48" s="31"/>
      <c r="C48" s="13">
        <v>3</v>
      </c>
      <c r="D48" s="3" t="str">
        <f t="shared" si="14"/>
        <v>MOD108</v>
      </c>
      <c r="E48" s="3" t="str">
        <f t="shared" si="12"/>
        <v>MOD109</v>
      </c>
      <c r="F48" s="3" t="str">
        <f t="shared" si="12"/>
        <v>MOD110</v>
      </c>
      <c r="G48" s="3" t="str">
        <f t="shared" si="12"/>
        <v>MOD111</v>
      </c>
      <c r="H48" s="13" t="s">
        <v>37</v>
      </c>
      <c r="I48" s="16" t="s">
        <v>37</v>
      </c>
      <c r="J48" s="3" t="str">
        <f t="shared" si="15"/>
        <v>CBO108</v>
      </c>
      <c r="K48" s="3" t="str">
        <f t="shared" si="13"/>
        <v>CBO109</v>
      </c>
      <c r="L48" s="3" t="str">
        <f t="shared" si="13"/>
        <v>CBO110</v>
      </c>
      <c r="M48" s="3" t="str">
        <f t="shared" si="13"/>
        <v>CBO111</v>
      </c>
      <c r="N48" s="16">
        <v>3</v>
      </c>
      <c r="O48" s="44"/>
      <c r="P48" s="45"/>
      <c r="Q48" s="45"/>
      <c r="R48" s="45"/>
      <c r="S48" s="45"/>
      <c r="T48" s="45"/>
      <c r="U48" s="33"/>
      <c r="V48" s="33"/>
      <c r="W48" s="33"/>
      <c r="X48" s="33"/>
      <c r="Y48" s="33"/>
      <c r="Z48" s="33"/>
    </row>
    <row r="49" spans="1:26" ht="15" thickBot="1" x14ac:dyDescent="0.35">
      <c r="A49" s="33"/>
      <c r="B49" s="31"/>
      <c r="C49" s="13">
        <v>4</v>
      </c>
      <c r="D49" s="3" t="str">
        <f t="shared" si="14"/>
        <v>MOD112</v>
      </c>
      <c r="E49" s="3" t="str">
        <f t="shared" si="12"/>
        <v>MOD113</v>
      </c>
      <c r="F49" s="3" t="str">
        <f t="shared" si="12"/>
        <v>MOD114</v>
      </c>
      <c r="G49" s="3" t="str">
        <f t="shared" si="12"/>
        <v>MOD115</v>
      </c>
      <c r="H49" s="13" t="s">
        <v>37</v>
      </c>
      <c r="I49" s="16" t="s">
        <v>37</v>
      </c>
      <c r="J49" s="3" t="str">
        <f t="shared" si="15"/>
        <v>CBO112</v>
      </c>
      <c r="K49" s="3" t="str">
        <f t="shared" si="13"/>
        <v>CBO113</v>
      </c>
      <c r="L49" s="3" t="str">
        <f t="shared" si="13"/>
        <v>CBO114</v>
      </c>
      <c r="M49" s="3" t="str">
        <f t="shared" si="13"/>
        <v>CBO115</v>
      </c>
      <c r="N49" s="16">
        <v>4</v>
      </c>
      <c r="O49" s="44"/>
      <c r="P49" s="45"/>
      <c r="Q49" s="45"/>
      <c r="R49" s="45"/>
      <c r="S49" s="45"/>
      <c r="T49" s="45"/>
      <c r="U49" s="33"/>
      <c r="V49" s="33"/>
      <c r="W49" s="33"/>
      <c r="X49" s="33"/>
      <c r="Y49" s="33"/>
      <c r="Z49" s="33"/>
    </row>
    <row r="50" spans="1:26" ht="15" thickBot="1" x14ac:dyDescent="0.35">
      <c r="A50" s="33"/>
      <c r="B50" s="31"/>
      <c r="C50" s="13">
        <v>5</v>
      </c>
      <c r="D50" s="3" t="str">
        <f t="shared" si="14"/>
        <v>MOD116</v>
      </c>
      <c r="E50" s="3" t="str">
        <f t="shared" si="12"/>
        <v>MOD117</v>
      </c>
      <c r="F50" s="3" t="str">
        <f t="shared" si="12"/>
        <v>MOD118</v>
      </c>
      <c r="G50" s="3" t="str">
        <f t="shared" si="12"/>
        <v>MOD119</v>
      </c>
      <c r="H50" s="13" t="s">
        <v>37</v>
      </c>
      <c r="I50" s="16" t="s">
        <v>37</v>
      </c>
      <c r="J50" s="3" t="str">
        <f t="shared" si="15"/>
        <v>CBO116</v>
      </c>
      <c r="K50" s="3" t="str">
        <f t="shared" si="13"/>
        <v>CBO117</v>
      </c>
      <c r="L50" s="3" t="str">
        <f t="shared" si="13"/>
        <v>CBO118</v>
      </c>
      <c r="M50" s="3" t="str">
        <f t="shared" si="13"/>
        <v>CBO119</v>
      </c>
      <c r="N50" s="16">
        <v>5</v>
      </c>
      <c r="O50" s="44"/>
      <c r="P50" s="45"/>
      <c r="Q50" s="45"/>
      <c r="R50" s="45"/>
      <c r="S50" s="45"/>
      <c r="T50" s="45"/>
      <c r="U50" s="33"/>
      <c r="V50" s="33"/>
      <c r="W50" s="33"/>
      <c r="X50" s="33"/>
      <c r="Y50" s="33"/>
      <c r="Z50" s="33"/>
    </row>
    <row r="51" spans="1:26" ht="15" thickBot="1" x14ac:dyDescent="0.35">
      <c r="A51" s="33"/>
      <c r="B51" s="31"/>
      <c r="C51" s="13">
        <v>6</v>
      </c>
      <c r="D51" s="3" t="str">
        <f t="shared" si="14"/>
        <v>MOD120</v>
      </c>
      <c r="E51" s="3" t="str">
        <f t="shared" si="12"/>
        <v>MOD121</v>
      </c>
      <c r="F51" s="3" t="str">
        <f t="shared" si="12"/>
        <v>MOD122</v>
      </c>
      <c r="G51" s="3" t="str">
        <f t="shared" si="12"/>
        <v>MOD123</v>
      </c>
      <c r="H51" s="13" t="s">
        <v>37</v>
      </c>
      <c r="I51" s="16" t="s">
        <v>37</v>
      </c>
      <c r="J51" s="3" t="str">
        <f t="shared" si="15"/>
        <v>CBO120</v>
      </c>
      <c r="K51" s="3" t="str">
        <f t="shared" si="13"/>
        <v>CBO121</v>
      </c>
      <c r="L51" s="3" t="str">
        <f t="shared" si="13"/>
        <v>CBO122</v>
      </c>
      <c r="M51" s="3" t="str">
        <f t="shared" si="13"/>
        <v>CBO123</v>
      </c>
      <c r="N51" s="16">
        <v>6</v>
      </c>
      <c r="O51" s="44"/>
      <c r="P51" s="45"/>
      <c r="Q51" s="45"/>
      <c r="R51" s="45"/>
      <c r="S51" s="45"/>
      <c r="T51" s="45"/>
      <c r="U51" s="33"/>
      <c r="V51" s="33"/>
      <c r="W51" s="33"/>
      <c r="X51" s="33"/>
      <c r="Y51" s="33"/>
      <c r="Z51" s="33"/>
    </row>
    <row r="52" spans="1:26" x14ac:dyDescent="0.3">
      <c r="A52" s="33"/>
      <c r="B52" s="31"/>
      <c r="C52" s="13">
        <v>7</v>
      </c>
      <c r="D52" s="3" t="str">
        <f t="shared" si="14"/>
        <v>MOD124</v>
      </c>
      <c r="E52" s="3" t="str">
        <f t="shared" si="12"/>
        <v>MOD125</v>
      </c>
      <c r="F52" s="3" t="str">
        <f t="shared" si="12"/>
        <v>MOD126</v>
      </c>
      <c r="G52" s="3" t="str">
        <f t="shared" si="12"/>
        <v>MOD127</v>
      </c>
      <c r="H52" s="13" t="s">
        <v>37</v>
      </c>
      <c r="I52" s="16" t="s">
        <v>37</v>
      </c>
      <c r="J52" s="3" t="str">
        <f t="shared" si="15"/>
        <v>CBO124</v>
      </c>
      <c r="K52" s="3" t="str">
        <f t="shared" si="13"/>
        <v>CBO125</v>
      </c>
      <c r="L52" s="3" t="str">
        <f t="shared" si="13"/>
        <v>CBO126</v>
      </c>
      <c r="M52" s="3" t="str">
        <f t="shared" si="13"/>
        <v>CBO127</v>
      </c>
      <c r="N52" s="16">
        <v>7</v>
      </c>
      <c r="O52" s="44"/>
      <c r="P52" s="45"/>
      <c r="Q52" s="45"/>
      <c r="R52" s="45"/>
      <c r="S52" s="45"/>
      <c r="T52" s="45"/>
      <c r="U52" s="33"/>
      <c r="V52" s="33"/>
      <c r="W52" s="33"/>
      <c r="X52" s="33"/>
      <c r="Y52" s="33"/>
      <c r="Z52" s="33"/>
    </row>
    <row r="53" spans="1:26" x14ac:dyDescent="0.3">
      <c r="A53" s="33"/>
      <c r="B53" s="31"/>
      <c r="C53" s="20"/>
      <c r="D53" s="26"/>
      <c r="E53" s="26"/>
      <c r="F53" s="26"/>
      <c r="G53" s="26"/>
      <c r="H53" s="20"/>
      <c r="I53" s="21"/>
      <c r="J53" s="22" t="s">
        <v>43</v>
      </c>
      <c r="K53" s="23"/>
      <c r="L53" s="23"/>
      <c r="M53" s="24"/>
      <c r="N53" s="21"/>
      <c r="O53" s="44"/>
      <c r="P53" s="45"/>
      <c r="Q53" s="45"/>
      <c r="R53" s="45"/>
      <c r="S53" s="45"/>
      <c r="T53" s="45"/>
      <c r="U53" s="33"/>
      <c r="V53" s="33"/>
      <c r="W53" s="33"/>
      <c r="X53" s="33"/>
      <c r="Y53" s="33"/>
      <c r="Z53" s="33"/>
    </row>
    <row r="54" spans="1:26" ht="15" thickBot="1" x14ac:dyDescent="0.35">
      <c r="A54" s="33"/>
      <c r="B54" s="32"/>
      <c r="C54" s="27"/>
      <c r="D54" s="28"/>
      <c r="E54" s="28"/>
      <c r="F54" s="28"/>
      <c r="G54" s="28"/>
      <c r="H54" s="28"/>
      <c r="I54" s="21"/>
      <c r="J54" s="25" t="s">
        <v>44</v>
      </c>
      <c r="K54" s="25" t="s">
        <v>44</v>
      </c>
      <c r="L54" s="25" t="s">
        <v>44</v>
      </c>
      <c r="M54" s="25" t="s">
        <v>44</v>
      </c>
      <c r="N54" s="21"/>
      <c r="O54" s="44"/>
      <c r="P54" s="45"/>
      <c r="Q54" s="45"/>
      <c r="R54" s="45"/>
      <c r="S54" s="45"/>
      <c r="T54" s="45"/>
      <c r="U54" s="33"/>
      <c r="V54" s="33"/>
      <c r="W54" s="33"/>
      <c r="X54" s="33"/>
      <c r="Y54" s="33"/>
      <c r="Z54" s="33"/>
    </row>
    <row r="55" spans="1:26" ht="15" thickBot="1" x14ac:dyDescent="0.35">
      <c r="A55" s="33"/>
      <c r="B55" s="36"/>
      <c r="C55" s="37"/>
      <c r="D55" s="37"/>
      <c r="E55" s="37"/>
      <c r="F55" s="37"/>
      <c r="G55" s="37"/>
      <c r="H55" s="37"/>
      <c r="I55" s="37"/>
      <c r="J55" s="37"/>
      <c r="K55" s="37"/>
      <c r="L55" s="37"/>
      <c r="M55" s="37"/>
      <c r="N55" s="37"/>
      <c r="O55" s="44"/>
      <c r="P55" s="45"/>
      <c r="Q55" s="45"/>
      <c r="R55" s="45"/>
      <c r="S55" s="45"/>
      <c r="T55" s="45"/>
      <c r="U55" s="33"/>
      <c r="V55" s="33"/>
      <c r="W55" s="33"/>
      <c r="X55" s="33"/>
      <c r="Y55" s="33"/>
      <c r="Z55" s="33"/>
    </row>
    <row r="56" spans="1:26" ht="15" thickBot="1" x14ac:dyDescent="0.35">
      <c r="A56" s="33"/>
      <c r="B56" s="39"/>
      <c r="C56" s="40" t="s">
        <v>53</v>
      </c>
      <c r="D56" s="40">
        <v>0</v>
      </c>
      <c r="E56" s="40">
        <v>1</v>
      </c>
      <c r="F56" s="40">
        <v>2</v>
      </c>
      <c r="G56" s="40">
        <v>3</v>
      </c>
      <c r="H56" s="40">
        <v>4</v>
      </c>
      <c r="I56" s="40">
        <v>5</v>
      </c>
      <c r="J56" s="40">
        <v>6</v>
      </c>
      <c r="K56" s="40">
        <v>7</v>
      </c>
      <c r="L56" s="40">
        <v>8</v>
      </c>
      <c r="M56" s="40" t="s">
        <v>53</v>
      </c>
      <c r="N56" s="39"/>
      <c r="O56" s="44"/>
      <c r="P56" s="45"/>
      <c r="Q56" s="45"/>
      <c r="R56" s="45"/>
      <c r="S56" s="45"/>
      <c r="T56" s="45"/>
      <c r="U56" s="33"/>
      <c r="V56" s="33"/>
      <c r="W56" s="33"/>
      <c r="X56" s="33"/>
      <c r="Y56" s="33"/>
      <c r="Z56" s="33"/>
    </row>
    <row r="57" spans="1:26" ht="15" thickBot="1" x14ac:dyDescent="0.35">
      <c r="A57" s="33"/>
      <c r="B57" s="39"/>
      <c r="C57" s="40">
        <v>0</v>
      </c>
      <c r="D57" s="5" t="s">
        <v>17</v>
      </c>
      <c r="E57" s="5" t="s">
        <v>46</v>
      </c>
      <c r="F57" s="5"/>
      <c r="G57" s="5"/>
      <c r="H57" s="5"/>
      <c r="I57" s="5"/>
      <c r="J57" s="5"/>
      <c r="K57" s="5" t="s">
        <v>48</v>
      </c>
      <c r="L57" s="5" t="s">
        <v>0</v>
      </c>
      <c r="M57" s="40">
        <v>0</v>
      </c>
      <c r="N57" s="39"/>
      <c r="O57" s="44"/>
      <c r="P57" s="45"/>
      <c r="Q57" s="45"/>
      <c r="R57" s="45"/>
      <c r="S57" s="45"/>
      <c r="T57" s="45"/>
      <c r="U57" s="33"/>
      <c r="V57" s="33"/>
      <c r="W57" s="33"/>
      <c r="X57" s="33"/>
      <c r="Y57" s="33"/>
      <c r="Z57" s="33"/>
    </row>
    <row r="58" spans="1:26" ht="15" thickBot="1" x14ac:dyDescent="0.35">
      <c r="A58" s="33"/>
      <c r="B58" s="39"/>
      <c r="C58" s="40">
        <v>1</v>
      </c>
      <c r="D58" s="5" t="s">
        <v>18</v>
      </c>
      <c r="E58" s="5"/>
      <c r="F58" s="5" t="s">
        <v>51</v>
      </c>
      <c r="G58" s="5" t="s">
        <v>9</v>
      </c>
      <c r="H58" s="5" t="s">
        <v>52</v>
      </c>
      <c r="I58" s="5" t="s">
        <v>52</v>
      </c>
      <c r="J58" s="5" t="s">
        <v>51</v>
      </c>
      <c r="K58" s="5"/>
      <c r="L58" s="5" t="s">
        <v>2</v>
      </c>
      <c r="M58" s="40">
        <v>1</v>
      </c>
      <c r="N58" s="39"/>
      <c r="O58" s="44"/>
      <c r="P58" s="45"/>
      <c r="Q58" s="45"/>
      <c r="R58" s="45"/>
      <c r="S58" s="45"/>
      <c r="T58" s="45"/>
      <c r="U58" s="33"/>
      <c r="V58" s="33"/>
      <c r="W58" s="33"/>
      <c r="X58" s="33"/>
      <c r="Y58" s="33"/>
      <c r="Z58" s="33"/>
    </row>
    <row r="59" spans="1:26" ht="15" thickBot="1" x14ac:dyDescent="0.35">
      <c r="A59" s="33"/>
      <c r="B59" s="39"/>
      <c r="C59" s="40">
        <v>2</v>
      </c>
      <c r="D59" s="5" t="s">
        <v>19</v>
      </c>
      <c r="E59" s="5" t="s">
        <v>50</v>
      </c>
      <c r="F59" s="5" t="s">
        <v>51</v>
      </c>
      <c r="G59" s="5" t="s">
        <v>52</v>
      </c>
      <c r="H59" s="5" t="s">
        <v>52</v>
      </c>
      <c r="I59" s="5" t="s">
        <v>52</v>
      </c>
      <c r="J59" s="5" t="s">
        <v>51</v>
      </c>
      <c r="K59" s="5"/>
      <c r="L59" s="5" t="s">
        <v>1</v>
      </c>
      <c r="M59" s="40">
        <v>2</v>
      </c>
      <c r="N59" s="39"/>
      <c r="O59" s="44"/>
      <c r="P59" s="45"/>
      <c r="Q59" s="45"/>
      <c r="R59" s="45"/>
      <c r="S59" s="45"/>
      <c r="T59" s="45"/>
      <c r="U59" s="33"/>
      <c r="V59" s="33"/>
      <c r="W59" s="33"/>
      <c r="X59" s="33"/>
      <c r="Y59" s="33"/>
      <c r="Z59" s="33"/>
    </row>
    <row r="60" spans="1:26" ht="15" thickBot="1" x14ac:dyDescent="0.35">
      <c r="A60" s="33"/>
      <c r="B60" s="39"/>
      <c r="C60" s="40">
        <v>3</v>
      </c>
      <c r="D60" s="5" t="s">
        <v>20</v>
      </c>
      <c r="E60" s="5" t="s">
        <v>47</v>
      </c>
      <c r="F60" s="5"/>
      <c r="G60" s="5"/>
      <c r="H60" s="5"/>
      <c r="I60" s="5"/>
      <c r="J60" s="5"/>
      <c r="K60" s="5" t="s">
        <v>49</v>
      </c>
      <c r="L60" s="5" t="s">
        <v>3</v>
      </c>
      <c r="M60" s="40">
        <v>3</v>
      </c>
      <c r="N60" s="39"/>
      <c r="O60" s="44"/>
      <c r="P60" s="45"/>
      <c r="Q60" s="45"/>
      <c r="R60" s="45"/>
      <c r="S60" s="45"/>
      <c r="T60" s="45"/>
      <c r="U60" s="33"/>
      <c r="V60" s="33"/>
      <c r="W60" s="33"/>
      <c r="X60" s="33"/>
      <c r="Y60" s="33"/>
      <c r="Z60" s="33"/>
    </row>
    <row r="61" spans="1:26" ht="15" thickBot="1" x14ac:dyDescent="0.35">
      <c r="A61" s="33"/>
      <c r="B61" s="39" t="s">
        <v>24</v>
      </c>
      <c r="C61" s="40" t="s">
        <v>53</v>
      </c>
      <c r="D61" s="41"/>
      <c r="E61" s="41"/>
      <c r="F61" s="41"/>
      <c r="G61" s="41"/>
      <c r="H61" s="41"/>
      <c r="I61" s="41"/>
      <c r="J61" s="41"/>
      <c r="K61" s="41"/>
      <c r="L61" s="41"/>
      <c r="M61" s="40" t="s">
        <v>53</v>
      </c>
      <c r="N61" s="39"/>
      <c r="O61" s="44"/>
      <c r="P61" s="45"/>
      <c r="Q61" s="45"/>
      <c r="R61" s="45"/>
      <c r="S61" s="45"/>
      <c r="T61" s="45"/>
      <c r="U61" s="33"/>
      <c r="V61" s="33"/>
      <c r="W61" s="33"/>
      <c r="X61" s="33"/>
      <c r="Y61" s="33"/>
      <c r="Z61" s="33"/>
    </row>
    <row r="62" spans="1:26" ht="15" thickBot="1" x14ac:dyDescent="0.35">
      <c r="A62" s="33"/>
      <c r="B62" s="36"/>
      <c r="C62" s="37"/>
      <c r="D62" s="37"/>
      <c r="E62" s="37"/>
      <c r="F62" s="37"/>
      <c r="G62" s="37"/>
      <c r="H62" s="37"/>
      <c r="I62" s="37"/>
      <c r="J62" s="37"/>
      <c r="K62" s="37"/>
      <c r="L62" s="37"/>
      <c r="M62" s="37"/>
      <c r="N62" s="37"/>
      <c r="O62" s="44"/>
      <c r="P62" s="45"/>
      <c r="Q62" s="45"/>
      <c r="R62" s="45"/>
      <c r="S62" s="45"/>
      <c r="T62" s="45"/>
      <c r="U62" s="33"/>
      <c r="V62" s="33"/>
      <c r="W62" s="33"/>
      <c r="X62" s="33"/>
      <c r="Y62" s="33"/>
      <c r="Z62" s="33"/>
    </row>
    <row r="63" spans="1:26" ht="15" thickBot="1" x14ac:dyDescent="0.35">
      <c r="A63" s="33"/>
      <c r="B63" s="39"/>
      <c r="C63" s="40" t="s">
        <v>45</v>
      </c>
      <c r="D63" s="40">
        <v>0</v>
      </c>
      <c r="E63" s="40">
        <v>1</v>
      </c>
      <c r="F63" s="40">
        <v>2</v>
      </c>
      <c r="G63" s="40">
        <v>3</v>
      </c>
      <c r="H63" s="40">
        <v>4</v>
      </c>
      <c r="I63" s="40">
        <v>5</v>
      </c>
      <c r="J63" s="40">
        <v>6</v>
      </c>
      <c r="K63" s="40">
        <v>7</v>
      </c>
      <c r="L63" s="40">
        <v>8</v>
      </c>
      <c r="M63" s="40" t="s">
        <v>45</v>
      </c>
      <c r="N63" s="39"/>
      <c r="O63" s="44"/>
      <c r="P63" s="45"/>
      <c r="Q63" s="45"/>
      <c r="R63" s="45"/>
      <c r="S63" s="45"/>
      <c r="T63" s="45"/>
      <c r="U63" s="33"/>
      <c r="V63" s="33"/>
      <c r="W63" s="33"/>
      <c r="X63" s="33"/>
      <c r="Y63" s="33"/>
      <c r="Z63" s="33"/>
    </row>
    <row r="64" spans="1:26" ht="15" thickBot="1" x14ac:dyDescent="0.35">
      <c r="A64" s="33"/>
      <c r="B64" s="39"/>
      <c r="C64" s="40">
        <v>0</v>
      </c>
      <c r="D64" s="5" t="s">
        <v>17</v>
      </c>
      <c r="E64" s="5" t="s">
        <v>46</v>
      </c>
      <c r="F64" s="5"/>
      <c r="G64" s="5"/>
      <c r="H64" s="5"/>
      <c r="I64" s="5"/>
      <c r="J64" s="5"/>
      <c r="K64" s="5" t="s">
        <v>48</v>
      </c>
      <c r="L64" s="5" t="s">
        <v>0</v>
      </c>
      <c r="M64" s="40">
        <v>0</v>
      </c>
      <c r="N64" s="39"/>
      <c r="O64" s="44"/>
      <c r="P64" s="45"/>
      <c r="Q64" s="45"/>
      <c r="R64" s="45"/>
      <c r="S64" s="45"/>
      <c r="T64" s="45"/>
      <c r="U64" s="33"/>
      <c r="V64" s="33"/>
      <c r="W64" s="33"/>
      <c r="X64" s="33"/>
      <c r="Y64" s="33"/>
      <c r="Z64" s="33"/>
    </row>
    <row r="65" spans="1:26" ht="15" thickBot="1" x14ac:dyDescent="0.35">
      <c r="A65" s="33"/>
      <c r="B65" s="39"/>
      <c r="C65" s="40">
        <v>1</v>
      </c>
      <c r="D65" s="5" t="s">
        <v>18</v>
      </c>
      <c r="E65" s="5"/>
      <c r="F65" s="5" t="s">
        <v>51</v>
      </c>
      <c r="G65" s="5" t="s">
        <v>9</v>
      </c>
      <c r="H65" s="5" t="s">
        <v>52</v>
      </c>
      <c r="I65" s="5" t="s">
        <v>52</v>
      </c>
      <c r="J65" s="5" t="s">
        <v>51</v>
      </c>
      <c r="K65" s="5"/>
      <c r="L65" s="5" t="s">
        <v>2</v>
      </c>
      <c r="M65" s="40">
        <v>1</v>
      </c>
      <c r="N65" s="39"/>
      <c r="O65" s="44"/>
      <c r="P65" s="45"/>
      <c r="Q65" s="45"/>
      <c r="R65" s="45"/>
      <c r="S65" s="45"/>
      <c r="T65" s="45"/>
      <c r="U65" s="33"/>
      <c r="V65" s="33"/>
      <c r="W65" s="33"/>
      <c r="X65" s="33"/>
      <c r="Y65" s="33"/>
      <c r="Z65" s="33"/>
    </row>
    <row r="66" spans="1:26" ht="15" thickBot="1" x14ac:dyDescent="0.35">
      <c r="A66" s="33"/>
      <c r="B66" s="39"/>
      <c r="C66" s="40">
        <v>2</v>
      </c>
      <c r="D66" s="5" t="s">
        <v>19</v>
      </c>
      <c r="E66" s="5" t="s">
        <v>50</v>
      </c>
      <c r="F66" s="5" t="s">
        <v>51</v>
      </c>
      <c r="G66" s="5" t="s">
        <v>52</v>
      </c>
      <c r="H66" s="5" t="s">
        <v>52</v>
      </c>
      <c r="I66" s="5" t="s">
        <v>52</v>
      </c>
      <c r="J66" s="5" t="s">
        <v>51</v>
      </c>
      <c r="K66" s="5"/>
      <c r="L66" s="5" t="s">
        <v>1</v>
      </c>
      <c r="M66" s="40">
        <v>2</v>
      </c>
      <c r="N66" s="39"/>
      <c r="O66" s="44"/>
      <c r="P66" s="45"/>
      <c r="Q66" s="45"/>
      <c r="R66" s="45"/>
      <c r="S66" s="45"/>
      <c r="T66" s="45"/>
      <c r="U66" s="33"/>
      <c r="V66" s="33"/>
      <c r="W66" s="33"/>
      <c r="X66" s="33"/>
      <c r="Y66" s="33"/>
      <c r="Z66" s="33"/>
    </row>
    <row r="67" spans="1:26" ht="15" thickBot="1" x14ac:dyDescent="0.35">
      <c r="A67" s="33"/>
      <c r="B67" s="39"/>
      <c r="C67" s="40">
        <v>3</v>
      </c>
      <c r="D67" s="5" t="s">
        <v>20</v>
      </c>
      <c r="E67" s="5" t="s">
        <v>47</v>
      </c>
      <c r="F67" s="5"/>
      <c r="G67" s="5"/>
      <c r="H67" s="5"/>
      <c r="I67" s="5"/>
      <c r="J67" s="5"/>
      <c r="K67" s="5" t="s">
        <v>49</v>
      </c>
      <c r="L67" s="5" t="s">
        <v>3</v>
      </c>
      <c r="M67" s="40">
        <v>3</v>
      </c>
      <c r="N67" s="39"/>
      <c r="O67" s="44"/>
      <c r="P67" s="45"/>
      <c r="Q67" s="45"/>
      <c r="R67" s="45"/>
      <c r="S67" s="45"/>
      <c r="T67" s="45"/>
      <c r="U67" s="33"/>
      <c r="V67" s="33"/>
      <c r="W67" s="33"/>
      <c r="X67" s="33"/>
      <c r="Y67" s="33"/>
      <c r="Z67" s="33"/>
    </row>
    <row r="68" spans="1:26" ht="15" thickBot="1" x14ac:dyDescent="0.35">
      <c r="A68" s="33"/>
      <c r="B68" s="39" t="s">
        <v>24</v>
      </c>
      <c r="C68" s="40" t="s">
        <v>45</v>
      </c>
      <c r="D68" s="41"/>
      <c r="E68" s="41"/>
      <c r="F68" s="41"/>
      <c r="G68" s="41"/>
      <c r="H68" s="41"/>
      <c r="I68" s="41"/>
      <c r="J68" s="41"/>
      <c r="K68" s="41"/>
      <c r="L68" s="41"/>
      <c r="M68" s="40" t="s">
        <v>45</v>
      </c>
      <c r="N68" s="39"/>
      <c r="O68" s="44"/>
      <c r="P68" s="45"/>
      <c r="Q68" s="45"/>
      <c r="R68" s="45"/>
      <c r="S68" s="45"/>
      <c r="T68" s="45"/>
      <c r="U68" s="33"/>
      <c r="V68" s="33"/>
      <c r="W68" s="33"/>
      <c r="X68" s="33"/>
      <c r="Y68" s="33"/>
      <c r="Z68" s="33"/>
    </row>
    <row r="69" spans="1:26" x14ac:dyDescent="0.3">
      <c r="A69" s="33"/>
      <c r="B69" s="36"/>
      <c r="C69" s="37"/>
      <c r="D69" s="37"/>
      <c r="E69" s="37"/>
      <c r="F69" s="37"/>
      <c r="G69" s="37"/>
      <c r="H69" s="37"/>
      <c r="I69" s="37"/>
      <c r="J69" s="37"/>
      <c r="K69" s="37"/>
      <c r="L69" s="37"/>
      <c r="M69" s="37"/>
      <c r="N69" s="37"/>
      <c r="O69" s="44"/>
      <c r="P69" s="45"/>
      <c r="Q69" s="45"/>
      <c r="R69" s="45"/>
      <c r="S69" s="45"/>
      <c r="T69" s="45"/>
      <c r="U69" s="33"/>
      <c r="V69" s="33"/>
      <c r="W69" s="33"/>
      <c r="X69" s="33"/>
      <c r="Y69" s="33"/>
      <c r="Z69" s="33"/>
    </row>
    <row r="70" spans="1:26" x14ac:dyDescent="0.3">
      <c r="A70" s="33"/>
      <c r="B70" s="34"/>
      <c r="C70" s="34"/>
      <c r="D70" s="34"/>
      <c r="E70" s="34"/>
      <c r="F70" s="34"/>
      <c r="G70" s="34"/>
      <c r="H70" s="34"/>
      <c r="I70" s="34"/>
      <c r="J70" s="34"/>
      <c r="K70" s="34"/>
      <c r="L70" s="34"/>
      <c r="M70" s="34"/>
      <c r="N70" s="34"/>
      <c r="O70" s="34"/>
      <c r="P70" s="34"/>
      <c r="Q70" s="34"/>
      <c r="R70" s="34"/>
      <c r="S70" s="34"/>
      <c r="T70" s="34"/>
      <c r="U70" s="33"/>
      <c r="V70" s="33"/>
      <c r="W70" s="33"/>
      <c r="X70" s="33"/>
      <c r="Y70" s="33"/>
      <c r="Z70" s="33"/>
    </row>
    <row r="71" spans="1:26" x14ac:dyDescent="0.3">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x14ac:dyDescent="0.3">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x14ac:dyDescent="0.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x14ac:dyDescent="0.3">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x14ac:dyDescent="0.3">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x14ac:dyDescent="0.3">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x14ac:dyDescent="0.3">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x14ac:dyDescent="0.3">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x14ac:dyDescent="0.3">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x14ac:dyDescent="0.3">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x14ac:dyDescent="0.3">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x14ac:dyDescent="0.3">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x14ac:dyDescent="0.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x14ac:dyDescent="0.3">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x14ac:dyDescent="0.3">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x14ac:dyDescent="0.3">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x14ac:dyDescent="0.3">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x14ac:dyDescent="0.3">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x14ac:dyDescent="0.3">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x14ac:dyDescent="0.3">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x14ac:dyDescent="0.3">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x14ac:dyDescent="0.3">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x14ac:dyDescent="0.3">
      <c r="A93" s="33"/>
    </row>
    <row r="94" spans="1:26" x14ac:dyDescent="0.3">
      <c r="A94" s="33"/>
    </row>
    <row r="95" spans="1:26" x14ac:dyDescent="0.3">
      <c r="A95" s="33"/>
    </row>
  </sheetData>
  <mergeCells count="27">
    <mergeCell ref="C17:H17"/>
    <mergeCell ref="I17:N17"/>
    <mergeCell ref="B19:B28"/>
    <mergeCell ref="J27:M27"/>
    <mergeCell ref="B29:N29"/>
    <mergeCell ref="C30:H30"/>
    <mergeCell ref="I30:N30"/>
    <mergeCell ref="B32:B41"/>
    <mergeCell ref="J40:M40"/>
    <mergeCell ref="B70:T70"/>
    <mergeCell ref="O2:T2"/>
    <mergeCell ref="J53:M53"/>
    <mergeCell ref="B62:N62"/>
    <mergeCell ref="O3:T69"/>
    <mergeCell ref="B55:N55"/>
    <mergeCell ref="B45:B54"/>
    <mergeCell ref="B69:N69"/>
    <mergeCell ref="B42:N42"/>
    <mergeCell ref="C43:H43"/>
    <mergeCell ref="I43:N43"/>
    <mergeCell ref="B16:N16"/>
    <mergeCell ref="B6:B15"/>
    <mergeCell ref="J14:M14"/>
    <mergeCell ref="C4:H4"/>
    <mergeCell ref="I4:N4"/>
    <mergeCell ref="B3:N3"/>
    <mergeCell ref="B2:N2"/>
  </mergeCells>
  <phoneticPr fontId="2" type="noConversion"/>
  <conditionalFormatting sqref="J14 D6:H14 J6:M13 D19:H27 J19:M26 J32:M39">
    <cfRule type="expression" dxfId="62" priority="53">
      <formula>_xlfn.XLOOKUP(#REF!,#REF!,$F$3:$F$186)="FUSED"</formula>
    </cfRule>
  </conditionalFormatting>
  <conditionalFormatting sqref="J27">
    <cfRule type="expression" dxfId="61" priority="8">
      <formula>_xlfn.XLOOKUP(#REF!,#REF!,$F$3:$F$186)="FUSED"</formula>
    </cfRule>
  </conditionalFormatting>
  <conditionalFormatting sqref="D32:H40">
    <cfRule type="expression" dxfId="60" priority="7">
      <formula>_xlfn.XLOOKUP(#REF!,#REF!,$F$3:$F$186)="FUSED"</formula>
    </cfRule>
  </conditionalFormatting>
  <conditionalFormatting sqref="J40">
    <cfRule type="expression" dxfId="59" priority="6">
      <formula>_xlfn.XLOOKUP(#REF!,#REF!,$F$3:$F$186)="FUSED"</formula>
    </cfRule>
  </conditionalFormatting>
  <conditionalFormatting sqref="J45:M52">
    <cfRule type="expression" dxfId="58" priority="5">
      <formula>_xlfn.XLOOKUP(#REF!,#REF!,$F$3:$F$186)="FUSED"</formula>
    </cfRule>
  </conditionalFormatting>
  <conditionalFormatting sqref="D45:H53">
    <cfRule type="expression" dxfId="57" priority="4">
      <formula>_xlfn.XLOOKUP(#REF!,#REF!,$F$3:$F$186)="FUSED"</formula>
    </cfRule>
  </conditionalFormatting>
  <conditionalFormatting sqref="J53">
    <cfRule type="expression" dxfId="56" priority="3">
      <formula>_xlfn.XLOOKUP(#REF!,#REF!,$F$3:$F$186)="FUSED"</formula>
    </cfRule>
  </conditionalFormatting>
  <conditionalFormatting sqref="D57:L60">
    <cfRule type="expression" dxfId="55" priority="2">
      <formula>_xlfn.XLOOKUP(#REF!,#REF!,$F$3:$F$186)="FUSED"</formula>
    </cfRule>
  </conditionalFormatting>
  <conditionalFormatting sqref="D64:L67">
    <cfRule type="expression" dxfId="0" priority="1">
      <formula>_xlfn.XLOOKUP(#REF!,#REF!,$F$3:$F$186)="FUSED"</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4295-0624-41A9-B7CA-7F3AB742B66C}">
  <dimension ref="B2:W64"/>
  <sheetViews>
    <sheetView zoomScaleNormal="100" workbookViewId="0">
      <selection activeCell="H10" sqref="H10"/>
    </sheetView>
  </sheetViews>
  <sheetFormatPr defaultRowHeight="14.4" x14ac:dyDescent="0.3"/>
  <cols>
    <col min="2" max="2" width="6.33203125" bestFit="1" customWidth="1"/>
    <col min="3" max="3" width="4" bestFit="1" customWidth="1"/>
    <col min="4" max="4" width="8.5546875" bestFit="1" customWidth="1"/>
    <col min="5" max="5" width="4" bestFit="1" customWidth="1"/>
    <col min="6" max="6" width="8.5546875" bestFit="1" customWidth="1"/>
    <col min="7" max="7" width="4" bestFit="1" customWidth="1"/>
    <col min="8" max="8" width="8.5546875" bestFit="1" customWidth="1"/>
    <col min="9" max="9" width="4" bestFit="1" customWidth="1"/>
    <col min="10" max="10" width="8.5546875" bestFit="1" customWidth="1"/>
    <col min="11" max="11" width="4" bestFit="1" customWidth="1"/>
    <col min="12" max="12" width="8.5546875" bestFit="1" customWidth="1"/>
    <col min="13" max="13" width="4" bestFit="1" customWidth="1"/>
    <col min="14" max="14" width="8.5546875" bestFit="1" customWidth="1"/>
    <col min="15" max="15" width="4" bestFit="1" customWidth="1"/>
    <col min="16" max="16" width="8.5546875" bestFit="1" customWidth="1"/>
    <col min="17" max="17" width="4" bestFit="1" customWidth="1"/>
    <col min="18" max="18" width="8.5546875" bestFit="1" customWidth="1"/>
    <col min="19" max="19" width="4" bestFit="1" customWidth="1"/>
    <col min="20" max="20" width="8.5546875" bestFit="1" customWidth="1"/>
    <col min="21" max="21" width="4" bestFit="1" customWidth="1"/>
    <col min="22" max="22" width="8.5546875" bestFit="1" customWidth="1"/>
    <col min="23" max="23" width="6.33203125" bestFit="1" customWidth="1"/>
  </cols>
  <sheetData>
    <row r="2" spans="2:23" x14ac:dyDescent="0.3">
      <c r="B2" s="6" t="s">
        <v>4</v>
      </c>
      <c r="C2" s="6"/>
      <c r="D2" s="6"/>
      <c r="E2" s="6"/>
      <c r="F2" s="6"/>
      <c r="G2" s="6"/>
      <c r="H2" s="6"/>
      <c r="I2" s="6"/>
      <c r="J2" s="6"/>
      <c r="K2" s="6"/>
      <c r="L2" s="6"/>
      <c r="M2" s="6"/>
      <c r="N2" s="6"/>
      <c r="O2" s="6"/>
      <c r="P2" s="6"/>
      <c r="Q2" s="6"/>
      <c r="R2" s="6"/>
      <c r="S2" s="6"/>
      <c r="T2" s="6"/>
      <c r="U2" s="6"/>
      <c r="V2" s="6"/>
      <c r="W2" s="6"/>
    </row>
    <row r="3" spans="2:23" x14ac:dyDescent="0.3">
      <c r="B3" s="1" t="s">
        <v>5</v>
      </c>
      <c r="C3" s="7">
        <v>0</v>
      </c>
      <c r="D3" s="7"/>
      <c r="E3" s="7">
        <v>1</v>
      </c>
      <c r="F3" s="7"/>
      <c r="G3" s="7">
        <v>2</v>
      </c>
      <c r="H3" s="7"/>
      <c r="I3" s="7">
        <v>3</v>
      </c>
      <c r="J3" s="7"/>
      <c r="K3" s="7">
        <v>4</v>
      </c>
      <c r="L3" s="7"/>
      <c r="M3" s="7">
        <v>5</v>
      </c>
      <c r="N3" s="7"/>
      <c r="O3" s="7">
        <v>6</v>
      </c>
      <c r="P3" s="7"/>
      <c r="Q3" s="7">
        <v>7</v>
      </c>
      <c r="R3" s="7"/>
      <c r="S3" s="7">
        <v>8</v>
      </c>
      <c r="T3" s="7"/>
      <c r="U3" s="7">
        <v>9</v>
      </c>
      <c r="V3" s="7"/>
      <c r="W3" s="1" t="s">
        <v>5</v>
      </c>
    </row>
    <row r="4" spans="2:23" x14ac:dyDescent="0.3">
      <c r="B4" s="2">
        <v>0</v>
      </c>
      <c r="C4" s="8" t="s">
        <v>6</v>
      </c>
      <c r="D4" s="8"/>
      <c r="E4" s="8"/>
      <c r="F4" s="8"/>
      <c r="G4" s="8"/>
      <c r="H4" s="8"/>
      <c r="I4" s="8" t="s">
        <v>7</v>
      </c>
      <c r="J4" s="8"/>
      <c r="K4" s="8"/>
      <c r="L4" s="8"/>
      <c r="M4" s="8" t="s">
        <v>8</v>
      </c>
      <c r="N4" s="8"/>
      <c r="O4" s="8"/>
      <c r="P4" s="8"/>
      <c r="Q4" s="8" t="s">
        <v>9</v>
      </c>
      <c r="R4" s="8"/>
      <c r="S4" s="8"/>
      <c r="T4" s="8"/>
      <c r="U4" s="8" t="s">
        <v>10</v>
      </c>
      <c r="V4" s="8"/>
      <c r="W4" s="2">
        <v>0</v>
      </c>
    </row>
    <row r="5" spans="2:23" x14ac:dyDescent="0.3">
      <c r="B5" s="2">
        <v>1</v>
      </c>
      <c r="C5" s="8"/>
      <c r="D5" s="8"/>
      <c r="E5" s="8" t="s">
        <v>11</v>
      </c>
      <c r="F5" s="8"/>
      <c r="G5" s="8"/>
      <c r="H5" s="8"/>
      <c r="I5" s="8"/>
      <c r="J5" s="8"/>
      <c r="K5" s="8" t="s">
        <v>12</v>
      </c>
      <c r="L5" s="8"/>
      <c r="M5" s="8"/>
      <c r="N5" s="8"/>
      <c r="O5" s="8" t="s">
        <v>13</v>
      </c>
      <c r="P5" s="8"/>
      <c r="Q5" s="8"/>
      <c r="R5" s="8"/>
      <c r="S5" s="8" t="s">
        <v>14</v>
      </c>
      <c r="T5" s="8"/>
      <c r="U5" s="8"/>
      <c r="V5" s="8"/>
      <c r="W5" s="2">
        <v>1</v>
      </c>
    </row>
    <row r="6" spans="2:23" x14ac:dyDescent="0.3">
      <c r="B6" s="2">
        <v>2</v>
      </c>
      <c r="C6" s="8"/>
      <c r="D6" s="8"/>
      <c r="E6" s="8"/>
      <c r="F6" s="8"/>
      <c r="G6" s="8"/>
      <c r="H6" s="8"/>
      <c r="I6" s="8"/>
      <c r="J6" s="8"/>
      <c r="K6" s="8"/>
      <c r="L6" s="8"/>
      <c r="M6" s="8"/>
      <c r="N6" s="8"/>
      <c r="O6" s="8"/>
      <c r="P6" s="8"/>
      <c r="Q6" s="8"/>
      <c r="R6" s="8"/>
      <c r="S6" s="8"/>
      <c r="T6" s="8"/>
      <c r="U6" s="8"/>
      <c r="V6" s="8"/>
      <c r="W6" s="2">
        <v>2</v>
      </c>
    </row>
    <row r="7" spans="2:23" x14ac:dyDescent="0.3">
      <c r="B7" s="1" t="s">
        <v>5</v>
      </c>
      <c r="C7" s="9" t="s">
        <v>15</v>
      </c>
      <c r="D7" s="9"/>
      <c r="E7" s="9" t="s">
        <v>15</v>
      </c>
      <c r="F7" s="9"/>
      <c r="G7" s="9" t="s">
        <v>15</v>
      </c>
      <c r="H7" s="9"/>
      <c r="I7" s="9" t="s">
        <v>15</v>
      </c>
      <c r="J7" s="9"/>
      <c r="K7" s="9" t="s">
        <v>15</v>
      </c>
      <c r="L7" s="9"/>
      <c r="M7" s="9" t="s">
        <v>15</v>
      </c>
      <c r="N7" s="9"/>
      <c r="O7" s="9" t="s">
        <v>15</v>
      </c>
      <c r="P7" s="9"/>
      <c r="Q7" s="9" t="s">
        <v>15</v>
      </c>
      <c r="R7" s="9"/>
      <c r="S7" s="9" t="s">
        <v>15</v>
      </c>
      <c r="T7" s="9"/>
      <c r="U7" s="9" t="s">
        <v>15</v>
      </c>
      <c r="V7" s="9"/>
      <c r="W7" s="1" t="s">
        <v>5</v>
      </c>
    </row>
    <row r="8" spans="2:23" x14ac:dyDescent="0.3">
      <c r="B8" s="10"/>
      <c r="C8" s="10"/>
      <c r="D8" s="10"/>
      <c r="E8" s="10"/>
      <c r="F8" s="10"/>
      <c r="G8" s="10"/>
      <c r="H8" s="10"/>
      <c r="I8" s="10"/>
      <c r="J8" s="10"/>
      <c r="K8" s="10"/>
      <c r="L8" s="10"/>
      <c r="M8" s="10"/>
      <c r="N8" s="10"/>
      <c r="O8" s="10"/>
      <c r="P8" s="10"/>
      <c r="Q8" s="10"/>
      <c r="R8" s="10"/>
      <c r="S8" s="10"/>
      <c r="T8" s="10"/>
      <c r="U8" s="10"/>
      <c r="V8" s="10"/>
      <c r="W8" s="10"/>
    </row>
    <row r="9" spans="2:23" x14ac:dyDescent="0.3">
      <c r="B9" s="1" t="s">
        <v>16</v>
      </c>
      <c r="C9" s="9" t="s">
        <v>15</v>
      </c>
      <c r="D9" s="9"/>
      <c r="E9" s="9" t="s">
        <v>15</v>
      </c>
      <c r="F9" s="9"/>
      <c r="G9" s="9" t="s">
        <v>15</v>
      </c>
      <c r="H9" s="9"/>
      <c r="I9" s="9" t="s">
        <v>15</v>
      </c>
      <c r="J9" s="9"/>
      <c r="K9" s="9" t="s">
        <v>15</v>
      </c>
      <c r="L9" s="9"/>
      <c r="M9" s="9" t="s">
        <v>15</v>
      </c>
      <c r="N9" s="9"/>
      <c r="O9" s="9" t="s">
        <v>15</v>
      </c>
      <c r="P9" s="9"/>
      <c r="Q9" s="9" t="s">
        <v>15</v>
      </c>
      <c r="R9" s="9"/>
      <c r="S9" s="9" t="s">
        <v>15</v>
      </c>
      <c r="T9" s="9"/>
      <c r="U9" s="9" t="s">
        <v>15</v>
      </c>
      <c r="V9" s="9"/>
      <c r="W9" s="1" t="s">
        <v>16</v>
      </c>
    </row>
    <row r="10" spans="2:23" ht="14.4" customHeight="1" x14ac:dyDescent="0.3">
      <c r="B10" s="7">
        <v>1</v>
      </c>
      <c r="C10" s="11">
        <v>0</v>
      </c>
      <c r="D10" s="3" t="str">
        <f>"CORE"&amp;C10</f>
        <v>CORE0</v>
      </c>
      <c r="E10" s="11">
        <f>C12+1</f>
        <v>2</v>
      </c>
      <c r="F10" s="3" t="str">
        <f>"CORE"&amp;E10</f>
        <v>CORE2</v>
      </c>
      <c r="G10" s="11">
        <f>E22+1</f>
        <v>9</v>
      </c>
      <c r="H10" s="3" t="str">
        <f>"CORE"&amp;G10</f>
        <v>CORE9</v>
      </c>
      <c r="I10" s="11">
        <f>G22+1</f>
        <v>16</v>
      </c>
      <c r="J10" s="3" t="str">
        <f>"CORE"&amp;I10</f>
        <v>CORE16</v>
      </c>
      <c r="K10" s="11">
        <f>I22+1</f>
        <v>23</v>
      </c>
      <c r="L10" s="3" t="str">
        <f>"CORE"&amp;K10</f>
        <v>CORE23</v>
      </c>
      <c r="M10" s="11">
        <f>K22+1</f>
        <v>30</v>
      </c>
      <c r="N10" s="3" t="str">
        <f>"CORE"&amp;M10</f>
        <v>CORE30</v>
      </c>
      <c r="O10" s="11">
        <f>M22+1</f>
        <v>37</v>
      </c>
      <c r="P10" s="3" t="str">
        <f>"CORE"&amp;O10</f>
        <v>CORE37</v>
      </c>
      <c r="Q10" s="11">
        <f>O22+1</f>
        <v>44</v>
      </c>
      <c r="R10" s="3" t="str">
        <f>"CORE"&amp;Q10</f>
        <v>CORE44</v>
      </c>
      <c r="S10" s="11">
        <f>Q22+1</f>
        <v>51</v>
      </c>
      <c r="T10" s="3" t="str">
        <f>"CORE"&amp;S10</f>
        <v>CORE51</v>
      </c>
      <c r="U10" s="11">
        <f>S22+1</f>
        <v>58</v>
      </c>
      <c r="V10" s="3" t="str">
        <f>"CORE"&amp;U10</f>
        <v>CORE58</v>
      </c>
      <c r="W10" s="7">
        <v>1</v>
      </c>
    </row>
    <row r="11" spans="2:23" ht="14.4" customHeight="1" x14ac:dyDescent="0.3">
      <c r="B11" s="7"/>
      <c r="C11" s="11"/>
      <c r="D11" s="3" t="str">
        <f>"CHA"&amp;C10</f>
        <v>CHA0</v>
      </c>
      <c r="E11" s="11"/>
      <c r="F11" s="3" t="str">
        <f>"CHA"&amp;E10</f>
        <v>CHA2</v>
      </c>
      <c r="G11" s="11"/>
      <c r="H11" s="3" t="str">
        <f>"CHA"&amp;G10</f>
        <v>CHA9</v>
      </c>
      <c r="I11" s="11"/>
      <c r="J11" s="3" t="str">
        <f>"CHA"&amp;I10</f>
        <v>CHA16</v>
      </c>
      <c r="K11" s="11"/>
      <c r="L11" s="3" t="str">
        <f>"CHA"&amp;K10</f>
        <v>CHA23</v>
      </c>
      <c r="M11" s="11"/>
      <c r="N11" s="3" t="str">
        <f>"CHA"&amp;M10</f>
        <v>CHA30</v>
      </c>
      <c r="O11" s="11"/>
      <c r="P11" s="3" t="str">
        <f>"CHA"&amp;O10</f>
        <v>CHA37</v>
      </c>
      <c r="Q11" s="11"/>
      <c r="R11" s="3" t="str">
        <f>"CHA"&amp;Q10</f>
        <v>CHA44</v>
      </c>
      <c r="S11" s="11"/>
      <c r="T11" s="3" t="str">
        <f>"CHA"&amp;S10</f>
        <v>CHA51</v>
      </c>
      <c r="U11" s="11"/>
      <c r="V11" s="3" t="str">
        <f>"CHA"&amp;U10</f>
        <v>CHA58</v>
      </c>
      <c r="W11" s="7"/>
    </row>
    <row r="12" spans="2:23" ht="15" customHeight="1" x14ac:dyDescent="0.3">
      <c r="B12" s="7">
        <v>2</v>
      </c>
      <c r="C12" s="11">
        <v>1</v>
      </c>
      <c r="D12" s="3" t="str">
        <f>"CORE"&amp;C12</f>
        <v>CORE1</v>
      </c>
      <c r="E12" s="11">
        <f>E10+1</f>
        <v>3</v>
      </c>
      <c r="F12" s="3" t="str">
        <f>"CORE"&amp;E12</f>
        <v>CORE3</v>
      </c>
      <c r="G12" s="11">
        <f>G10+1</f>
        <v>10</v>
      </c>
      <c r="H12" s="3" t="str">
        <f>"CORE"&amp;G12</f>
        <v>CORE10</v>
      </c>
      <c r="I12" s="11">
        <f>I10+1</f>
        <v>17</v>
      </c>
      <c r="J12" s="3" t="str">
        <f>"CORE"&amp;I12</f>
        <v>CORE17</v>
      </c>
      <c r="K12" s="11">
        <f>K10+1</f>
        <v>24</v>
      </c>
      <c r="L12" s="3" t="str">
        <f>"CORE"&amp;K12</f>
        <v>CORE24</v>
      </c>
      <c r="M12" s="11">
        <f>M10+1</f>
        <v>31</v>
      </c>
      <c r="N12" s="3" t="str">
        <f>"CORE"&amp;M12</f>
        <v>CORE31</v>
      </c>
      <c r="O12" s="11">
        <f>O10+1</f>
        <v>38</v>
      </c>
      <c r="P12" s="3" t="str">
        <f>"CORE"&amp;O12</f>
        <v>CORE38</v>
      </c>
      <c r="Q12" s="11">
        <f>Q10+1</f>
        <v>45</v>
      </c>
      <c r="R12" s="3" t="str">
        <f>"CORE"&amp;Q12</f>
        <v>CORE45</v>
      </c>
      <c r="S12" s="11">
        <f>S10+1</f>
        <v>52</v>
      </c>
      <c r="T12" s="3" t="str">
        <f>"CORE"&amp;S12</f>
        <v>CORE52</v>
      </c>
      <c r="U12" s="11">
        <f>U10+1</f>
        <v>59</v>
      </c>
      <c r="V12" s="3" t="str">
        <f>"CORE"&amp;U12</f>
        <v>CORE59</v>
      </c>
      <c r="W12" s="7">
        <v>2</v>
      </c>
    </row>
    <row r="13" spans="2:23" ht="14.4" customHeight="1" x14ac:dyDescent="0.3">
      <c r="B13" s="7"/>
      <c r="C13" s="11"/>
      <c r="D13" s="3" t="str">
        <f>"CHA"&amp;C12</f>
        <v>CHA1</v>
      </c>
      <c r="E13" s="11"/>
      <c r="F13" s="3" t="str">
        <f>"CHA"&amp;E12</f>
        <v>CHA3</v>
      </c>
      <c r="G13" s="11"/>
      <c r="H13" s="3" t="str">
        <f>"CHA"&amp;G12</f>
        <v>CHA10</v>
      </c>
      <c r="I13" s="11"/>
      <c r="J13" s="3" t="str">
        <f>"CHA"&amp;I12</f>
        <v>CHA17</v>
      </c>
      <c r="K13" s="11"/>
      <c r="L13" s="3" t="str">
        <f>"CHA"&amp;K12</f>
        <v>CHA24</v>
      </c>
      <c r="M13" s="11"/>
      <c r="N13" s="3" t="str">
        <f>"CHA"&amp;M12</f>
        <v>CHA31</v>
      </c>
      <c r="O13" s="11"/>
      <c r="P13" s="3" t="str">
        <f>"CHA"&amp;O12</f>
        <v>CHA38</v>
      </c>
      <c r="Q13" s="11"/>
      <c r="R13" s="3" t="str">
        <f>"CHA"&amp;Q12</f>
        <v>CHA45</v>
      </c>
      <c r="S13" s="11"/>
      <c r="T13" s="3" t="str">
        <f>"CHA"&amp;S12</f>
        <v>CHA52</v>
      </c>
      <c r="U13" s="11"/>
      <c r="V13" s="3" t="str">
        <f>"CHA"&amp;U12</f>
        <v>CHA59</v>
      </c>
      <c r="W13" s="7"/>
    </row>
    <row r="14" spans="2:23" ht="15" customHeight="1" x14ac:dyDescent="0.3">
      <c r="B14" s="7">
        <v>3</v>
      </c>
      <c r="C14" s="12" t="s">
        <v>0</v>
      </c>
      <c r="D14" s="12"/>
      <c r="E14" s="11">
        <f>E12+1</f>
        <v>4</v>
      </c>
      <c r="F14" s="3" t="str">
        <f>"CORE"&amp;E14</f>
        <v>CORE4</v>
      </c>
      <c r="G14" s="11">
        <f>G12+1</f>
        <v>11</v>
      </c>
      <c r="H14" s="3" t="str">
        <f>"CORE"&amp;G14</f>
        <v>CORE11</v>
      </c>
      <c r="I14" s="11">
        <f>I12+1</f>
        <v>18</v>
      </c>
      <c r="J14" s="3" t="str">
        <f>"CORE"&amp;I14</f>
        <v>CORE18</v>
      </c>
      <c r="K14" s="11">
        <f>K12+1</f>
        <v>25</v>
      </c>
      <c r="L14" s="3" t="str">
        <f>"CORE"&amp;K14</f>
        <v>CORE25</v>
      </c>
      <c r="M14" s="11">
        <f>M12+1</f>
        <v>32</v>
      </c>
      <c r="N14" s="3" t="str">
        <f>"CORE"&amp;M14</f>
        <v>CORE32</v>
      </c>
      <c r="O14" s="11">
        <f>O12+1</f>
        <v>39</v>
      </c>
      <c r="P14" s="3" t="str">
        <f>"CORE"&amp;O14</f>
        <v>CORE39</v>
      </c>
      <c r="Q14" s="11">
        <f>Q12+1</f>
        <v>46</v>
      </c>
      <c r="R14" s="3" t="str">
        <f>"CORE"&amp;Q14</f>
        <v>CORE46</v>
      </c>
      <c r="S14" s="11">
        <f>S12+1</f>
        <v>53</v>
      </c>
      <c r="T14" s="3" t="str">
        <f>"CORE"&amp;S14</f>
        <v>CORE53</v>
      </c>
      <c r="U14" s="12" t="s">
        <v>17</v>
      </c>
      <c r="V14" s="12"/>
      <c r="W14" s="7">
        <v>3</v>
      </c>
    </row>
    <row r="15" spans="2:23" x14ac:dyDescent="0.3">
      <c r="B15" s="7"/>
      <c r="C15" s="12"/>
      <c r="D15" s="12"/>
      <c r="E15" s="11"/>
      <c r="F15" s="3" t="str">
        <f>"CHA"&amp;E14</f>
        <v>CHA4</v>
      </c>
      <c r="G15" s="11"/>
      <c r="H15" s="3" t="str">
        <f>"CHA"&amp;G14</f>
        <v>CHA11</v>
      </c>
      <c r="I15" s="11"/>
      <c r="J15" s="3" t="str">
        <f>"CHA"&amp;I14</f>
        <v>CHA18</v>
      </c>
      <c r="K15" s="11"/>
      <c r="L15" s="3" t="str">
        <f>"CHA"&amp;K14</f>
        <v>CHA25</v>
      </c>
      <c r="M15" s="11"/>
      <c r="N15" s="3" t="str">
        <f>"CHA"&amp;M14</f>
        <v>CHA32</v>
      </c>
      <c r="O15" s="11"/>
      <c r="P15" s="3" t="str">
        <f>"CHA"&amp;O14</f>
        <v>CHA39</v>
      </c>
      <c r="Q15" s="11"/>
      <c r="R15" s="3" t="str">
        <f>"CHA"&amp;Q14</f>
        <v>CHA46</v>
      </c>
      <c r="S15" s="11"/>
      <c r="T15" s="3" t="str">
        <f>"CHA"&amp;S14</f>
        <v>CHA53</v>
      </c>
      <c r="U15" s="12"/>
      <c r="V15" s="12"/>
      <c r="W15" s="7"/>
    </row>
    <row r="16" spans="2:23" x14ac:dyDescent="0.3">
      <c r="B16" s="7">
        <v>4</v>
      </c>
      <c r="C16" s="12" t="s">
        <v>2</v>
      </c>
      <c r="D16" s="12"/>
      <c r="E16" s="11">
        <f>E14+1</f>
        <v>5</v>
      </c>
      <c r="F16" s="3" t="str">
        <f>"CORE"&amp;E16</f>
        <v>CORE5</v>
      </c>
      <c r="G16" s="11">
        <f>G14+1</f>
        <v>12</v>
      </c>
      <c r="H16" s="3" t="str">
        <f>"CORE"&amp;G16</f>
        <v>CORE12</v>
      </c>
      <c r="I16" s="11">
        <f>I14+1</f>
        <v>19</v>
      </c>
      <c r="J16" s="3" t="str">
        <f>"CORE"&amp;I16</f>
        <v>CORE19</v>
      </c>
      <c r="K16" s="11">
        <f>K14+1</f>
        <v>26</v>
      </c>
      <c r="L16" s="3" t="str">
        <f>"CORE"&amp;K16</f>
        <v>CORE26</v>
      </c>
      <c r="M16" s="11">
        <f>M14+1</f>
        <v>33</v>
      </c>
      <c r="N16" s="3" t="str">
        <f>"CORE"&amp;M16</f>
        <v>CORE33</v>
      </c>
      <c r="O16" s="11">
        <f>O14+1</f>
        <v>40</v>
      </c>
      <c r="P16" s="3" t="str">
        <f>"CORE"&amp;O16</f>
        <v>CORE40</v>
      </c>
      <c r="Q16" s="11">
        <f>Q14+1</f>
        <v>47</v>
      </c>
      <c r="R16" s="3" t="str">
        <f>"CORE"&amp;Q16</f>
        <v>CORE47</v>
      </c>
      <c r="S16" s="11">
        <f>S14+1</f>
        <v>54</v>
      </c>
      <c r="T16" s="3" t="str">
        <f>"CORE"&amp;S16</f>
        <v>CORE54</v>
      </c>
      <c r="U16" s="12" t="s">
        <v>18</v>
      </c>
      <c r="V16" s="12"/>
      <c r="W16" s="7">
        <v>4</v>
      </c>
    </row>
    <row r="17" spans="2:23" x14ac:dyDescent="0.3">
      <c r="B17" s="7"/>
      <c r="C17" s="12"/>
      <c r="D17" s="12"/>
      <c r="E17" s="11"/>
      <c r="F17" s="3" t="str">
        <f>"CHA"&amp;E16</f>
        <v>CHA5</v>
      </c>
      <c r="G17" s="11"/>
      <c r="H17" s="3" t="str">
        <f>"CHA"&amp;G16</f>
        <v>CHA12</v>
      </c>
      <c r="I17" s="11"/>
      <c r="J17" s="3" t="str">
        <f>"CHA"&amp;I16</f>
        <v>CHA19</v>
      </c>
      <c r="K17" s="11"/>
      <c r="L17" s="3" t="str">
        <f>"CHA"&amp;K16</f>
        <v>CHA26</v>
      </c>
      <c r="M17" s="11"/>
      <c r="N17" s="3" t="str">
        <f>"CHA"&amp;M16</f>
        <v>CHA33</v>
      </c>
      <c r="O17" s="11"/>
      <c r="P17" s="3" t="str">
        <f>"CHA"&amp;O16</f>
        <v>CHA40</v>
      </c>
      <c r="Q17" s="11"/>
      <c r="R17" s="3" t="str">
        <f>"CHA"&amp;Q16</f>
        <v>CHA47</v>
      </c>
      <c r="S17" s="11"/>
      <c r="T17" s="3" t="str">
        <f>"CHA"&amp;S16</f>
        <v>CHA54</v>
      </c>
      <c r="U17" s="12"/>
      <c r="V17" s="12"/>
      <c r="W17" s="7"/>
    </row>
    <row r="18" spans="2:23" x14ac:dyDescent="0.3">
      <c r="B18" s="7">
        <v>5</v>
      </c>
      <c r="C18" s="12" t="s">
        <v>1</v>
      </c>
      <c r="D18" s="12"/>
      <c r="E18" s="11">
        <f>E16+1</f>
        <v>6</v>
      </c>
      <c r="F18" s="3" t="str">
        <f>"CORE"&amp;E18</f>
        <v>CORE6</v>
      </c>
      <c r="G18" s="11">
        <f>G16+1</f>
        <v>13</v>
      </c>
      <c r="H18" s="3" t="str">
        <f>"CORE"&amp;G18</f>
        <v>CORE13</v>
      </c>
      <c r="I18" s="11">
        <f>I16+1</f>
        <v>20</v>
      </c>
      <c r="J18" s="3" t="str">
        <f>"CORE"&amp;I18</f>
        <v>CORE20</v>
      </c>
      <c r="K18" s="11">
        <f>K16+1</f>
        <v>27</v>
      </c>
      <c r="L18" s="3" t="str">
        <f>"CORE"&amp;K18</f>
        <v>CORE27</v>
      </c>
      <c r="M18" s="11">
        <f>M16+1</f>
        <v>34</v>
      </c>
      <c r="N18" s="3" t="str">
        <f>"CORE"&amp;M18</f>
        <v>CORE34</v>
      </c>
      <c r="O18" s="11">
        <f>O16+1</f>
        <v>41</v>
      </c>
      <c r="P18" s="3" t="str">
        <f>"CORE"&amp;O18</f>
        <v>CORE41</v>
      </c>
      <c r="Q18" s="11">
        <f>Q16+1</f>
        <v>48</v>
      </c>
      <c r="R18" s="3" t="str">
        <f>"CORE"&amp;Q18</f>
        <v>CORE48</v>
      </c>
      <c r="S18" s="11">
        <f>S16+1</f>
        <v>55</v>
      </c>
      <c r="T18" s="3" t="str">
        <f>"CORE"&amp;S18</f>
        <v>CORE55</v>
      </c>
      <c r="U18" s="12" t="s">
        <v>19</v>
      </c>
      <c r="V18" s="12"/>
      <c r="W18" s="7">
        <v>5</v>
      </c>
    </row>
    <row r="19" spans="2:23" x14ac:dyDescent="0.3">
      <c r="B19" s="7"/>
      <c r="C19" s="12"/>
      <c r="D19" s="12"/>
      <c r="E19" s="11"/>
      <c r="F19" s="3" t="str">
        <f>"CHA"&amp;E18</f>
        <v>CHA6</v>
      </c>
      <c r="G19" s="11"/>
      <c r="H19" s="3" t="str">
        <f>"CHA"&amp;G18</f>
        <v>CHA13</v>
      </c>
      <c r="I19" s="11"/>
      <c r="J19" s="3" t="str">
        <f>"CHA"&amp;I18</f>
        <v>CHA20</v>
      </c>
      <c r="K19" s="11"/>
      <c r="L19" s="3" t="str">
        <f>"CHA"&amp;K18</f>
        <v>CHA27</v>
      </c>
      <c r="M19" s="11"/>
      <c r="N19" s="3" t="str">
        <f>"CHA"&amp;M18</f>
        <v>CHA34</v>
      </c>
      <c r="O19" s="11"/>
      <c r="P19" s="3" t="str">
        <f>"CHA"&amp;O18</f>
        <v>CHA41</v>
      </c>
      <c r="Q19" s="11"/>
      <c r="R19" s="3" t="str">
        <f>"CHA"&amp;Q18</f>
        <v>CHA48</v>
      </c>
      <c r="S19" s="11"/>
      <c r="T19" s="3" t="str">
        <f>"CHA"&amp;S18</f>
        <v>CHA55</v>
      </c>
      <c r="U19" s="12"/>
      <c r="V19" s="12"/>
      <c r="W19" s="7"/>
    </row>
    <row r="20" spans="2:23" x14ac:dyDescent="0.3">
      <c r="B20" s="7">
        <v>6</v>
      </c>
      <c r="C20" s="12" t="s">
        <v>3</v>
      </c>
      <c r="D20" s="12"/>
      <c r="E20" s="11">
        <f>E18+1</f>
        <v>7</v>
      </c>
      <c r="F20" s="3" t="str">
        <f>"CORE"&amp;E20</f>
        <v>CORE7</v>
      </c>
      <c r="G20" s="11">
        <f>G18+1</f>
        <v>14</v>
      </c>
      <c r="H20" s="3" t="str">
        <f>"CORE"&amp;G20</f>
        <v>CORE14</v>
      </c>
      <c r="I20" s="11">
        <f>I18+1</f>
        <v>21</v>
      </c>
      <c r="J20" s="3" t="str">
        <f>"CORE"&amp;I20</f>
        <v>CORE21</v>
      </c>
      <c r="K20" s="11">
        <f>K18+1</f>
        <v>28</v>
      </c>
      <c r="L20" s="3" t="str">
        <f>"CORE"&amp;K20</f>
        <v>CORE28</v>
      </c>
      <c r="M20" s="11">
        <f>M18+1</f>
        <v>35</v>
      </c>
      <c r="N20" s="3" t="str">
        <f>"CORE"&amp;M20</f>
        <v>CORE35</v>
      </c>
      <c r="O20" s="11">
        <f>O18+1</f>
        <v>42</v>
      </c>
      <c r="P20" s="3" t="str">
        <f>"CORE"&amp;O20</f>
        <v>CORE42</v>
      </c>
      <c r="Q20" s="11">
        <f>Q18+1</f>
        <v>49</v>
      </c>
      <c r="R20" s="3" t="str">
        <f>"CORE"&amp;Q20</f>
        <v>CORE49</v>
      </c>
      <c r="S20" s="11">
        <f>S18+1</f>
        <v>56</v>
      </c>
      <c r="T20" s="3" t="str">
        <f>"CORE"&amp;S20</f>
        <v>CORE56</v>
      </c>
      <c r="U20" s="12" t="s">
        <v>20</v>
      </c>
      <c r="V20" s="12"/>
      <c r="W20" s="7">
        <v>6</v>
      </c>
    </row>
    <row r="21" spans="2:23" x14ac:dyDescent="0.3">
      <c r="B21" s="7"/>
      <c r="C21" s="12"/>
      <c r="D21" s="12"/>
      <c r="E21" s="11"/>
      <c r="F21" s="3" t="str">
        <f>"CHA"&amp;E20</f>
        <v>CHA7</v>
      </c>
      <c r="G21" s="11"/>
      <c r="H21" s="3" t="str">
        <f>"CHA"&amp;G20</f>
        <v>CHA14</v>
      </c>
      <c r="I21" s="11"/>
      <c r="J21" s="3" t="str">
        <f>"CHA"&amp;I20</f>
        <v>CHA21</v>
      </c>
      <c r="K21" s="11"/>
      <c r="L21" s="3" t="str">
        <f>"CHA"&amp;K20</f>
        <v>CHA28</v>
      </c>
      <c r="M21" s="11"/>
      <c r="N21" s="3" t="str">
        <f>"CHA"&amp;M20</f>
        <v>CHA35</v>
      </c>
      <c r="O21" s="11"/>
      <c r="P21" s="3" t="str">
        <f>"CHA"&amp;O20</f>
        <v>CHA42</v>
      </c>
      <c r="Q21" s="11"/>
      <c r="R21" s="3" t="str">
        <f>"CHA"&amp;Q20</f>
        <v>CHA49</v>
      </c>
      <c r="S21" s="11"/>
      <c r="T21" s="3" t="str">
        <f>"CHA"&amp;S20</f>
        <v>CHA56</v>
      </c>
      <c r="U21" s="12"/>
      <c r="V21" s="12"/>
      <c r="W21" s="7"/>
    </row>
    <row r="22" spans="2:23" x14ac:dyDescent="0.3">
      <c r="B22" s="7">
        <v>7</v>
      </c>
      <c r="C22" s="12" t="s">
        <v>21</v>
      </c>
      <c r="D22" s="12"/>
      <c r="E22" s="11">
        <f>E20+1</f>
        <v>8</v>
      </c>
      <c r="F22" s="3" t="str">
        <f>"CORE"&amp;E22</f>
        <v>CORE8</v>
      </c>
      <c r="G22" s="11">
        <f>G20+1</f>
        <v>15</v>
      </c>
      <c r="H22" s="3" t="str">
        <f>"CORE"&amp;G22</f>
        <v>CORE15</v>
      </c>
      <c r="I22" s="11">
        <f>I20+1</f>
        <v>22</v>
      </c>
      <c r="J22" s="3" t="str">
        <f>"CORE"&amp;I22</f>
        <v>CORE22</v>
      </c>
      <c r="K22" s="11">
        <f>K20+1</f>
        <v>29</v>
      </c>
      <c r="L22" s="3" t="str">
        <f>"CORE"&amp;K22</f>
        <v>CORE29</v>
      </c>
      <c r="M22" s="11">
        <f>M20+1</f>
        <v>36</v>
      </c>
      <c r="N22" s="3" t="str">
        <f>"CORE"&amp;M22</f>
        <v>CORE36</v>
      </c>
      <c r="O22" s="11">
        <f>O20+1</f>
        <v>43</v>
      </c>
      <c r="P22" s="3" t="str">
        <f>"CORE"&amp;O22</f>
        <v>CORE43</v>
      </c>
      <c r="Q22" s="11">
        <f>Q20+1</f>
        <v>50</v>
      </c>
      <c r="R22" s="3" t="str">
        <f>"CORE"&amp;Q22</f>
        <v>CORE50</v>
      </c>
      <c r="S22" s="11">
        <f>S20+1</f>
        <v>57</v>
      </c>
      <c r="T22" s="3" t="str">
        <f>"CORE"&amp;S22</f>
        <v>CORE57</v>
      </c>
      <c r="U22" s="12" t="s">
        <v>21</v>
      </c>
      <c r="V22" s="12"/>
      <c r="W22" s="7">
        <v>7</v>
      </c>
    </row>
    <row r="23" spans="2:23" x14ac:dyDescent="0.3">
      <c r="B23" s="7"/>
      <c r="C23" s="12"/>
      <c r="D23" s="12"/>
      <c r="E23" s="11"/>
      <c r="F23" s="3" t="str">
        <f>"CHA"&amp;E22</f>
        <v>CHA8</v>
      </c>
      <c r="G23" s="11"/>
      <c r="H23" s="3" t="str">
        <f>"CHA"&amp;G22</f>
        <v>CHA15</v>
      </c>
      <c r="I23" s="11"/>
      <c r="J23" s="3" t="str">
        <f>"CHA"&amp;I22</f>
        <v>CHA22</v>
      </c>
      <c r="K23" s="11"/>
      <c r="L23" s="3" t="str">
        <f>"CHA"&amp;K22</f>
        <v>CHA29</v>
      </c>
      <c r="M23" s="11"/>
      <c r="N23" s="3" t="str">
        <f>"CHA"&amp;M22</f>
        <v>CHA36</v>
      </c>
      <c r="O23" s="11"/>
      <c r="P23" s="3" t="str">
        <f>"CHA"&amp;O22</f>
        <v>CHA43</v>
      </c>
      <c r="Q23" s="11"/>
      <c r="R23" s="3" t="str">
        <f>"CHA"&amp;Q22</f>
        <v>CHA50</v>
      </c>
      <c r="S23" s="11"/>
      <c r="T23" s="3" t="str">
        <f>"CHA"&amp;S22</f>
        <v>CHA57</v>
      </c>
      <c r="U23" s="12"/>
      <c r="V23" s="12"/>
      <c r="W23" s="7"/>
    </row>
    <row r="24" spans="2:23" x14ac:dyDescent="0.3">
      <c r="B24" s="1" t="s">
        <v>16</v>
      </c>
      <c r="C24" s="9" t="s">
        <v>15</v>
      </c>
      <c r="D24" s="9"/>
      <c r="E24" s="9" t="s">
        <v>15</v>
      </c>
      <c r="F24" s="9"/>
      <c r="G24" s="9" t="s">
        <v>15</v>
      </c>
      <c r="H24" s="9"/>
      <c r="I24" s="9" t="s">
        <v>15</v>
      </c>
      <c r="J24" s="9"/>
      <c r="K24" s="9" t="s">
        <v>15</v>
      </c>
      <c r="L24" s="9"/>
      <c r="M24" s="9" t="s">
        <v>15</v>
      </c>
      <c r="N24" s="9"/>
      <c r="O24" s="9" t="s">
        <v>15</v>
      </c>
      <c r="P24" s="9"/>
      <c r="Q24" s="9" t="s">
        <v>15</v>
      </c>
      <c r="R24" s="9"/>
      <c r="S24" s="9" t="s">
        <v>15</v>
      </c>
      <c r="T24" s="9"/>
      <c r="U24" s="9" t="s">
        <v>15</v>
      </c>
      <c r="V24" s="9"/>
      <c r="W24" s="1" t="s">
        <v>16</v>
      </c>
    </row>
    <row r="25" spans="2:23" ht="15" customHeight="1" x14ac:dyDescent="0.3">
      <c r="B25" s="10"/>
      <c r="C25" s="10"/>
      <c r="D25" s="10"/>
      <c r="E25" s="10"/>
      <c r="F25" s="10"/>
      <c r="G25" s="10"/>
      <c r="H25" s="10"/>
      <c r="I25" s="10"/>
      <c r="J25" s="10"/>
      <c r="K25" s="10"/>
      <c r="L25" s="10"/>
      <c r="M25" s="10"/>
      <c r="N25" s="10"/>
      <c r="O25" s="10"/>
      <c r="P25" s="10"/>
      <c r="Q25" s="10"/>
      <c r="R25" s="10"/>
      <c r="S25" s="10"/>
      <c r="T25" s="10"/>
      <c r="U25" s="10"/>
      <c r="V25" s="10"/>
      <c r="W25" s="10"/>
    </row>
    <row r="26" spans="2:23" x14ac:dyDescent="0.3">
      <c r="B26" s="1" t="s">
        <v>22</v>
      </c>
      <c r="C26" s="9" t="s">
        <v>15</v>
      </c>
      <c r="D26" s="9"/>
      <c r="E26" s="9" t="s">
        <v>15</v>
      </c>
      <c r="F26" s="9"/>
      <c r="G26" s="9" t="s">
        <v>15</v>
      </c>
      <c r="H26" s="9"/>
      <c r="I26" s="9" t="s">
        <v>15</v>
      </c>
      <c r="J26" s="9"/>
      <c r="K26" s="9" t="s">
        <v>15</v>
      </c>
      <c r="L26" s="9"/>
      <c r="M26" s="9" t="s">
        <v>15</v>
      </c>
      <c r="N26" s="9"/>
      <c r="O26" s="9" t="s">
        <v>15</v>
      </c>
      <c r="P26" s="9"/>
      <c r="Q26" s="9" t="s">
        <v>15</v>
      </c>
      <c r="R26" s="9"/>
      <c r="S26" s="9" t="s">
        <v>15</v>
      </c>
      <c r="T26" s="9"/>
      <c r="U26" s="9" t="s">
        <v>15</v>
      </c>
      <c r="V26" s="9"/>
      <c r="W26" s="1" t="s">
        <v>22</v>
      </c>
    </row>
    <row r="27" spans="2:23" x14ac:dyDescent="0.3">
      <c r="B27" s="7">
        <v>1</v>
      </c>
      <c r="C27" s="11">
        <f>C10+60</f>
        <v>60</v>
      </c>
      <c r="D27" s="3" t="str">
        <f>"CORE"&amp;C27</f>
        <v>CORE60</v>
      </c>
      <c r="E27" s="11">
        <f>E10+60</f>
        <v>62</v>
      </c>
      <c r="F27" s="3" t="str">
        <f>"CORE"&amp;E27</f>
        <v>CORE62</v>
      </c>
      <c r="G27" s="11">
        <f>G10+60</f>
        <v>69</v>
      </c>
      <c r="H27" s="3" t="str">
        <f>"CORE"&amp;G27</f>
        <v>CORE69</v>
      </c>
      <c r="I27" s="11">
        <f>I10+60</f>
        <v>76</v>
      </c>
      <c r="J27" s="3" t="str">
        <f>"CORE"&amp;I27</f>
        <v>CORE76</v>
      </c>
      <c r="K27" s="11">
        <f>K10+60</f>
        <v>83</v>
      </c>
      <c r="L27" s="3" t="str">
        <f>"CORE"&amp;K27</f>
        <v>CORE83</v>
      </c>
      <c r="M27" s="11">
        <f>M10+60</f>
        <v>90</v>
      </c>
      <c r="N27" s="3" t="str">
        <f>"CORE"&amp;M27</f>
        <v>CORE90</v>
      </c>
      <c r="O27" s="11">
        <f>O10+60</f>
        <v>97</v>
      </c>
      <c r="P27" s="3" t="str">
        <f>"CORE"&amp;O27</f>
        <v>CORE97</v>
      </c>
      <c r="Q27" s="11">
        <f>Q10+60</f>
        <v>104</v>
      </c>
      <c r="R27" s="3" t="str">
        <f>"CORE"&amp;Q27</f>
        <v>CORE104</v>
      </c>
      <c r="S27" s="11">
        <f>S10+60</f>
        <v>111</v>
      </c>
      <c r="T27" s="3" t="str">
        <f>"CORE"&amp;S27</f>
        <v>CORE111</v>
      </c>
      <c r="U27" s="11">
        <f>U10+60</f>
        <v>118</v>
      </c>
      <c r="V27" s="3" t="str">
        <f>"CORE"&amp;U27</f>
        <v>CORE118</v>
      </c>
      <c r="W27" s="7">
        <v>1</v>
      </c>
    </row>
    <row r="28" spans="2:23" x14ac:dyDescent="0.3">
      <c r="B28" s="7"/>
      <c r="C28" s="11"/>
      <c r="D28" s="3" t="str">
        <f>"CHA"&amp;C27</f>
        <v>CHA60</v>
      </c>
      <c r="E28" s="11"/>
      <c r="F28" s="3" t="str">
        <f>"CHA"&amp;E27</f>
        <v>CHA62</v>
      </c>
      <c r="G28" s="11"/>
      <c r="H28" s="3" t="str">
        <f>"CHA"&amp;G27</f>
        <v>CHA69</v>
      </c>
      <c r="I28" s="11"/>
      <c r="J28" s="3" t="str">
        <f>"CHA"&amp;I27</f>
        <v>CHA76</v>
      </c>
      <c r="K28" s="11"/>
      <c r="L28" s="3" t="str">
        <f>"CHA"&amp;K27</f>
        <v>CHA83</v>
      </c>
      <c r="M28" s="11"/>
      <c r="N28" s="3" t="str">
        <f>"CHA"&amp;M27</f>
        <v>CHA90</v>
      </c>
      <c r="O28" s="11"/>
      <c r="P28" s="3" t="str">
        <f>"CHA"&amp;O27</f>
        <v>CHA97</v>
      </c>
      <c r="Q28" s="11"/>
      <c r="R28" s="3" t="str">
        <f>"CHA"&amp;Q27</f>
        <v>CHA104</v>
      </c>
      <c r="S28" s="11"/>
      <c r="T28" s="3" t="str">
        <f>"CHA"&amp;S27</f>
        <v>CHA111</v>
      </c>
      <c r="U28" s="11"/>
      <c r="V28" s="3" t="str">
        <f>"CHA"&amp;U27</f>
        <v>CHA118</v>
      </c>
      <c r="W28" s="7"/>
    </row>
    <row r="29" spans="2:23" x14ac:dyDescent="0.3">
      <c r="B29" s="7">
        <v>2</v>
      </c>
      <c r="C29" s="11">
        <f>C12+60</f>
        <v>61</v>
      </c>
      <c r="D29" s="3" t="str">
        <f>"CORE"&amp;C29</f>
        <v>CORE61</v>
      </c>
      <c r="E29" s="11">
        <f>E12+60</f>
        <v>63</v>
      </c>
      <c r="F29" s="3" t="str">
        <f>"CORE"&amp;E29</f>
        <v>CORE63</v>
      </c>
      <c r="G29" s="11">
        <f>G12+60</f>
        <v>70</v>
      </c>
      <c r="H29" s="3" t="str">
        <f>"CORE"&amp;G29</f>
        <v>CORE70</v>
      </c>
      <c r="I29" s="11">
        <f>I12+60</f>
        <v>77</v>
      </c>
      <c r="J29" s="3" t="str">
        <f>"CORE"&amp;I29</f>
        <v>CORE77</v>
      </c>
      <c r="K29" s="11">
        <f>K12+60</f>
        <v>84</v>
      </c>
      <c r="L29" s="3" t="str">
        <f>"CORE"&amp;K29</f>
        <v>CORE84</v>
      </c>
      <c r="M29" s="11">
        <f>M12+60</f>
        <v>91</v>
      </c>
      <c r="N29" s="3" t="str">
        <f>"CORE"&amp;M29</f>
        <v>CORE91</v>
      </c>
      <c r="O29" s="11">
        <f>O12+60</f>
        <v>98</v>
      </c>
      <c r="P29" s="3" t="str">
        <f>"CORE"&amp;O29</f>
        <v>CORE98</v>
      </c>
      <c r="Q29" s="11">
        <f>Q12+60</f>
        <v>105</v>
      </c>
      <c r="R29" s="3" t="str">
        <f>"CORE"&amp;Q29</f>
        <v>CORE105</v>
      </c>
      <c r="S29" s="11">
        <f>S12+60</f>
        <v>112</v>
      </c>
      <c r="T29" s="3" t="str">
        <f>"CORE"&amp;S29</f>
        <v>CORE112</v>
      </c>
      <c r="U29" s="11">
        <f>U12+60</f>
        <v>119</v>
      </c>
      <c r="V29" s="3" t="str">
        <f>"CORE"&amp;U29</f>
        <v>CORE119</v>
      </c>
      <c r="W29" s="7">
        <v>2</v>
      </c>
    </row>
    <row r="30" spans="2:23" x14ac:dyDescent="0.3">
      <c r="B30" s="7"/>
      <c r="C30" s="11"/>
      <c r="D30" s="3" t="str">
        <f>"CHA"&amp;C29</f>
        <v>CHA61</v>
      </c>
      <c r="E30" s="11"/>
      <c r="F30" s="3" t="str">
        <f>"CHA"&amp;E29</f>
        <v>CHA63</v>
      </c>
      <c r="G30" s="11"/>
      <c r="H30" s="3" t="str">
        <f>"CHA"&amp;G29</f>
        <v>CHA70</v>
      </c>
      <c r="I30" s="11"/>
      <c r="J30" s="3" t="str">
        <f>"CHA"&amp;I29</f>
        <v>CHA77</v>
      </c>
      <c r="K30" s="11"/>
      <c r="L30" s="3" t="str">
        <f>"CHA"&amp;K29</f>
        <v>CHA84</v>
      </c>
      <c r="M30" s="11"/>
      <c r="N30" s="3" t="str">
        <f>"CHA"&amp;M29</f>
        <v>CHA91</v>
      </c>
      <c r="O30" s="11"/>
      <c r="P30" s="3" t="str">
        <f>"CHA"&amp;O29</f>
        <v>CHA98</v>
      </c>
      <c r="Q30" s="11"/>
      <c r="R30" s="3" t="str">
        <f>"CHA"&amp;Q29</f>
        <v>CHA105</v>
      </c>
      <c r="S30" s="11"/>
      <c r="T30" s="3" t="str">
        <f>"CHA"&amp;S29</f>
        <v>CHA112</v>
      </c>
      <c r="U30" s="11"/>
      <c r="V30" s="3" t="str">
        <f>"CHA"&amp;U29</f>
        <v>CHA119</v>
      </c>
      <c r="W30" s="7"/>
    </row>
    <row r="31" spans="2:23" x14ac:dyDescent="0.3">
      <c r="B31" s="7">
        <v>3</v>
      </c>
      <c r="C31" s="12" t="s">
        <v>0</v>
      </c>
      <c r="D31" s="12"/>
      <c r="E31" s="11">
        <f>E14+60</f>
        <v>64</v>
      </c>
      <c r="F31" s="3" t="str">
        <f>"CORE"&amp;E31</f>
        <v>CORE64</v>
      </c>
      <c r="G31" s="11">
        <f>G14+60</f>
        <v>71</v>
      </c>
      <c r="H31" s="3" t="str">
        <f>"CORE"&amp;G31</f>
        <v>CORE71</v>
      </c>
      <c r="I31" s="11">
        <f>I14+60</f>
        <v>78</v>
      </c>
      <c r="J31" s="3" t="str">
        <f>"CORE"&amp;I31</f>
        <v>CORE78</v>
      </c>
      <c r="K31" s="11">
        <f>K14+60</f>
        <v>85</v>
      </c>
      <c r="L31" s="3" t="str">
        <f>"CORE"&amp;K31</f>
        <v>CORE85</v>
      </c>
      <c r="M31" s="11">
        <f>M14+60</f>
        <v>92</v>
      </c>
      <c r="N31" s="3" t="str">
        <f>"CORE"&amp;M31</f>
        <v>CORE92</v>
      </c>
      <c r="O31" s="11">
        <f>O14+60</f>
        <v>99</v>
      </c>
      <c r="P31" s="3" t="str">
        <f>"CORE"&amp;O31</f>
        <v>CORE99</v>
      </c>
      <c r="Q31" s="11">
        <f>Q14+60</f>
        <v>106</v>
      </c>
      <c r="R31" s="3" t="str">
        <f>"CORE"&amp;Q31</f>
        <v>CORE106</v>
      </c>
      <c r="S31" s="11">
        <f>S14+60</f>
        <v>113</v>
      </c>
      <c r="T31" s="3" t="str">
        <f>"CORE"&amp;S31</f>
        <v>CORE113</v>
      </c>
      <c r="U31" s="12" t="s">
        <v>17</v>
      </c>
      <c r="V31" s="12"/>
      <c r="W31" s="7">
        <v>3</v>
      </c>
    </row>
    <row r="32" spans="2:23" x14ac:dyDescent="0.3">
      <c r="B32" s="7"/>
      <c r="C32" s="12"/>
      <c r="D32" s="12"/>
      <c r="E32" s="11"/>
      <c r="F32" s="3" t="str">
        <f>"CHA"&amp;E31</f>
        <v>CHA64</v>
      </c>
      <c r="G32" s="11"/>
      <c r="H32" s="3" t="str">
        <f>"CHA"&amp;G31</f>
        <v>CHA71</v>
      </c>
      <c r="I32" s="11"/>
      <c r="J32" s="3" t="str">
        <f>"CHA"&amp;I31</f>
        <v>CHA78</v>
      </c>
      <c r="K32" s="11"/>
      <c r="L32" s="3" t="str">
        <f>"CHA"&amp;K31</f>
        <v>CHA85</v>
      </c>
      <c r="M32" s="11"/>
      <c r="N32" s="3" t="str">
        <f>"CHA"&amp;M31</f>
        <v>CHA92</v>
      </c>
      <c r="O32" s="11"/>
      <c r="P32" s="3" t="str">
        <f>"CHA"&amp;O31</f>
        <v>CHA99</v>
      </c>
      <c r="Q32" s="11"/>
      <c r="R32" s="3" t="str">
        <f>"CHA"&amp;Q31</f>
        <v>CHA106</v>
      </c>
      <c r="S32" s="11"/>
      <c r="T32" s="3" t="str">
        <f>"CHA"&amp;S31</f>
        <v>CHA113</v>
      </c>
      <c r="U32" s="12"/>
      <c r="V32" s="12"/>
      <c r="W32" s="7"/>
    </row>
    <row r="33" spans="2:23" x14ac:dyDescent="0.3">
      <c r="B33" s="7">
        <v>4</v>
      </c>
      <c r="C33" s="12" t="s">
        <v>2</v>
      </c>
      <c r="D33" s="12"/>
      <c r="E33" s="11">
        <f>E16+60</f>
        <v>65</v>
      </c>
      <c r="F33" s="3" t="str">
        <f>"CORE"&amp;E33</f>
        <v>CORE65</v>
      </c>
      <c r="G33" s="11">
        <f>G16+60</f>
        <v>72</v>
      </c>
      <c r="H33" s="3" t="str">
        <f>"CORE"&amp;G33</f>
        <v>CORE72</v>
      </c>
      <c r="I33" s="11">
        <f>I16+60</f>
        <v>79</v>
      </c>
      <c r="J33" s="3" t="str">
        <f>"CORE"&amp;I33</f>
        <v>CORE79</v>
      </c>
      <c r="K33" s="11">
        <f>K16+60</f>
        <v>86</v>
      </c>
      <c r="L33" s="3" t="str">
        <f>"CORE"&amp;K33</f>
        <v>CORE86</v>
      </c>
      <c r="M33" s="11">
        <f>M16+60</f>
        <v>93</v>
      </c>
      <c r="N33" s="3" t="str">
        <f>"CORE"&amp;M33</f>
        <v>CORE93</v>
      </c>
      <c r="O33" s="11">
        <f>O16+60</f>
        <v>100</v>
      </c>
      <c r="P33" s="3" t="str">
        <f>"CORE"&amp;O33</f>
        <v>CORE100</v>
      </c>
      <c r="Q33" s="11">
        <f>Q16+60</f>
        <v>107</v>
      </c>
      <c r="R33" s="3" t="str">
        <f>"CORE"&amp;Q33</f>
        <v>CORE107</v>
      </c>
      <c r="S33" s="11">
        <f>S16+60</f>
        <v>114</v>
      </c>
      <c r="T33" s="3" t="str">
        <f>"CORE"&amp;S33</f>
        <v>CORE114</v>
      </c>
      <c r="U33" s="12" t="s">
        <v>18</v>
      </c>
      <c r="V33" s="12"/>
      <c r="W33" s="7">
        <v>4</v>
      </c>
    </row>
    <row r="34" spans="2:23" x14ac:dyDescent="0.3">
      <c r="B34" s="7"/>
      <c r="C34" s="12"/>
      <c r="D34" s="12"/>
      <c r="E34" s="11"/>
      <c r="F34" s="3" t="str">
        <f>"CHA"&amp;E33</f>
        <v>CHA65</v>
      </c>
      <c r="G34" s="11"/>
      <c r="H34" s="3" t="str">
        <f>"CHA"&amp;G33</f>
        <v>CHA72</v>
      </c>
      <c r="I34" s="11"/>
      <c r="J34" s="3" t="str">
        <f>"CHA"&amp;I33</f>
        <v>CHA79</v>
      </c>
      <c r="K34" s="11"/>
      <c r="L34" s="3" t="str">
        <f>"CHA"&amp;K33</f>
        <v>CHA86</v>
      </c>
      <c r="M34" s="11"/>
      <c r="N34" s="3" t="str">
        <f>"CHA"&amp;M33</f>
        <v>CHA93</v>
      </c>
      <c r="O34" s="11"/>
      <c r="P34" s="3" t="str">
        <f>"CHA"&amp;O33</f>
        <v>CHA100</v>
      </c>
      <c r="Q34" s="11"/>
      <c r="R34" s="3" t="str">
        <f>"CHA"&amp;Q33</f>
        <v>CHA107</v>
      </c>
      <c r="S34" s="11"/>
      <c r="T34" s="3" t="str">
        <f>"CHA"&amp;S33</f>
        <v>CHA114</v>
      </c>
      <c r="U34" s="12"/>
      <c r="V34" s="12"/>
      <c r="W34" s="7"/>
    </row>
    <row r="35" spans="2:23" x14ac:dyDescent="0.3">
      <c r="B35" s="7">
        <v>5</v>
      </c>
      <c r="C35" s="12" t="s">
        <v>1</v>
      </c>
      <c r="D35" s="12"/>
      <c r="E35" s="11">
        <f>E18+60</f>
        <v>66</v>
      </c>
      <c r="F35" s="3" t="str">
        <f>"CORE"&amp;E35</f>
        <v>CORE66</v>
      </c>
      <c r="G35" s="11">
        <f>G18+60</f>
        <v>73</v>
      </c>
      <c r="H35" s="3" t="str">
        <f>"CORE"&amp;G35</f>
        <v>CORE73</v>
      </c>
      <c r="I35" s="11">
        <f>I18+60</f>
        <v>80</v>
      </c>
      <c r="J35" s="3" t="str">
        <f>"CORE"&amp;I35</f>
        <v>CORE80</v>
      </c>
      <c r="K35" s="11">
        <f>K18+60</f>
        <v>87</v>
      </c>
      <c r="L35" s="3" t="str">
        <f>"CORE"&amp;K35</f>
        <v>CORE87</v>
      </c>
      <c r="M35" s="11">
        <f>M18+60</f>
        <v>94</v>
      </c>
      <c r="N35" s="3" t="str">
        <f>"CORE"&amp;M35</f>
        <v>CORE94</v>
      </c>
      <c r="O35" s="11">
        <f>O18+60</f>
        <v>101</v>
      </c>
      <c r="P35" s="3" t="str">
        <f>"CORE"&amp;O35</f>
        <v>CORE101</v>
      </c>
      <c r="Q35" s="11">
        <f>Q18+60</f>
        <v>108</v>
      </c>
      <c r="R35" s="3" t="str">
        <f>"CORE"&amp;Q35</f>
        <v>CORE108</v>
      </c>
      <c r="S35" s="11">
        <f>S18+60</f>
        <v>115</v>
      </c>
      <c r="T35" s="3" t="str">
        <f>"CORE"&amp;S35</f>
        <v>CORE115</v>
      </c>
      <c r="U35" s="12" t="s">
        <v>19</v>
      </c>
      <c r="V35" s="12"/>
      <c r="W35" s="7">
        <v>5</v>
      </c>
    </row>
    <row r="36" spans="2:23" x14ac:dyDescent="0.3">
      <c r="B36" s="7"/>
      <c r="C36" s="12"/>
      <c r="D36" s="12"/>
      <c r="E36" s="11"/>
      <c r="F36" s="3" t="str">
        <f>"CHA"&amp;E35</f>
        <v>CHA66</v>
      </c>
      <c r="G36" s="11"/>
      <c r="H36" s="3" t="str">
        <f>"CHA"&amp;G35</f>
        <v>CHA73</v>
      </c>
      <c r="I36" s="11"/>
      <c r="J36" s="3" t="str">
        <f>"CHA"&amp;I35</f>
        <v>CHA80</v>
      </c>
      <c r="K36" s="11"/>
      <c r="L36" s="3" t="str">
        <f>"CHA"&amp;K35</f>
        <v>CHA87</v>
      </c>
      <c r="M36" s="11"/>
      <c r="N36" s="3" t="str">
        <f>"CHA"&amp;M35</f>
        <v>CHA94</v>
      </c>
      <c r="O36" s="11"/>
      <c r="P36" s="3" t="str">
        <f>"CHA"&amp;O35</f>
        <v>CHA101</v>
      </c>
      <c r="Q36" s="11"/>
      <c r="R36" s="3" t="str">
        <f>"CHA"&amp;Q35</f>
        <v>CHA108</v>
      </c>
      <c r="S36" s="11"/>
      <c r="T36" s="3" t="str">
        <f>"CHA"&amp;S35</f>
        <v>CHA115</v>
      </c>
      <c r="U36" s="12"/>
      <c r="V36" s="12"/>
      <c r="W36" s="7"/>
    </row>
    <row r="37" spans="2:23" x14ac:dyDescent="0.3">
      <c r="B37" s="7">
        <v>6</v>
      </c>
      <c r="C37" s="12" t="s">
        <v>3</v>
      </c>
      <c r="D37" s="12"/>
      <c r="E37" s="11">
        <f>E20+60</f>
        <v>67</v>
      </c>
      <c r="F37" s="3" t="str">
        <f>"CORE"&amp;E37</f>
        <v>CORE67</v>
      </c>
      <c r="G37" s="11">
        <f>G20+60</f>
        <v>74</v>
      </c>
      <c r="H37" s="3" t="str">
        <f>"CORE"&amp;G37</f>
        <v>CORE74</v>
      </c>
      <c r="I37" s="11">
        <f>I20+60</f>
        <v>81</v>
      </c>
      <c r="J37" s="3" t="str">
        <f>"CORE"&amp;I37</f>
        <v>CORE81</v>
      </c>
      <c r="K37" s="11">
        <f>K20+60</f>
        <v>88</v>
      </c>
      <c r="L37" s="3" t="str">
        <f>"CORE"&amp;K37</f>
        <v>CORE88</v>
      </c>
      <c r="M37" s="11">
        <f>M20+60</f>
        <v>95</v>
      </c>
      <c r="N37" s="3" t="str">
        <f>"CORE"&amp;M37</f>
        <v>CORE95</v>
      </c>
      <c r="O37" s="11">
        <f>O20+60</f>
        <v>102</v>
      </c>
      <c r="P37" s="3" t="str">
        <f>"CORE"&amp;O37</f>
        <v>CORE102</v>
      </c>
      <c r="Q37" s="11">
        <f>Q20+60</f>
        <v>109</v>
      </c>
      <c r="R37" s="3" t="str">
        <f>"CORE"&amp;Q37</f>
        <v>CORE109</v>
      </c>
      <c r="S37" s="11">
        <f>S20+60</f>
        <v>116</v>
      </c>
      <c r="T37" s="3" t="str">
        <f>"CORE"&amp;S37</f>
        <v>CORE116</v>
      </c>
      <c r="U37" s="12" t="s">
        <v>20</v>
      </c>
      <c r="V37" s="12"/>
      <c r="W37" s="7">
        <v>6</v>
      </c>
    </row>
    <row r="38" spans="2:23" x14ac:dyDescent="0.3">
      <c r="B38" s="7"/>
      <c r="C38" s="12"/>
      <c r="D38" s="12"/>
      <c r="E38" s="11"/>
      <c r="F38" s="3" t="str">
        <f>"CHA"&amp;E37</f>
        <v>CHA67</v>
      </c>
      <c r="G38" s="11"/>
      <c r="H38" s="3" t="str">
        <f>"CHA"&amp;G37</f>
        <v>CHA74</v>
      </c>
      <c r="I38" s="11"/>
      <c r="J38" s="3" t="str">
        <f>"CHA"&amp;I37</f>
        <v>CHA81</v>
      </c>
      <c r="K38" s="11"/>
      <c r="L38" s="3" t="str">
        <f>"CHA"&amp;K37</f>
        <v>CHA88</v>
      </c>
      <c r="M38" s="11"/>
      <c r="N38" s="3" t="str">
        <f>"CHA"&amp;M37</f>
        <v>CHA95</v>
      </c>
      <c r="O38" s="11"/>
      <c r="P38" s="3" t="str">
        <f>"CHA"&amp;O37</f>
        <v>CHA102</v>
      </c>
      <c r="Q38" s="11"/>
      <c r="R38" s="3" t="str">
        <f>"CHA"&amp;Q37</f>
        <v>CHA109</v>
      </c>
      <c r="S38" s="11"/>
      <c r="T38" s="3" t="str">
        <f>"CHA"&amp;S37</f>
        <v>CHA116</v>
      </c>
      <c r="U38" s="12"/>
      <c r="V38" s="12"/>
      <c r="W38" s="7"/>
    </row>
    <row r="39" spans="2:23" x14ac:dyDescent="0.3">
      <c r="B39" s="7">
        <v>7</v>
      </c>
      <c r="C39" s="12" t="s">
        <v>21</v>
      </c>
      <c r="D39" s="12"/>
      <c r="E39" s="11">
        <f>E22+60</f>
        <v>68</v>
      </c>
      <c r="F39" s="3" t="str">
        <f>"CORE"&amp;E39</f>
        <v>CORE68</v>
      </c>
      <c r="G39" s="11">
        <f>G22+60</f>
        <v>75</v>
      </c>
      <c r="H39" s="3" t="str">
        <f>"CORE"&amp;G39</f>
        <v>CORE75</v>
      </c>
      <c r="I39" s="11">
        <f>I22+60</f>
        <v>82</v>
      </c>
      <c r="J39" s="3" t="str">
        <f>"CORE"&amp;I39</f>
        <v>CORE82</v>
      </c>
      <c r="K39" s="11">
        <v>89</v>
      </c>
      <c r="L39" s="3" t="str">
        <f>"CORE"&amp;K39</f>
        <v>CORE89</v>
      </c>
      <c r="M39" s="11">
        <f>M22+60</f>
        <v>96</v>
      </c>
      <c r="N39" s="3" t="str">
        <f>"CORE"&amp;M39</f>
        <v>CORE96</v>
      </c>
      <c r="O39" s="11">
        <f>O22+60</f>
        <v>103</v>
      </c>
      <c r="P39" s="3" t="str">
        <f>"CORE"&amp;O39</f>
        <v>CORE103</v>
      </c>
      <c r="Q39" s="11">
        <f>Q22+60</f>
        <v>110</v>
      </c>
      <c r="R39" s="3" t="str">
        <f>"CORE"&amp;Q39</f>
        <v>CORE110</v>
      </c>
      <c r="S39" s="11">
        <f>S22+60</f>
        <v>117</v>
      </c>
      <c r="T39" s="3" t="str">
        <f>"CORE"&amp;S39</f>
        <v>CORE117</v>
      </c>
      <c r="U39" s="12" t="s">
        <v>21</v>
      </c>
      <c r="V39" s="12"/>
      <c r="W39" s="7">
        <v>7</v>
      </c>
    </row>
    <row r="40" spans="2:23" x14ac:dyDescent="0.3">
      <c r="B40" s="7"/>
      <c r="C40" s="12"/>
      <c r="D40" s="12"/>
      <c r="E40" s="11"/>
      <c r="F40" s="3" t="str">
        <f>"CHA"&amp;E39</f>
        <v>CHA68</v>
      </c>
      <c r="G40" s="11"/>
      <c r="H40" s="3" t="str">
        <f>"CHA"&amp;G39</f>
        <v>CHA75</v>
      </c>
      <c r="I40" s="11"/>
      <c r="J40" s="3" t="str">
        <f>"CHA"&amp;I39</f>
        <v>CHA82</v>
      </c>
      <c r="K40" s="11"/>
      <c r="L40" s="3" t="str">
        <f>"CHA"&amp;K39</f>
        <v>CHA89</v>
      </c>
      <c r="M40" s="11"/>
      <c r="N40" s="3" t="str">
        <f>"CHA"&amp;M39</f>
        <v>CHA96</v>
      </c>
      <c r="O40" s="11"/>
      <c r="P40" s="3" t="str">
        <f>"CHA"&amp;O39</f>
        <v>CHA103</v>
      </c>
      <c r="Q40" s="11"/>
      <c r="R40" s="3" t="str">
        <f>"CHA"&amp;Q39</f>
        <v>CHA110</v>
      </c>
      <c r="S40" s="11"/>
      <c r="T40" s="3" t="str">
        <f>"CHA"&amp;S39</f>
        <v>CHA117</v>
      </c>
      <c r="U40" s="12"/>
      <c r="V40" s="12"/>
      <c r="W40" s="7"/>
    </row>
    <row r="41" spans="2:23" x14ac:dyDescent="0.3">
      <c r="B41" s="1" t="s">
        <v>22</v>
      </c>
      <c r="C41" s="9" t="s">
        <v>15</v>
      </c>
      <c r="D41" s="9"/>
      <c r="E41" s="9" t="s">
        <v>15</v>
      </c>
      <c r="F41" s="9"/>
      <c r="G41" s="9" t="s">
        <v>15</v>
      </c>
      <c r="H41" s="9"/>
      <c r="I41" s="9" t="s">
        <v>15</v>
      </c>
      <c r="J41" s="9"/>
      <c r="K41" s="9" t="s">
        <v>15</v>
      </c>
      <c r="L41" s="9"/>
      <c r="M41" s="9" t="s">
        <v>15</v>
      </c>
      <c r="N41" s="9"/>
      <c r="O41" s="9" t="s">
        <v>15</v>
      </c>
      <c r="P41" s="9"/>
      <c r="Q41" s="9" t="s">
        <v>15</v>
      </c>
      <c r="R41" s="9"/>
      <c r="S41" s="9" t="s">
        <v>15</v>
      </c>
      <c r="T41" s="9"/>
      <c r="U41" s="9" t="s">
        <v>15</v>
      </c>
      <c r="V41" s="9"/>
      <c r="W41" s="1" t="s">
        <v>22</v>
      </c>
    </row>
    <row r="42" spans="2:23" x14ac:dyDescent="0.3">
      <c r="B42" s="10"/>
      <c r="C42" s="10"/>
      <c r="D42" s="10"/>
      <c r="E42" s="10"/>
      <c r="F42" s="10"/>
      <c r="G42" s="10"/>
      <c r="H42" s="10"/>
      <c r="I42" s="10"/>
      <c r="J42" s="10"/>
      <c r="K42" s="10"/>
      <c r="L42" s="10"/>
      <c r="M42" s="10"/>
      <c r="N42" s="10"/>
      <c r="O42" s="10"/>
      <c r="P42" s="10"/>
      <c r="Q42" s="10"/>
      <c r="R42" s="10"/>
      <c r="S42" s="10"/>
      <c r="T42" s="10"/>
      <c r="U42" s="10"/>
      <c r="V42" s="10"/>
      <c r="W42" s="10"/>
    </row>
    <row r="43" spans="2:23" x14ac:dyDescent="0.3">
      <c r="B43" s="1" t="s">
        <v>23</v>
      </c>
      <c r="C43" s="9" t="s">
        <v>15</v>
      </c>
      <c r="D43" s="9"/>
      <c r="E43" s="9" t="s">
        <v>15</v>
      </c>
      <c r="F43" s="9"/>
      <c r="G43" s="9" t="s">
        <v>15</v>
      </c>
      <c r="H43" s="9"/>
      <c r="I43" s="9" t="s">
        <v>15</v>
      </c>
      <c r="J43" s="9"/>
      <c r="K43" s="9" t="s">
        <v>15</v>
      </c>
      <c r="L43" s="9"/>
      <c r="M43" s="9" t="s">
        <v>15</v>
      </c>
      <c r="N43" s="9"/>
      <c r="O43" s="9" t="s">
        <v>15</v>
      </c>
      <c r="P43" s="9"/>
      <c r="Q43" s="9" t="s">
        <v>15</v>
      </c>
      <c r="R43" s="9"/>
      <c r="S43" s="9" t="s">
        <v>15</v>
      </c>
      <c r="T43" s="9"/>
      <c r="U43" s="9" t="s">
        <v>15</v>
      </c>
      <c r="V43" s="9"/>
      <c r="W43" s="1" t="s">
        <v>23</v>
      </c>
    </row>
    <row r="44" spans="2:23" x14ac:dyDescent="0.3">
      <c r="B44" s="7">
        <v>1</v>
      </c>
      <c r="C44" s="11">
        <f>C27+60</f>
        <v>120</v>
      </c>
      <c r="D44" s="3" t="str">
        <f>"CORE"&amp;C44</f>
        <v>CORE120</v>
      </c>
      <c r="E44" s="11">
        <f>E27+60</f>
        <v>122</v>
      </c>
      <c r="F44" s="3" t="str">
        <f>"CORE"&amp;E44</f>
        <v>CORE122</v>
      </c>
      <c r="G44" s="11">
        <f>G27+60</f>
        <v>129</v>
      </c>
      <c r="H44" s="3" t="str">
        <f>"CORE"&amp;G44</f>
        <v>CORE129</v>
      </c>
      <c r="I44" s="11">
        <f>I27+60</f>
        <v>136</v>
      </c>
      <c r="J44" s="3" t="str">
        <f>"CORE"&amp;I44</f>
        <v>CORE136</v>
      </c>
      <c r="K44" s="11">
        <f>K27+60</f>
        <v>143</v>
      </c>
      <c r="L44" s="3" t="str">
        <f>"CORE"&amp;K44</f>
        <v>CORE143</v>
      </c>
      <c r="M44" s="11">
        <f>M27+60</f>
        <v>150</v>
      </c>
      <c r="N44" s="3" t="str">
        <f>"CORE"&amp;M44</f>
        <v>CORE150</v>
      </c>
      <c r="O44" s="11">
        <f>O27+60</f>
        <v>157</v>
      </c>
      <c r="P44" s="3" t="str">
        <f>"CORE"&amp;O44</f>
        <v>CORE157</v>
      </c>
      <c r="Q44" s="11">
        <f>Q27+60</f>
        <v>164</v>
      </c>
      <c r="R44" s="3" t="str">
        <f>"CORE"&amp;Q44</f>
        <v>CORE164</v>
      </c>
      <c r="S44" s="11">
        <f>S27+60</f>
        <v>171</v>
      </c>
      <c r="T44" s="3" t="str">
        <f>"CORE"&amp;S44</f>
        <v>CORE171</v>
      </c>
      <c r="U44" s="11">
        <f>U27+60</f>
        <v>178</v>
      </c>
      <c r="V44" s="3" t="str">
        <f>"CORE"&amp;U44</f>
        <v>CORE178</v>
      </c>
      <c r="W44" s="7">
        <v>1</v>
      </c>
    </row>
    <row r="45" spans="2:23" x14ac:dyDescent="0.3">
      <c r="B45" s="7"/>
      <c r="C45" s="11"/>
      <c r="D45" s="3" t="str">
        <f>"CHA"&amp;C44</f>
        <v>CHA120</v>
      </c>
      <c r="E45" s="11"/>
      <c r="F45" s="3" t="str">
        <f>"CHA"&amp;E44</f>
        <v>CHA122</v>
      </c>
      <c r="G45" s="11"/>
      <c r="H45" s="3" t="str">
        <f>"CHA"&amp;G44</f>
        <v>CHA129</v>
      </c>
      <c r="I45" s="11"/>
      <c r="J45" s="3" t="str">
        <f>"CHA"&amp;I44</f>
        <v>CHA136</v>
      </c>
      <c r="K45" s="11"/>
      <c r="L45" s="3" t="str">
        <f>"CHA"&amp;K44</f>
        <v>CHA143</v>
      </c>
      <c r="M45" s="11"/>
      <c r="N45" s="3" t="str">
        <f>"CHA"&amp;M44</f>
        <v>CHA150</v>
      </c>
      <c r="O45" s="11"/>
      <c r="P45" s="3" t="str">
        <f>"CHA"&amp;O44</f>
        <v>CHA157</v>
      </c>
      <c r="Q45" s="11"/>
      <c r="R45" s="3" t="str">
        <f>"CHA"&amp;Q44</f>
        <v>CHA164</v>
      </c>
      <c r="S45" s="11"/>
      <c r="T45" s="3" t="str">
        <f>"CHA"&amp;S44</f>
        <v>CHA171</v>
      </c>
      <c r="U45" s="11"/>
      <c r="V45" s="3" t="str">
        <f>"CHA"&amp;U44</f>
        <v>CHA178</v>
      </c>
      <c r="W45" s="7"/>
    </row>
    <row r="46" spans="2:23" x14ac:dyDescent="0.3">
      <c r="B46" s="7">
        <v>2</v>
      </c>
      <c r="C46" s="11">
        <f>C29+60</f>
        <v>121</v>
      </c>
      <c r="D46" s="3" t="str">
        <f>"CORE"&amp;C46</f>
        <v>CORE121</v>
      </c>
      <c r="E46" s="11">
        <f>E29+60</f>
        <v>123</v>
      </c>
      <c r="F46" s="3" t="str">
        <f>"CORE"&amp;E46</f>
        <v>CORE123</v>
      </c>
      <c r="G46" s="11">
        <f>G29+60</f>
        <v>130</v>
      </c>
      <c r="H46" s="3" t="str">
        <f>"CORE"&amp;G46</f>
        <v>CORE130</v>
      </c>
      <c r="I46" s="11">
        <f>I29+60</f>
        <v>137</v>
      </c>
      <c r="J46" s="3" t="str">
        <f>"CORE"&amp;I46</f>
        <v>CORE137</v>
      </c>
      <c r="K46" s="11">
        <f>K29+60</f>
        <v>144</v>
      </c>
      <c r="L46" s="3" t="str">
        <f>"CORE"&amp;K46</f>
        <v>CORE144</v>
      </c>
      <c r="M46" s="11">
        <f>M29+60</f>
        <v>151</v>
      </c>
      <c r="N46" s="3" t="str">
        <f>"CORE"&amp;M46</f>
        <v>CORE151</v>
      </c>
      <c r="O46" s="11">
        <f>O29+60</f>
        <v>158</v>
      </c>
      <c r="P46" s="3" t="str">
        <f>"CORE"&amp;O46</f>
        <v>CORE158</v>
      </c>
      <c r="Q46" s="11">
        <f>Q29+60</f>
        <v>165</v>
      </c>
      <c r="R46" s="3" t="str">
        <f>"CORE"&amp;Q46</f>
        <v>CORE165</v>
      </c>
      <c r="S46" s="11">
        <f>S29+60</f>
        <v>172</v>
      </c>
      <c r="T46" s="3" t="str">
        <f>"CORE"&amp;S46</f>
        <v>CORE172</v>
      </c>
      <c r="U46" s="11">
        <f>U29+60</f>
        <v>179</v>
      </c>
      <c r="V46" s="3" t="str">
        <f>"CORE"&amp;U46</f>
        <v>CORE179</v>
      </c>
      <c r="W46" s="7">
        <v>2</v>
      </c>
    </row>
    <row r="47" spans="2:23" x14ac:dyDescent="0.3">
      <c r="B47" s="7"/>
      <c r="C47" s="11"/>
      <c r="D47" s="3" t="str">
        <f>"CHA"&amp;C46</f>
        <v>CHA121</v>
      </c>
      <c r="E47" s="11"/>
      <c r="F47" s="3" t="str">
        <f>"CHA"&amp;E46</f>
        <v>CHA123</v>
      </c>
      <c r="G47" s="11"/>
      <c r="H47" s="3" t="str">
        <f>"CHA"&amp;G46</f>
        <v>CHA130</v>
      </c>
      <c r="I47" s="11"/>
      <c r="J47" s="3" t="str">
        <f>"CHA"&amp;I46</f>
        <v>CHA137</v>
      </c>
      <c r="K47" s="11"/>
      <c r="L47" s="3" t="str">
        <f>"CHA"&amp;K46</f>
        <v>CHA144</v>
      </c>
      <c r="M47" s="11"/>
      <c r="N47" s="3" t="str">
        <f>"CHA"&amp;M46</f>
        <v>CHA151</v>
      </c>
      <c r="O47" s="11"/>
      <c r="P47" s="3" t="str">
        <f>"CHA"&amp;O46</f>
        <v>CHA158</v>
      </c>
      <c r="Q47" s="11"/>
      <c r="R47" s="3" t="str">
        <f>"CHA"&amp;Q46</f>
        <v>CHA165</v>
      </c>
      <c r="S47" s="11"/>
      <c r="T47" s="3" t="str">
        <f>"CHA"&amp;S46</f>
        <v>CHA172</v>
      </c>
      <c r="U47" s="11"/>
      <c r="V47" s="3" t="str">
        <f>"CHA"&amp;U46</f>
        <v>CHA179</v>
      </c>
      <c r="W47" s="7"/>
    </row>
    <row r="48" spans="2:23" x14ac:dyDescent="0.3">
      <c r="B48" s="7">
        <v>3</v>
      </c>
      <c r="C48" s="12" t="s">
        <v>0</v>
      </c>
      <c r="D48" s="12"/>
      <c r="E48" s="11">
        <f>E31+60</f>
        <v>124</v>
      </c>
      <c r="F48" s="3" t="str">
        <f>"CORE"&amp;E48</f>
        <v>CORE124</v>
      </c>
      <c r="G48" s="11">
        <f>G31+60</f>
        <v>131</v>
      </c>
      <c r="H48" s="3" t="str">
        <f>"CORE"&amp;G48</f>
        <v>CORE131</v>
      </c>
      <c r="I48" s="11">
        <f>I31+60</f>
        <v>138</v>
      </c>
      <c r="J48" s="3" t="str">
        <f>"CORE"&amp;I48</f>
        <v>CORE138</v>
      </c>
      <c r="K48" s="11">
        <f>K31+60</f>
        <v>145</v>
      </c>
      <c r="L48" s="3" t="str">
        <f>"CORE"&amp;K48</f>
        <v>CORE145</v>
      </c>
      <c r="M48" s="11">
        <f>M31+60</f>
        <v>152</v>
      </c>
      <c r="N48" s="3" t="str">
        <f>"CORE"&amp;M48</f>
        <v>CORE152</v>
      </c>
      <c r="O48" s="11">
        <f>O31+60</f>
        <v>159</v>
      </c>
      <c r="P48" s="3" t="str">
        <f>"CORE"&amp;O48</f>
        <v>CORE159</v>
      </c>
      <c r="Q48" s="11">
        <f>Q31+60</f>
        <v>166</v>
      </c>
      <c r="R48" s="3" t="str">
        <f>"CORE"&amp;Q48</f>
        <v>CORE166</v>
      </c>
      <c r="S48" s="11">
        <f>S31+60</f>
        <v>173</v>
      </c>
      <c r="T48" s="3" t="str">
        <f>"CORE"&amp;S48</f>
        <v>CORE173</v>
      </c>
      <c r="U48" s="12" t="s">
        <v>17</v>
      </c>
      <c r="V48" s="12"/>
      <c r="W48" s="7">
        <v>3</v>
      </c>
    </row>
    <row r="49" spans="2:23" x14ac:dyDescent="0.3">
      <c r="B49" s="7"/>
      <c r="C49" s="12"/>
      <c r="D49" s="12"/>
      <c r="E49" s="11"/>
      <c r="F49" s="3" t="str">
        <f>"CHA"&amp;E48</f>
        <v>CHA124</v>
      </c>
      <c r="G49" s="11"/>
      <c r="H49" s="3" t="str">
        <f>"CHA"&amp;G48</f>
        <v>CHA131</v>
      </c>
      <c r="I49" s="11"/>
      <c r="J49" s="3" t="str">
        <f>"CHA"&amp;I48</f>
        <v>CHA138</v>
      </c>
      <c r="K49" s="11"/>
      <c r="L49" s="3" t="str">
        <f>"CHA"&amp;K48</f>
        <v>CHA145</v>
      </c>
      <c r="M49" s="11"/>
      <c r="N49" s="3" t="str">
        <f>"CHA"&amp;M48</f>
        <v>CHA152</v>
      </c>
      <c r="O49" s="11"/>
      <c r="P49" s="3" t="str">
        <f>"CHA"&amp;O48</f>
        <v>CHA159</v>
      </c>
      <c r="Q49" s="11"/>
      <c r="R49" s="3" t="str">
        <f>"CHA"&amp;Q48</f>
        <v>CHA166</v>
      </c>
      <c r="S49" s="11"/>
      <c r="T49" s="3" t="str">
        <f>"CHA"&amp;S48</f>
        <v>CHA173</v>
      </c>
      <c r="U49" s="12"/>
      <c r="V49" s="12"/>
      <c r="W49" s="7"/>
    </row>
    <row r="50" spans="2:23" x14ac:dyDescent="0.3">
      <c r="B50" s="7">
        <v>4</v>
      </c>
      <c r="C50" s="12" t="s">
        <v>2</v>
      </c>
      <c r="D50" s="12"/>
      <c r="E50" s="11">
        <f>E33+60</f>
        <v>125</v>
      </c>
      <c r="F50" s="3" t="str">
        <f>"CORE"&amp;E50</f>
        <v>CORE125</v>
      </c>
      <c r="G50" s="11">
        <f>G33+60</f>
        <v>132</v>
      </c>
      <c r="H50" s="3" t="str">
        <f>"CORE"&amp;G50</f>
        <v>CORE132</v>
      </c>
      <c r="I50" s="11">
        <f>I33+60</f>
        <v>139</v>
      </c>
      <c r="J50" s="3" t="str">
        <f>"CORE"&amp;I50</f>
        <v>CORE139</v>
      </c>
      <c r="K50" s="11">
        <f>K33+60</f>
        <v>146</v>
      </c>
      <c r="L50" s="3" t="str">
        <f>"CORE"&amp;K50</f>
        <v>CORE146</v>
      </c>
      <c r="M50" s="11">
        <f>M33+60</f>
        <v>153</v>
      </c>
      <c r="N50" s="3" t="str">
        <f>"CORE"&amp;M50</f>
        <v>CORE153</v>
      </c>
      <c r="O50" s="11">
        <f>O33+60</f>
        <v>160</v>
      </c>
      <c r="P50" s="3" t="str">
        <f>"CORE"&amp;O50</f>
        <v>CORE160</v>
      </c>
      <c r="Q50" s="11">
        <f>Q33+60</f>
        <v>167</v>
      </c>
      <c r="R50" s="3" t="str">
        <f>"CORE"&amp;Q50</f>
        <v>CORE167</v>
      </c>
      <c r="S50" s="11">
        <f>S33+60</f>
        <v>174</v>
      </c>
      <c r="T50" s="3" t="str">
        <f>"CORE"&amp;S50</f>
        <v>CORE174</v>
      </c>
      <c r="U50" s="12" t="s">
        <v>18</v>
      </c>
      <c r="V50" s="12"/>
      <c r="W50" s="7">
        <v>4</v>
      </c>
    </row>
    <row r="51" spans="2:23" x14ac:dyDescent="0.3">
      <c r="B51" s="7"/>
      <c r="C51" s="12"/>
      <c r="D51" s="12"/>
      <c r="E51" s="11"/>
      <c r="F51" s="3" t="str">
        <f>"CHA"&amp;E50</f>
        <v>CHA125</v>
      </c>
      <c r="G51" s="11"/>
      <c r="H51" s="3" t="str">
        <f>"CHA"&amp;G50</f>
        <v>CHA132</v>
      </c>
      <c r="I51" s="11"/>
      <c r="J51" s="3" t="str">
        <f>"CHA"&amp;I50</f>
        <v>CHA139</v>
      </c>
      <c r="K51" s="11"/>
      <c r="L51" s="3" t="str">
        <f>"CHA"&amp;K50</f>
        <v>CHA146</v>
      </c>
      <c r="M51" s="11"/>
      <c r="N51" s="3" t="str">
        <f>"CHA"&amp;M50</f>
        <v>CHA153</v>
      </c>
      <c r="O51" s="11"/>
      <c r="P51" s="3" t="str">
        <f>"CHA"&amp;O50</f>
        <v>CHA160</v>
      </c>
      <c r="Q51" s="11"/>
      <c r="R51" s="3" t="str">
        <f>"CHA"&amp;Q50</f>
        <v>CHA167</v>
      </c>
      <c r="S51" s="11"/>
      <c r="T51" s="3" t="str">
        <f>"CHA"&amp;S50</f>
        <v>CHA174</v>
      </c>
      <c r="U51" s="12"/>
      <c r="V51" s="12"/>
      <c r="W51" s="7"/>
    </row>
    <row r="52" spans="2:23" x14ac:dyDescent="0.3">
      <c r="B52" s="7">
        <v>5</v>
      </c>
      <c r="C52" s="12" t="s">
        <v>1</v>
      </c>
      <c r="D52" s="12"/>
      <c r="E52" s="11">
        <f>E35+60</f>
        <v>126</v>
      </c>
      <c r="F52" s="3" t="str">
        <f>"CORE"&amp;E52</f>
        <v>CORE126</v>
      </c>
      <c r="G52" s="11">
        <f>G35+60</f>
        <v>133</v>
      </c>
      <c r="H52" s="3" t="str">
        <f>"CORE"&amp;G52</f>
        <v>CORE133</v>
      </c>
      <c r="I52" s="11">
        <f>I35+60</f>
        <v>140</v>
      </c>
      <c r="J52" s="3" t="str">
        <f>"CORE"&amp;I52</f>
        <v>CORE140</v>
      </c>
      <c r="K52" s="11">
        <f>K35+60</f>
        <v>147</v>
      </c>
      <c r="L52" s="3" t="str">
        <f>"CORE"&amp;K52</f>
        <v>CORE147</v>
      </c>
      <c r="M52" s="11">
        <f>M35+60</f>
        <v>154</v>
      </c>
      <c r="N52" s="3" t="str">
        <f>"CORE"&amp;M52</f>
        <v>CORE154</v>
      </c>
      <c r="O52" s="11">
        <f>O35+60</f>
        <v>161</v>
      </c>
      <c r="P52" s="3" t="str">
        <f>"CORE"&amp;O52</f>
        <v>CORE161</v>
      </c>
      <c r="Q52" s="11">
        <f>Q35+60</f>
        <v>168</v>
      </c>
      <c r="R52" s="3" t="str">
        <f>"CORE"&amp;Q52</f>
        <v>CORE168</v>
      </c>
      <c r="S52" s="11">
        <f>S35+60</f>
        <v>175</v>
      </c>
      <c r="T52" s="3" t="str">
        <f>"CORE"&amp;S52</f>
        <v>CORE175</v>
      </c>
      <c r="U52" s="12" t="s">
        <v>19</v>
      </c>
      <c r="V52" s="12"/>
      <c r="W52" s="7">
        <v>5</v>
      </c>
    </row>
    <row r="53" spans="2:23" x14ac:dyDescent="0.3">
      <c r="B53" s="7"/>
      <c r="C53" s="12"/>
      <c r="D53" s="12"/>
      <c r="E53" s="11"/>
      <c r="F53" s="3" t="str">
        <f>"CHA"&amp;E52</f>
        <v>CHA126</v>
      </c>
      <c r="G53" s="11"/>
      <c r="H53" s="3" t="str">
        <f>"CHA"&amp;G52</f>
        <v>CHA133</v>
      </c>
      <c r="I53" s="11"/>
      <c r="J53" s="3" t="str">
        <f>"CHA"&amp;I52</f>
        <v>CHA140</v>
      </c>
      <c r="K53" s="11"/>
      <c r="L53" s="3" t="str">
        <f>"CHA"&amp;K52</f>
        <v>CHA147</v>
      </c>
      <c r="M53" s="11"/>
      <c r="N53" s="3" t="str">
        <f>"CHA"&amp;M52</f>
        <v>CHA154</v>
      </c>
      <c r="O53" s="11"/>
      <c r="P53" s="3" t="str">
        <f>"CHA"&amp;O52</f>
        <v>CHA161</v>
      </c>
      <c r="Q53" s="11"/>
      <c r="R53" s="3" t="str">
        <f>"CHA"&amp;Q52</f>
        <v>CHA168</v>
      </c>
      <c r="S53" s="11"/>
      <c r="T53" s="3" t="str">
        <f>"CHA"&amp;S52</f>
        <v>CHA175</v>
      </c>
      <c r="U53" s="12"/>
      <c r="V53" s="12"/>
      <c r="W53" s="7"/>
    </row>
    <row r="54" spans="2:23" x14ac:dyDescent="0.3">
      <c r="B54" s="7">
        <v>6</v>
      </c>
      <c r="C54" s="12" t="s">
        <v>3</v>
      </c>
      <c r="D54" s="12"/>
      <c r="E54" s="11">
        <f>E37+60</f>
        <v>127</v>
      </c>
      <c r="F54" s="3" t="str">
        <f>"CORE"&amp;E54</f>
        <v>CORE127</v>
      </c>
      <c r="G54" s="11">
        <f>G37+60</f>
        <v>134</v>
      </c>
      <c r="H54" s="3" t="str">
        <f>"CORE"&amp;G54</f>
        <v>CORE134</v>
      </c>
      <c r="I54" s="11">
        <f>I37+60</f>
        <v>141</v>
      </c>
      <c r="J54" s="3" t="str">
        <f>"CORE"&amp;I54</f>
        <v>CORE141</v>
      </c>
      <c r="K54" s="11">
        <f>K37+60</f>
        <v>148</v>
      </c>
      <c r="L54" s="3" t="str">
        <f>"CORE"&amp;K54</f>
        <v>CORE148</v>
      </c>
      <c r="M54" s="11">
        <f>M37+60</f>
        <v>155</v>
      </c>
      <c r="N54" s="3" t="str">
        <f>"CORE"&amp;M54</f>
        <v>CORE155</v>
      </c>
      <c r="O54" s="11">
        <f>O37+60</f>
        <v>162</v>
      </c>
      <c r="P54" s="3" t="str">
        <f>"CORE"&amp;O54</f>
        <v>CORE162</v>
      </c>
      <c r="Q54" s="11">
        <f>Q37+60</f>
        <v>169</v>
      </c>
      <c r="R54" s="3" t="str">
        <f>"CORE"&amp;Q54</f>
        <v>CORE169</v>
      </c>
      <c r="S54" s="11">
        <f>S37+60</f>
        <v>176</v>
      </c>
      <c r="T54" s="3" t="str">
        <f>"CORE"&amp;S54</f>
        <v>CORE176</v>
      </c>
      <c r="U54" s="12" t="s">
        <v>20</v>
      </c>
      <c r="V54" s="12"/>
      <c r="W54" s="7">
        <v>6</v>
      </c>
    </row>
    <row r="55" spans="2:23" x14ac:dyDescent="0.3">
      <c r="B55" s="7"/>
      <c r="C55" s="12"/>
      <c r="D55" s="12"/>
      <c r="E55" s="11"/>
      <c r="F55" s="3" t="str">
        <f>"CHA"&amp;E54</f>
        <v>CHA127</v>
      </c>
      <c r="G55" s="11"/>
      <c r="H55" s="3" t="str">
        <f>"CHA"&amp;G54</f>
        <v>CHA134</v>
      </c>
      <c r="I55" s="11"/>
      <c r="J55" s="3" t="str">
        <f>"CHA"&amp;I54</f>
        <v>CHA141</v>
      </c>
      <c r="K55" s="11"/>
      <c r="L55" s="3" t="str">
        <f>"CHA"&amp;K54</f>
        <v>CHA148</v>
      </c>
      <c r="M55" s="11"/>
      <c r="N55" s="3" t="str">
        <f>"CHA"&amp;M54</f>
        <v>CHA155</v>
      </c>
      <c r="O55" s="11"/>
      <c r="P55" s="3" t="str">
        <f>"CHA"&amp;O54</f>
        <v>CHA162</v>
      </c>
      <c r="Q55" s="11"/>
      <c r="R55" s="3" t="str">
        <f>"CHA"&amp;Q54</f>
        <v>CHA169</v>
      </c>
      <c r="S55" s="11"/>
      <c r="T55" s="3" t="str">
        <f>"CHA"&amp;S54</f>
        <v>CHA176</v>
      </c>
      <c r="U55" s="12"/>
      <c r="V55" s="12"/>
      <c r="W55" s="7"/>
    </row>
    <row r="56" spans="2:23" x14ac:dyDescent="0.3">
      <c r="B56" s="7">
        <v>7</v>
      </c>
      <c r="C56" s="12" t="s">
        <v>21</v>
      </c>
      <c r="D56" s="12"/>
      <c r="E56" s="11">
        <f>E39+60</f>
        <v>128</v>
      </c>
      <c r="F56" s="3" t="str">
        <f>"CORE"&amp;E56</f>
        <v>CORE128</v>
      </c>
      <c r="G56" s="11">
        <f>G39+60</f>
        <v>135</v>
      </c>
      <c r="H56" s="3" t="str">
        <f>"CORE"&amp;G56</f>
        <v>CORE135</v>
      </c>
      <c r="I56" s="11">
        <f>I39+60</f>
        <v>142</v>
      </c>
      <c r="J56" s="3" t="str">
        <f>"CORE"&amp;I56</f>
        <v>CORE142</v>
      </c>
      <c r="K56" s="11">
        <v>21</v>
      </c>
      <c r="L56" s="3" t="str">
        <f>"CORE"&amp;K56</f>
        <v>CORE21</v>
      </c>
      <c r="M56" s="11">
        <f>M39+60</f>
        <v>156</v>
      </c>
      <c r="N56" s="3" t="str">
        <f>"CORE"&amp;M56</f>
        <v>CORE156</v>
      </c>
      <c r="O56" s="11">
        <f>O39+60</f>
        <v>163</v>
      </c>
      <c r="P56" s="3" t="str">
        <f>"CORE"&amp;O56</f>
        <v>CORE163</v>
      </c>
      <c r="Q56" s="11">
        <f>Q39+60</f>
        <v>170</v>
      </c>
      <c r="R56" s="3" t="str">
        <f>"CORE"&amp;Q56</f>
        <v>CORE170</v>
      </c>
      <c r="S56" s="11">
        <f>S39+60</f>
        <v>177</v>
      </c>
      <c r="T56" s="3" t="str">
        <f>"CORE"&amp;S56</f>
        <v>CORE177</v>
      </c>
      <c r="U56" s="12" t="s">
        <v>21</v>
      </c>
      <c r="V56" s="12"/>
      <c r="W56" s="7">
        <v>7</v>
      </c>
    </row>
    <row r="57" spans="2:23" x14ac:dyDescent="0.3">
      <c r="B57" s="7"/>
      <c r="C57" s="12"/>
      <c r="D57" s="12"/>
      <c r="E57" s="11"/>
      <c r="F57" s="3" t="str">
        <f>"CHA"&amp;E56</f>
        <v>CHA128</v>
      </c>
      <c r="G57" s="11"/>
      <c r="H57" s="3" t="str">
        <f>"CHA"&amp;G56</f>
        <v>CHA135</v>
      </c>
      <c r="I57" s="11"/>
      <c r="J57" s="3" t="str">
        <f>"CHA"&amp;I56</f>
        <v>CHA142</v>
      </c>
      <c r="K57" s="11"/>
      <c r="L57" s="3" t="str">
        <f>"CHA"&amp;K56</f>
        <v>CHA21</v>
      </c>
      <c r="M57" s="11"/>
      <c r="N57" s="3" t="str">
        <f>"CHA"&amp;M56</f>
        <v>CHA156</v>
      </c>
      <c r="O57" s="11"/>
      <c r="P57" s="3" t="str">
        <f>"CHA"&amp;O56</f>
        <v>CHA163</v>
      </c>
      <c r="Q57" s="11"/>
      <c r="R57" s="3" t="str">
        <f>"CHA"&amp;Q56</f>
        <v>CHA170</v>
      </c>
      <c r="S57" s="11"/>
      <c r="T57" s="3" t="str">
        <f>"CHA"&amp;S56</f>
        <v>CHA177</v>
      </c>
      <c r="U57" s="12"/>
      <c r="V57" s="12"/>
      <c r="W57" s="7"/>
    </row>
    <row r="58" spans="2:23" x14ac:dyDescent="0.3">
      <c r="B58" s="1" t="s">
        <v>23</v>
      </c>
      <c r="C58" s="9" t="s">
        <v>15</v>
      </c>
      <c r="D58" s="9"/>
      <c r="E58" s="9" t="s">
        <v>15</v>
      </c>
      <c r="F58" s="9"/>
      <c r="G58" s="9" t="s">
        <v>15</v>
      </c>
      <c r="H58" s="9"/>
      <c r="I58" s="9" t="s">
        <v>15</v>
      </c>
      <c r="J58" s="9"/>
      <c r="K58" s="9" t="s">
        <v>15</v>
      </c>
      <c r="L58" s="9"/>
      <c r="M58" s="9" t="s">
        <v>15</v>
      </c>
      <c r="N58" s="9"/>
      <c r="O58" s="9" t="s">
        <v>15</v>
      </c>
      <c r="P58" s="9"/>
      <c r="Q58" s="9" t="s">
        <v>15</v>
      </c>
      <c r="R58" s="9"/>
      <c r="S58" s="9" t="s">
        <v>15</v>
      </c>
      <c r="T58" s="9"/>
      <c r="U58" s="9" t="s">
        <v>15</v>
      </c>
      <c r="V58" s="9"/>
      <c r="W58" s="1" t="s">
        <v>23</v>
      </c>
    </row>
    <row r="59" spans="2:23" x14ac:dyDescent="0.3">
      <c r="B59" s="10"/>
      <c r="C59" s="10"/>
      <c r="D59" s="10"/>
      <c r="E59" s="10"/>
      <c r="F59" s="10"/>
      <c r="G59" s="10"/>
      <c r="H59" s="10"/>
      <c r="I59" s="10"/>
      <c r="J59" s="10"/>
      <c r="K59" s="10"/>
      <c r="L59" s="10"/>
      <c r="M59" s="10"/>
      <c r="N59" s="10"/>
      <c r="O59" s="10"/>
      <c r="P59" s="10"/>
      <c r="Q59" s="10"/>
      <c r="R59" s="10"/>
      <c r="S59" s="10"/>
      <c r="T59" s="10"/>
      <c r="U59" s="10"/>
      <c r="V59" s="10"/>
      <c r="W59" s="10"/>
    </row>
    <row r="60" spans="2:23" x14ac:dyDescent="0.3">
      <c r="B60" s="1" t="s">
        <v>24</v>
      </c>
      <c r="C60" s="9" t="s">
        <v>15</v>
      </c>
      <c r="D60" s="9"/>
      <c r="E60" s="9" t="s">
        <v>15</v>
      </c>
      <c r="F60" s="9"/>
      <c r="G60" s="9" t="s">
        <v>15</v>
      </c>
      <c r="H60" s="9"/>
      <c r="I60" s="9" t="s">
        <v>15</v>
      </c>
      <c r="J60" s="9"/>
      <c r="K60" s="9" t="s">
        <v>15</v>
      </c>
      <c r="L60" s="9"/>
      <c r="M60" s="9" t="s">
        <v>15</v>
      </c>
      <c r="N60" s="9"/>
      <c r="O60" s="9" t="s">
        <v>15</v>
      </c>
      <c r="P60" s="9"/>
      <c r="Q60" s="9" t="s">
        <v>15</v>
      </c>
      <c r="R60" s="9"/>
      <c r="S60" s="9" t="s">
        <v>15</v>
      </c>
      <c r="T60" s="9"/>
      <c r="U60" s="9" t="s">
        <v>15</v>
      </c>
      <c r="V60" s="9"/>
      <c r="W60" s="1" t="s">
        <v>24</v>
      </c>
    </row>
    <row r="61" spans="2:23" x14ac:dyDescent="0.3">
      <c r="B61" s="4">
        <v>2</v>
      </c>
      <c r="C61" s="8"/>
      <c r="D61" s="8"/>
      <c r="E61" s="8"/>
      <c r="F61" s="8"/>
      <c r="G61" s="8"/>
      <c r="H61" s="8"/>
      <c r="I61" s="8"/>
      <c r="J61" s="8"/>
      <c r="K61" s="8"/>
      <c r="L61" s="8"/>
      <c r="M61" s="8"/>
      <c r="N61" s="8"/>
      <c r="O61" s="8"/>
      <c r="P61" s="8"/>
      <c r="Q61" s="8"/>
      <c r="R61" s="8"/>
      <c r="S61" s="8"/>
      <c r="T61" s="8"/>
      <c r="U61" s="8"/>
      <c r="V61" s="8"/>
      <c r="W61" s="4">
        <v>2</v>
      </c>
    </row>
    <row r="62" spans="2:23" x14ac:dyDescent="0.3">
      <c r="B62" s="4">
        <v>1</v>
      </c>
      <c r="C62" s="8"/>
      <c r="D62" s="8"/>
      <c r="E62" s="8" t="s">
        <v>25</v>
      </c>
      <c r="F62" s="8"/>
      <c r="G62" s="8"/>
      <c r="H62" s="8"/>
      <c r="I62" s="8" t="s">
        <v>26</v>
      </c>
      <c r="J62" s="8"/>
      <c r="K62" s="8" t="s">
        <v>27</v>
      </c>
      <c r="L62" s="8"/>
      <c r="M62" s="8" t="s">
        <v>28</v>
      </c>
      <c r="N62" s="8"/>
      <c r="O62" s="8"/>
      <c r="P62" s="8"/>
      <c r="Q62" s="8"/>
      <c r="R62" s="8"/>
      <c r="S62" s="8" t="s">
        <v>29</v>
      </c>
      <c r="T62" s="8"/>
      <c r="U62" s="8"/>
      <c r="V62" s="8"/>
      <c r="W62" s="4">
        <v>1</v>
      </c>
    </row>
    <row r="63" spans="2:23" x14ac:dyDescent="0.3">
      <c r="B63" s="4">
        <v>0</v>
      </c>
      <c r="C63" s="8" t="s">
        <v>30</v>
      </c>
      <c r="D63" s="8"/>
      <c r="E63" s="8"/>
      <c r="F63" s="8"/>
      <c r="G63" s="8"/>
      <c r="H63" s="8"/>
      <c r="I63" s="8"/>
      <c r="J63" s="8"/>
      <c r="K63" s="8" t="s">
        <v>31</v>
      </c>
      <c r="L63" s="8"/>
      <c r="M63" s="8" t="s">
        <v>32</v>
      </c>
      <c r="N63" s="8"/>
      <c r="O63" s="8" t="s">
        <v>33</v>
      </c>
      <c r="P63" s="8"/>
      <c r="Q63" s="8"/>
      <c r="R63" s="8"/>
      <c r="S63" s="8"/>
      <c r="T63" s="8"/>
      <c r="U63" s="8" t="s">
        <v>34</v>
      </c>
      <c r="V63" s="8"/>
      <c r="W63" s="4">
        <v>0</v>
      </c>
    </row>
    <row r="64" spans="2:23" x14ac:dyDescent="0.3">
      <c r="B64" s="1" t="s">
        <v>24</v>
      </c>
      <c r="C64" s="7">
        <v>0</v>
      </c>
      <c r="D64" s="7"/>
      <c r="E64" s="7">
        <v>1</v>
      </c>
      <c r="F64" s="7"/>
      <c r="G64" s="7">
        <v>2</v>
      </c>
      <c r="H64" s="7"/>
      <c r="I64" s="7">
        <v>3</v>
      </c>
      <c r="J64" s="7"/>
      <c r="K64" s="7">
        <v>4</v>
      </c>
      <c r="L64" s="7"/>
      <c r="M64" s="7">
        <v>5</v>
      </c>
      <c r="N64" s="7"/>
      <c r="O64" s="7">
        <v>6</v>
      </c>
      <c r="P64" s="7"/>
      <c r="Q64" s="7">
        <v>7</v>
      </c>
      <c r="R64" s="7"/>
      <c r="S64" s="7">
        <v>8</v>
      </c>
      <c r="T64" s="7"/>
      <c r="U64" s="7">
        <v>9</v>
      </c>
      <c r="V64" s="7"/>
      <c r="W64" s="1" t="s">
        <v>24</v>
      </c>
    </row>
  </sheetData>
  <mergeCells count="417">
    <mergeCell ref="B2:W2"/>
    <mergeCell ref="U63:V63"/>
    <mergeCell ref="C64:D64"/>
    <mergeCell ref="E64:F64"/>
    <mergeCell ref="G64:H64"/>
    <mergeCell ref="I64:J64"/>
    <mergeCell ref="K64:L64"/>
    <mergeCell ref="M64:N64"/>
    <mergeCell ref="O64:P64"/>
    <mergeCell ref="Q64:R64"/>
    <mergeCell ref="S64:T64"/>
    <mergeCell ref="U64:V64"/>
    <mergeCell ref="C63:D63"/>
    <mergeCell ref="E63:F63"/>
    <mergeCell ref="G63:H63"/>
    <mergeCell ref="I63:J63"/>
    <mergeCell ref="K63:L63"/>
    <mergeCell ref="M63:N63"/>
    <mergeCell ref="O63:P63"/>
    <mergeCell ref="Q63:R63"/>
    <mergeCell ref="S63:T63"/>
    <mergeCell ref="U61:V61"/>
    <mergeCell ref="C62:D62"/>
    <mergeCell ref="E62:F62"/>
    <mergeCell ref="G62:H62"/>
    <mergeCell ref="I62:J62"/>
    <mergeCell ref="K62:L62"/>
    <mergeCell ref="M62:N62"/>
    <mergeCell ref="O62:P62"/>
    <mergeCell ref="Q62:R62"/>
    <mergeCell ref="S62:T62"/>
    <mergeCell ref="U62:V62"/>
    <mergeCell ref="C61:D61"/>
    <mergeCell ref="E61:F61"/>
    <mergeCell ref="G61:H61"/>
    <mergeCell ref="I61:J61"/>
    <mergeCell ref="K61:L61"/>
    <mergeCell ref="M61:N61"/>
    <mergeCell ref="O61:P61"/>
    <mergeCell ref="Q61:R61"/>
    <mergeCell ref="S61:T61"/>
    <mergeCell ref="B59:W59"/>
    <mergeCell ref="C60:D60"/>
    <mergeCell ref="E60:F60"/>
    <mergeCell ref="G60:H60"/>
    <mergeCell ref="I60:J60"/>
    <mergeCell ref="K60:L60"/>
    <mergeCell ref="M60:N60"/>
    <mergeCell ref="O60:P60"/>
    <mergeCell ref="Q60:R60"/>
    <mergeCell ref="S60:T60"/>
    <mergeCell ref="U60:V60"/>
    <mergeCell ref="S56:S57"/>
    <mergeCell ref="U56:V57"/>
    <mergeCell ref="W56:W57"/>
    <mergeCell ref="C58:D58"/>
    <mergeCell ref="E58:F58"/>
    <mergeCell ref="G58:H58"/>
    <mergeCell ref="I58:J58"/>
    <mergeCell ref="K58:L58"/>
    <mergeCell ref="M58:N58"/>
    <mergeCell ref="O58:P58"/>
    <mergeCell ref="Q58:R58"/>
    <mergeCell ref="S58:T58"/>
    <mergeCell ref="U58:V58"/>
    <mergeCell ref="B56:B57"/>
    <mergeCell ref="C56:D57"/>
    <mergeCell ref="E56:E57"/>
    <mergeCell ref="G56:G57"/>
    <mergeCell ref="I56:I57"/>
    <mergeCell ref="K56:K57"/>
    <mergeCell ref="M56:M57"/>
    <mergeCell ref="O56:O57"/>
    <mergeCell ref="Q56:Q57"/>
    <mergeCell ref="S52:S53"/>
    <mergeCell ref="U52:V53"/>
    <mergeCell ref="W52:W53"/>
    <mergeCell ref="B54:B55"/>
    <mergeCell ref="C54:D55"/>
    <mergeCell ref="E54:E55"/>
    <mergeCell ref="G54:G55"/>
    <mergeCell ref="I54:I55"/>
    <mergeCell ref="K54:K55"/>
    <mergeCell ref="M54:M55"/>
    <mergeCell ref="O54:O55"/>
    <mergeCell ref="Q54:Q55"/>
    <mergeCell ref="S54:S55"/>
    <mergeCell ref="U54:V55"/>
    <mergeCell ref="W54:W55"/>
    <mergeCell ref="B52:B53"/>
    <mergeCell ref="C52:D53"/>
    <mergeCell ref="E52:E53"/>
    <mergeCell ref="G52:G53"/>
    <mergeCell ref="I52:I53"/>
    <mergeCell ref="K52:K53"/>
    <mergeCell ref="M52:M53"/>
    <mergeCell ref="O52:O53"/>
    <mergeCell ref="Q52:Q53"/>
    <mergeCell ref="S48:S49"/>
    <mergeCell ref="U48:V49"/>
    <mergeCell ref="W48:W49"/>
    <mergeCell ref="B50:B51"/>
    <mergeCell ref="C50:D51"/>
    <mergeCell ref="E50:E51"/>
    <mergeCell ref="G50:G51"/>
    <mergeCell ref="I50:I51"/>
    <mergeCell ref="K50:K51"/>
    <mergeCell ref="M50:M51"/>
    <mergeCell ref="O50:O51"/>
    <mergeCell ref="Q50:Q51"/>
    <mergeCell ref="S50:S51"/>
    <mergeCell ref="U50:V51"/>
    <mergeCell ref="W50:W51"/>
    <mergeCell ref="B48:B49"/>
    <mergeCell ref="C48:D49"/>
    <mergeCell ref="E48:E49"/>
    <mergeCell ref="G48:G49"/>
    <mergeCell ref="I48:I49"/>
    <mergeCell ref="K48:K49"/>
    <mergeCell ref="M48:M49"/>
    <mergeCell ref="O48:O49"/>
    <mergeCell ref="Q48:Q49"/>
    <mergeCell ref="S44:S45"/>
    <mergeCell ref="U44:U45"/>
    <mergeCell ref="W44:W45"/>
    <mergeCell ref="B46:B47"/>
    <mergeCell ref="C46:C47"/>
    <mergeCell ref="E46:E47"/>
    <mergeCell ref="G46:G47"/>
    <mergeCell ref="I46:I47"/>
    <mergeCell ref="K46:K47"/>
    <mergeCell ref="M46:M47"/>
    <mergeCell ref="O46:O47"/>
    <mergeCell ref="Q46:Q47"/>
    <mergeCell ref="S46:S47"/>
    <mergeCell ref="U46:U47"/>
    <mergeCell ref="W46:W47"/>
    <mergeCell ref="B44:B45"/>
    <mergeCell ref="C44:C45"/>
    <mergeCell ref="E44:E45"/>
    <mergeCell ref="G44:G45"/>
    <mergeCell ref="I44:I45"/>
    <mergeCell ref="K44:K45"/>
    <mergeCell ref="M44:M45"/>
    <mergeCell ref="O44:O45"/>
    <mergeCell ref="Q44:Q45"/>
    <mergeCell ref="B42:W42"/>
    <mergeCell ref="C43:D43"/>
    <mergeCell ref="E43:F43"/>
    <mergeCell ref="G43:H43"/>
    <mergeCell ref="I43:J43"/>
    <mergeCell ref="K43:L43"/>
    <mergeCell ref="M43:N43"/>
    <mergeCell ref="O43:P43"/>
    <mergeCell ref="Q43:R43"/>
    <mergeCell ref="S43:T43"/>
    <mergeCell ref="U43:V43"/>
    <mergeCell ref="S39:S40"/>
    <mergeCell ref="U39:V40"/>
    <mergeCell ref="W39:W40"/>
    <mergeCell ref="C41:D41"/>
    <mergeCell ref="E41:F41"/>
    <mergeCell ref="G41:H41"/>
    <mergeCell ref="I41:J41"/>
    <mergeCell ref="K41:L41"/>
    <mergeCell ref="M41:N41"/>
    <mergeCell ref="O41:P41"/>
    <mergeCell ref="Q41:R41"/>
    <mergeCell ref="S41:T41"/>
    <mergeCell ref="U41:V41"/>
    <mergeCell ref="B39:B40"/>
    <mergeCell ref="C39:D40"/>
    <mergeCell ref="E39:E40"/>
    <mergeCell ref="G39:G40"/>
    <mergeCell ref="I39:I40"/>
    <mergeCell ref="K39:K40"/>
    <mergeCell ref="M39:M40"/>
    <mergeCell ref="O39:O40"/>
    <mergeCell ref="Q39:Q40"/>
    <mergeCell ref="S35:S36"/>
    <mergeCell ref="U35:V36"/>
    <mergeCell ref="W35:W36"/>
    <mergeCell ref="B37:B38"/>
    <mergeCell ref="C37:D38"/>
    <mergeCell ref="E37:E38"/>
    <mergeCell ref="G37:G38"/>
    <mergeCell ref="I37:I38"/>
    <mergeCell ref="K37:K38"/>
    <mergeCell ref="M37:M38"/>
    <mergeCell ref="O37:O38"/>
    <mergeCell ref="Q37:Q38"/>
    <mergeCell ref="S37:S38"/>
    <mergeCell ref="U37:V38"/>
    <mergeCell ref="W37:W38"/>
    <mergeCell ref="B35:B36"/>
    <mergeCell ref="C35:D36"/>
    <mergeCell ref="E35:E36"/>
    <mergeCell ref="G35:G36"/>
    <mergeCell ref="I35:I36"/>
    <mergeCell ref="K35:K36"/>
    <mergeCell ref="M35:M36"/>
    <mergeCell ref="O35:O36"/>
    <mergeCell ref="Q35:Q36"/>
    <mergeCell ref="S31:S32"/>
    <mergeCell ref="U31:V32"/>
    <mergeCell ref="W31:W32"/>
    <mergeCell ref="B33:B34"/>
    <mergeCell ref="C33:D34"/>
    <mergeCell ref="E33:E34"/>
    <mergeCell ref="G33:G34"/>
    <mergeCell ref="I33:I34"/>
    <mergeCell ref="K33:K34"/>
    <mergeCell ref="M33:M34"/>
    <mergeCell ref="O33:O34"/>
    <mergeCell ref="Q33:Q34"/>
    <mergeCell ref="S33:S34"/>
    <mergeCell ref="U33:V34"/>
    <mergeCell ref="W33:W34"/>
    <mergeCell ref="B31:B32"/>
    <mergeCell ref="C31:D32"/>
    <mergeCell ref="E31:E32"/>
    <mergeCell ref="G31:G32"/>
    <mergeCell ref="I31:I32"/>
    <mergeCell ref="K31:K32"/>
    <mergeCell ref="M31:M32"/>
    <mergeCell ref="O31:O32"/>
    <mergeCell ref="Q31:Q32"/>
    <mergeCell ref="S27:S28"/>
    <mergeCell ref="U27:U28"/>
    <mergeCell ref="W27:W28"/>
    <mergeCell ref="B29:B30"/>
    <mergeCell ref="C29:C30"/>
    <mergeCell ref="E29:E30"/>
    <mergeCell ref="G29:G30"/>
    <mergeCell ref="I29:I30"/>
    <mergeCell ref="K29:K30"/>
    <mergeCell ref="M29:M30"/>
    <mergeCell ref="O29:O30"/>
    <mergeCell ref="Q29:Q30"/>
    <mergeCell ref="S29:S30"/>
    <mergeCell ref="U29:U30"/>
    <mergeCell ref="W29:W30"/>
    <mergeCell ref="B27:B28"/>
    <mergeCell ref="C27:C28"/>
    <mergeCell ref="E27:E28"/>
    <mergeCell ref="G27:G28"/>
    <mergeCell ref="I27:I28"/>
    <mergeCell ref="K27:K28"/>
    <mergeCell ref="M27:M28"/>
    <mergeCell ref="O27:O28"/>
    <mergeCell ref="Q27:Q28"/>
    <mergeCell ref="B25:W25"/>
    <mergeCell ref="C26:D26"/>
    <mergeCell ref="E26:F26"/>
    <mergeCell ref="G26:H26"/>
    <mergeCell ref="I26:J26"/>
    <mergeCell ref="K26:L26"/>
    <mergeCell ref="M26:N26"/>
    <mergeCell ref="O26:P26"/>
    <mergeCell ref="Q26:R26"/>
    <mergeCell ref="S26:T26"/>
    <mergeCell ref="U26:V26"/>
    <mergeCell ref="S22:S23"/>
    <mergeCell ref="U22:V23"/>
    <mergeCell ref="W22:W23"/>
    <mergeCell ref="C24:D24"/>
    <mergeCell ref="E24:F24"/>
    <mergeCell ref="G24:H24"/>
    <mergeCell ref="I24:J24"/>
    <mergeCell ref="K24:L24"/>
    <mergeCell ref="M24:N24"/>
    <mergeCell ref="O24:P24"/>
    <mergeCell ref="Q24:R24"/>
    <mergeCell ref="S24:T24"/>
    <mergeCell ref="U24:V24"/>
    <mergeCell ref="B22:B23"/>
    <mergeCell ref="C22:D23"/>
    <mergeCell ref="E22:E23"/>
    <mergeCell ref="G22:G23"/>
    <mergeCell ref="I22:I23"/>
    <mergeCell ref="K22:K23"/>
    <mergeCell ref="M22:M23"/>
    <mergeCell ref="O22:O23"/>
    <mergeCell ref="Q22:Q23"/>
    <mergeCell ref="S18:S19"/>
    <mergeCell ref="U18:V19"/>
    <mergeCell ref="W18:W19"/>
    <mergeCell ref="B20:B21"/>
    <mergeCell ref="C20:D21"/>
    <mergeCell ref="E20:E21"/>
    <mergeCell ref="G20:G21"/>
    <mergeCell ref="I20:I21"/>
    <mergeCell ref="K20:K21"/>
    <mergeCell ref="M20:M21"/>
    <mergeCell ref="O20:O21"/>
    <mergeCell ref="Q20:Q21"/>
    <mergeCell ref="S20:S21"/>
    <mergeCell ref="U20:V21"/>
    <mergeCell ref="W20:W21"/>
    <mergeCell ref="B18:B19"/>
    <mergeCell ref="C18:D19"/>
    <mergeCell ref="E18:E19"/>
    <mergeCell ref="G18:G19"/>
    <mergeCell ref="I18:I19"/>
    <mergeCell ref="K18:K19"/>
    <mergeCell ref="M18:M19"/>
    <mergeCell ref="O18:O19"/>
    <mergeCell ref="Q18:Q19"/>
    <mergeCell ref="S14:S15"/>
    <mergeCell ref="U14:V15"/>
    <mergeCell ref="W14:W15"/>
    <mergeCell ref="B16:B17"/>
    <mergeCell ref="C16:D17"/>
    <mergeCell ref="E16:E17"/>
    <mergeCell ref="G16:G17"/>
    <mergeCell ref="I16:I17"/>
    <mergeCell ref="K16:K17"/>
    <mergeCell ref="M16:M17"/>
    <mergeCell ref="O16:O17"/>
    <mergeCell ref="Q16:Q17"/>
    <mergeCell ref="S16:S17"/>
    <mergeCell ref="U16:V17"/>
    <mergeCell ref="W16:W17"/>
    <mergeCell ref="B14:B15"/>
    <mergeCell ref="C14:D15"/>
    <mergeCell ref="E14:E15"/>
    <mergeCell ref="G14:G15"/>
    <mergeCell ref="I14:I15"/>
    <mergeCell ref="K14:K15"/>
    <mergeCell ref="M14:M15"/>
    <mergeCell ref="O14:O15"/>
    <mergeCell ref="Q14:Q15"/>
    <mergeCell ref="S10:S11"/>
    <mergeCell ref="U10:U11"/>
    <mergeCell ref="W10:W11"/>
    <mergeCell ref="B12:B13"/>
    <mergeCell ref="C12:C13"/>
    <mergeCell ref="E12:E13"/>
    <mergeCell ref="G12:G13"/>
    <mergeCell ref="I12:I13"/>
    <mergeCell ref="K12:K13"/>
    <mergeCell ref="M12:M13"/>
    <mergeCell ref="O12:O13"/>
    <mergeCell ref="Q12:Q13"/>
    <mergeCell ref="S12:S13"/>
    <mergeCell ref="U12:U13"/>
    <mergeCell ref="W12:W13"/>
    <mergeCell ref="B10:B11"/>
    <mergeCell ref="C10:C11"/>
    <mergeCell ref="E10:E11"/>
    <mergeCell ref="G10:G11"/>
    <mergeCell ref="I10:I11"/>
    <mergeCell ref="K10:K11"/>
    <mergeCell ref="M10:M11"/>
    <mergeCell ref="O10:O11"/>
    <mergeCell ref="Q10:Q11"/>
    <mergeCell ref="U7:V7"/>
    <mergeCell ref="B8:W8"/>
    <mergeCell ref="C9:D9"/>
    <mergeCell ref="E9:F9"/>
    <mergeCell ref="G9:H9"/>
    <mergeCell ref="I9:J9"/>
    <mergeCell ref="K9:L9"/>
    <mergeCell ref="M9:N9"/>
    <mergeCell ref="O9:P9"/>
    <mergeCell ref="Q9:R9"/>
    <mergeCell ref="S9:T9"/>
    <mergeCell ref="U9:V9"/>
    <mergeCell ref="C7:D7"/>
    <mergeCell ref="E7:F7"/>
    <mergeCell ref="G7:H7"/>
    <mergeCell ref="I7:J7"/>
    <mergeCell ref="K7:L7"/>
    <mergeCell ref="M7:N7"/>
    <mergeCell ref="O7:P7"/>
    <mergeCell ref="Q7:R7"/>
    <mergeCell ref="S7:T7"/>
    <mergeCell ref="U5:V5"/>
    <mergeCell ref="C6:D6"/>
    <mergeCell ref="E6:F6"/>
    <mergeCell ref="G6:H6"/>
    <mergeCell ref="I6:J6"/>
    <mergeCell ref="K6:L6"/>
    <mergeCell ref="M6:N6"/>
    <mergeCell ref="O6:P6"/>
    <mergeCell ref="Q6:R6"/>
    <mergeCell ref="S6:T6"/>
    <mergeCell ref="U6:V6"/>
    <mergeCell ref="C5:D5"/>
    <mergeCell ref="E5:F5"/>
    <mergeCell ref="G5:H5"/>
    <mergeCell ref="I5:J5"/>
    <mergeCell ref="K5:L5"/>
    <mergeCell ref="M5:N5"/>
    <mergeCell ref="O5:P5"/>
    <mergeCell ref="Q5:R5"/>
    <mergeCell ref="S5:T5"/>
    <mergeCell ref="U3:V3"/>
    <mergeCell ref="C4:D4"/>
    <mergeCell ref="E4:F4"/>
    <mergeCell ref="G4:H4"/>
    <mergeCell ref="I4:J4"/>
    <mergeCell ref="K4:L4"/>
    <mergeCell ref="M4:N4"/>
    <mergeCell ref="O4:P4"/>
    <mergeCell ref="Q4:R4"/>
    <mergeCell ref="S4:T4"/>
    <mergeCell ref="U4:V4"/>
    <mergeCell ref="C3:D3"/>
    <mergeCell ref="E3:F3"/>
    <mergeCell ref="G3:H3"/>
    <mergeCell ref="I3:J3"/>
    <mergeCell ref="K3:L3"/>
    <mergeCell ref="M3:N3"/>
    <mergeCell ref="O3:P3"/>
    <mergeCell ref="Q3:R3"/>
    <mergeCell ref="S3:T3"/>
  </mergeCells>
  <conditionalFormatting sqref="C10 I10 K10 M10 O10 Q10 S10 E12 G12 I12 K12 M12 O12 Q12 S12 E14 G14 I14 K14 M14 O14 Q14 S14 E16 G16 I16 K16 M16 O16 Q16 S16 E18 G18 I18 K18 M18 O18 Q18 S18 E20 G20 I20 K20 M20 O20 Q20 S20 E22 G22 I22 K22 M22 O22 Q22 S22 I27 K27 M27 O27 Q27 S27 E29 G29 I29 K29 M29 O29 Q29 S29 E31 G31 I31 K31 M31 O31 Q31 S31 E33 G33 I33 K33 M33 O33 Q33 S33 E35 G35 I35 K35 M35 O35 Q35 S35 E37 G37 I37 K37 M37 O37 Q37 S37 E39 G39 I39 K39 M39 O39 Q39 S39 I44 K44 M44 O44 Q44 S44 E46 G46 I46 K46 M46 O46 Q46 S46 E48 G48 I48 K48 M48 O48 Q48 S48 E50 G50 I50 K50 M50 O50 Q50 S50 E52 G52 I52 K52 M52 O52 Q52 S52 E54 G54 I54 K54 M54 O54 Q54 S54 E56 G56 I56 K56 M56 O56 Q56 S56">
    <cfRule type="expression" dxfId="54" priority="54">
      <formula>_xlfn.XLOOKUP(C10,$K$3:$K$182,$L$3:$L$182)="FUSED"</formula>
    </cfRule>
  </conditionalFormatting>
  <conditionalFormatting sqref="C12">
    <cfRule type="expression" dxfId="53" priority="51">
      <formula>_xlfn.XLOOKUP(C12,$K$3:$K$182,$L$3:$L$182)="FUSED"</formula>
    </cfRule>
  </conditionalFormatting>
  <conditionalFormatting sqref="C27">
    <cfRule type="expression" dxfId="52" priority="36">
      <formula>_xlfn.XLOOKUP(C27,$K$3:$K$182,$L$3:$L$182)="FUSED"</formula>
    </cfRule>
  </conditionalFormatting>
  <conditionalFormatting sqref="C29">
    <cfRule type="expression" dxfId="51" priority="33">
      <formula>_xlfn.XLOOKUP(C29,$K$3:$K$182,$L$3:$L$182)="FUSED"</formula>
    </cfRule>
  </conditionalFormatting>
  <conditionalFormatting sqref="C44">
    <cfRule type="expression" dxfId="50" priority="18">
      <formula>_xlfn.XLOOKUP(C44,$K$3:$K$182,$L$3:$L$182)="FUSED"</formula>
    </cfRule>
  </conditionalFormatting>
  <conditionalFormatting sqref="C46">
    <cfRule type="expression" dxfId="49" priority="15">
      <formula>_xlfn.XLOOKUP(C46,$K$3:$K$182,$L$3:$L$182)="FUSED"</formula>
    </cfRule>
  </conditionalFormatting>
  <conditionalFormatting sqref="D10 J10 L10 N10 P10 R10 T10 F12 H12 J12 L12 N12 P12 R12 T12 F14 H14 J14 L14 N14 P14 R14 T14 F16 H16 J16 L16 N16 P16 R16 T16 F18 H18 J18 L18 N18 P18 R18 T18 F20 H20 J20 L20 N20 P20 R20 T20 F22 H22 J22 L22 N22 P22 R22 T22 J27 L27 N27 P27 R27 T27 F29 H29 J29 L29 N29 P29 R29 T29 F31 H31 J31 L31 N31 P31 R31 T31 F33 H33 J33 L33 N33 P33 R33 T33 F35 H35 J35 L35 N35 P35 R35 T35 F37 H37 J37 L37 N37 P37 R37 T37 F39 H39 J39 L39 N39 P39 R39 T39 J44 L44 N44 P44 R44 T44 F46 H46 J46 L46 N46 P46 R46 T46 F48 H48 J48 L48 N48 P48 R48 T48 F50 H50 J50 L50 N50 P50 R50 T50 F52 H52 J52 L52 N52 P52 R52 T52 F54 H54 J54 L54 N54 P54 R54 T54 F56 H56 J56 L56 N56 P56 R56 T56">
    <cfRule type="expression" dxfId="48" priority="53">
      <formula>_xlfn.XLOOKUP(C10,$G$3:$G$182,$H$3:$H$182)="FUSED"</formula>
    </cfRule>
  </conditionalFormatting>
  <conditionalFormatting sqref="D11 J11 L11 N11 P11 R11 T11 F13 H13 J13 L13 N13 P13 R13 T13 F15 H15 J15 L15 N15 P15 R15 T15 F17 H17 J17 L17 N17 P17 R17 T17 F19 H19 J19 L19 N19 P19 R19 T19 F21 H21 J21 L21 N21 P21 R21 T21 F23 H23 J23 L23 N23 P23 R23 T23 J28 L28 N28 P28 R28 T28 F30 H30 J30 L30 N30 P30 R30 T30 F32 H32 J32 L32 N32 P32 R32 T32 F34 H34 J34 L34 N34 P34 R34 T34 F36 H36 J36 L36 N36 P36 R36 T36 F38 H38 J38 L38 N38 P38 R38 T38 F40 H40 J40 L40 N40 P40 R40 T40 J45 L45 N45 P45 R45 T45 F47 H47 J47 L47 N47 P47 R47 T47 F49 H49 J49 L49 N49 P49 R49 T49 F51 H51 J51 L51 N51 P51 R51 T51 F53 H53 J53 L53 N53 P53 R53 T53 F55 H55 J55 L55 N55 P55 R55 T55 F57 H57 J57 L57 N57 P57 R57 T57">
    <cfRule type="expression" dxfId="47" priority="52">
      <formula>_xlfn.XLOOKUP(C10,$I$3:$I$182,$J$3:$J$182)="FUSED"</formula>
    </cfRule>
  </conditionalFormatting>
  <conditionalFormatting sqref="D12">
    <cfRule type="expression" dxfId="46" priority="50">
      <formula>_xlfn.XLOOKUP(C12,$G$3:$G$182,$H$3:$H$182)="FUSED"</formula>
    </cfRule>
  </conditionalFormatting>
  <conditionalFormatting sqref="D13">
    <cfRule type="expression" dxfId="45" priority="49">
      <formula>_xlfn.XLOOKUP(C12,$I$3:$I$182,$J$3:$J$182)="FUSED"</formula>
    </cfRule>
  </conditionalFormatting>
  <conditionalFormatting sqref="D27">
    <cfRule type="expression" dxfId="44" priority="35">
      <formula>_xlfn.XLOOKUP(C27,$G$3:$G$182,$H$3:$H$182)="FUSED"</formula>
    </cfRule>
  </conditionalFormatting>
  <conditionalFormatting sqref="D28">
    <cfRule type="expression" dxfId="43" priority="34">
      <formula>_xlfn.XLOOKUP(C27,$I$3:$I$182,$J$3:$J$182)="FUSED"</formula>
    </cfRule>
  </conditionalFormatting>
  <conditionalFormatting sqref="D29">
    <cfRule type="expression" dxfId="42" priority="32">
      <formula>_xlfn.XLOOKUP(C29,$G$3:$G$182,$H$3:$H$182)="FUSED"</formula>
    </cfRule>
  </conditionalFormatting>
  <conditionalFormatting sqref="D30">
    <cfRule type="expression" dxfId="41" priority="31">
      <formula>_xlfn.XLOOKUP(C29,$I$3:$I$182,$J$3:$J$182)="FUSED"</formula>
    </cfRule>
  </conditionalFormatting>
  <conditionalFormatting sqref="D44">
    <cfRule type="expression" dxfId="40" priority="17">
      <formula>_xlfn.XLOOKUP(C44,$G$3:$G$182,$H$3:$H$182)="FUSED"</formula>
    </cfRule>
  </conditionalFormatting>
  <conditionalFormatting sqref="D45">
    <cfRule type="expression" dxfId="39" priority="16">
      <formula>_xlfn.XLOOKUP(C44,$I$3:$I$182,$J$3:$J$182)="FUSED"</formula>
    </cfRule>
  </conditionalFormatting>
  <conditionalFormatting sqref="D46">
    <cfRule type="expression" dxfId="38" priority="14">
      <formula>_xlfn.XLOOKUP(C46,$G$3:$G$182,$H$3:$H$182)="FUSED"</formula>
    </cfRule>
  </conditionalFormatting>
  <conditionalFormatting sqref="D47">
    <cfRule type="expression" dxfId="37" priority="13">
      <formula>_xlfn.XLOOKUP(C46,$I$3:$I$182,$J$3:$J$182)="FUSED"</formula>
    </cfRule>
  </conditionalFormatting>
  <conditionalFormatting sqref="E10">
    <cfRule type="expression" dxfId="36" priority="48">
      <formula>_xlfn.XLOOKUP(E10,$K$3:$K$182,$L$3:$L$182)="FUSED"</formula>
    </cfRule>
  </conditionalFormatting>
  <conditionalFormatting sqref="E27">
    <cfRule type="expression" dxfId="35" priority="30">
      <formula>_xlfn.XLOOKUP(E27,$K$3:$K$182,$L$3:$L$182)="FUSED"</formula>
    </cfRule>
  </conditionalFormatting>
  <conditionalFormatting sqref="E44">
    <cfRule type="expression" dxfId="34" priority="12">
      <formula>_xlfn.XLOOKUP(E44,$K$3:$K$182,$L$3:$L$182)="FUSED"</formula>
    </cfRule>
  </conditionalFormatting>
  <conditionalFormatting sqref="F10">
    <cfRule type="expression" dxfId="33" priority="47">
      <formula>_xlfn.XLOOKUP(E10,$G$3:$G$182,$H$3:$H$182)="FUSED"</formula>
    </cfRule>
  </conditionalFormatting>
  <conditionalFormatting sqref="F11">
    <cfRule type="expression" dxfId="32" priority="46">
      <formula>_xlfn.XLOOKUP(E10,$I$3:$I$182,$J$3:$J$182)="FUSED"</formula>
    </cfRule>
  </conditionalFormatting>
  <conditionalFormatting sqref="F27">
    <cfRule type="expression" dxfId="31" priority="29">
      <formula>_xlfn.XLOOKUP(E27,$G$3:$G$182,$H$3:$H$182)="FUSED"</formula>
    </cfRule>
  </conditionalFormatting>
  <conditionalFormatting sqref="F28">
    <cfRule type="expression" dxfId="30" priority="28">
      <formula>_xlfn.XLOOKUP(E27,$I$3:$I$182,$J$3:$J$182)="FUSED"</formula>
    </cfRule>
  </conditionalFormatting>
  <conditionalFormatting sqref="F44">
    <cfRule type="expression" dxfId="29" priority="11">
      <formula>_xlfn.XLOOKUP(E44,$G$3:$G$182,$H$3:$H$182)="FUSED"</formula>
    </cfRule>
  </conditionalFormatting>
  <conditionalFormatting sqref="F45">
    <cfRule type="expression" dxfId="28" priority="10">
      <formula>_xlfn.XLOOKUP(E44,$I$3:$I$182,$J$3:$J$182)="FUSED"</formula>
    </cfRule>
  </conditionalFormatting>
  <conditionalFormatting sqref="G10">
    <cfRule type="expression" dxfId="27" priority="45">
      <formula>_xlfn.XLOOKUP(G10,$K$3:$K$182,$L$3:$L$182)="FUSED"</formula>
    </cfRule>
  </conditionalFormatting>
  <conditionalFormatting sqref="G27">
    <cfRule type="expression" dxfId="26" priority="27">
      <formula>_xlfn.XLOOKUP(G27,$K$3:$K$182,$L$3:$L$182)="FUSED"</formula>
    </cfRule>
  </conditionalFormatting>
  <conditionalFormatting sqref="G44">
    <cfRule type="expression" dxfId="25" priority="9">
      <formula>_xlfn.XLOOKUP(G44,$K$3:$K$182,$L$3:$L$182)="FUSED"</formula>
    </cfRule>
  </conditionalFormatting>
  <conditionalFormatting sqref="H10">
    <cfRule type="expression" dxfId="24" priority="44">
      <formula>_xlfn.XLOOKUP(G10,$G$3:$G$182,$H$3:$H$182)="FUSED"</formula>
    </cfRule>
  </conditionalFormatting>
  <conditionalFormatting sqref="H11">
    <cfRule type="expression" dxfId="23" priority="43">
      <formula>_xlfn.XLOOKUP(G10,$I$3:$I$182,$J$3:$J$182)="FUSED"</formula>
    </cfRule>
  </conditionalFormatting>
  <conditionalFormatting sqref="H27">
    <cfRule type="expression" dxfId="22" priority="26">
      <formula>_xlfn.XLOOKUP(G27,$G$3:$G$182,$H$3:$H$182)="FUSED"</formula>
    </cfRule>
  </conditionalFormatting>
  <conditionalFormatting sqref="H28">
    <cfRule type="expression" dxfId="21" priority="25">
      <formula>_xlfn.XLOOKUP(G27,$I$3:$I$182,$J$3:$J$182)="FUSED"</formula>
    </cfRule>
  </conditionalFormatting>
  <conditionalFormatting sqref="H44">
    <cfRule type="expression" dxfId="20" priority="8">
      <formula>_xlfn.XLOOKUP(G44,$G$3:$G$182,$H$3:$H$182)="FUSED"</formula>
    </cfRule>
  </conditionalFormatting>
  <conditionalFormatting sqref="H45">
    <cfRule type="expression" dxfId="19" priority="7">
      <formula>_xlfn.XLOOKUP(G44,$I$3:$I$182,$J$3:$J$182)="FUSED"</formula>
    </cfRule>
  </conditionalFormatting>
  <conditionalFormatting sqref="U10">
    <cfRule type="expression" dxfId="18" priority="42">
      <formula>_xlfn.XLOOKUP(U10,$K$3:$K$182,$L$3:$L$182)="FUSED"</formula>
    </cfRule>
  </conditionalFormatting>
  <conditionalFormatting sqref="U12">
    <cfRule type="expression" dxfId="17" priority="39">
      <formula>_xlfn.XLOOKUP(U12,$K$3:$K$182,$L$3:$L$182)="FUSED"</formula>
    </cfRule>
  </conditionalFormatting>
  <conditionalFormatting sqref="U27">
    <cfRule type="expression" dxfId="16" priority="24">
      <formula>_xlfn.XLOOKUP(U27,$K$3:$K$182,$L$3:$L$182)="FUSED"</formula>
    </cfRule>
  </conditionalFormatting>
  <conditionalFormatting sqref="U29">
    <cfRule type="expression" dxfId="15" priority="21">
      <formula>_xlfn.XLOOKUP(U29,$K$3:$K$182,$L$3:$L$182)="FUSED"</formula>
    </cfRule>
  </conditionalFormatting>
  <conditionalFormatting sqref="U44">
    <cfRule type="expression" dxfId="14" priority="6">
      <formula>_xlfn.XLOOKUP(U44,$K$3:$K$182,$L$3:$L$182)="FUSED"</formula>
    </cfRule>
  </conditionalFormatting>
  <conditionalFormatting sqref="U46">
    <cfRule type="expression" dxfId="13" priority="3">
      <formula>_xlfn.XLOOKUP(U46,$K$3:$K$182,$L$3:$L$182)="FUSED"</formula>
    </cfRule>
  </conditionalFormatting>
  <conditionalFormatting sqref="V10">
    <cfRule type="expression" dxfId="12" priority="41">
      <formula>_xlfn.XLOOKUP(U10,$G$3:$G$182,$H$3:$H$182)="FUSED"</formula>
    </cfRule>
  </conditionalFormatting>
  <conditionalFormatting sqref="V11">
    <cfRule type="expression" dxfId="11" priority="40">
      <formula>_xlfn.XLOOKUP(U10,$I$3:$I$182,$J$3:$J$182)="FUSED"</formula>
    </cfRule>
  </conditionalFormatting>
  <conditionalFormatting sqref="V12">
    <cfRule type="expression" dxfId="10" priority="38">
      <formula>_xlfn.XLOOKUP(U12,$G$3:$G$182,$H$3:$H$182)="FUSED"</formula>
    </cfRule>
  </conditionalFormatting>
  <conditionalFormatting sqref="V13">
    <cfRule type="expression" dxfId="9" priority="37">
      <formula>_xlfn.XLOOKUP(U12,$I$3:$I$182,$J$3:$J$182)="FUSED"</formula>
    </cfRule>
  </conditionalFormatting>
  <conditionalFormatting sqref="V27">
    <cfRule type="expression" dxfId="8" priority="23">
      <formula>_xlfn.XLOOKUP(U27,$G$3:$G$182,$H$3:$H$182)="FUSED"</formula>
    </cfRule>
  </conditionalFormatting>
  <conditionalFormatting sqref="V28">
    <cfRule type="expression" dxfId="7" priority="22">
      <formula>_xlfn.XLOOKUP(U27,$I$3:$I$182,$J$3:$J$182)="FUSED"</formula>
    </cfRule>
  </conditionalFormatting>
  <conditionalFormatting sqref="V29">
    <cfRule type="expression" dxfId="6" priority="20">
      <formula>_xlfn.XLOOKUP(U29,$G$3:$G$182,$H$3:$H$182)="FUSED"</formula>
    </cfRule>
  </conditionalFormatting>
  <conditionalFormatting sqref="V30">
    <cfRule type="expression" dxfId="5" priority="19">
      <formula>_xlfn.XLOOKUP(U29,$I$3:$I$182,$J$3:$J$182)="FUSED"</formula>
    </cfRule>
  </conditionalFormatting>
  <conditionalFormatting sqref="V44">
    <cfRule type="expression" dxfId="4" priority="5">
      <formula>_xlfn.XLOOKUP(U44,$G$3:$G$182,$H$3:$H$182)="FUSED"</formula>
    </cfRule>
  </conditionalFormatting>
  <conditionalFormatting sqref="V45">
    <cfRule type="expression" dxfId="3" priority="4">
      <formula>_xlfn.XLOOKUP(U44,$I$3:$I$182,$J$3:$J$182)="FUSED"</formula>
    </cfRule>
  </conditionalFormatting>
  <conditionalFormatting sqref="V46">
    <cfRule type="expression" dxfId="2" priority="2">
      <formula>_xlfn.XLOOKUP(U46,$G$3:$G$182,$H$3:$H$182)="FUSED"</formula>
    </cfRule>
  </conditionalFormatting>
  <conditionalFormatting sqref="V47">
    <cfRule type="expression" dxfId="1" priority="1">
      <formula>_xlfn.XLOOKUP(U46,$I$3:$I$182,$J$3:$J$182)="FUSED"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Navarro Naranjo, Jose Fabio</dc:creator>
  <cp:lastModifiedBy>Espinoza Ballestero, Gabriel</cp:lastModifiedBy>
  <dcterms:created xsi:type="dcterms:W3CDTF">2023-08-11T22:29:01Z</dcterms:created>
  <dcterms:modified xsi:type="dcterms:W3CDTF">2025-11-14T17:39:01Z</dcterms:modified>
</cp:coreProperties>
</file>